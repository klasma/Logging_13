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11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5005-2022</t>
        </is>
      </c>
      <c r="B2" s="1" t="n">
        <v>44593</v>
      </c>
      <c r="C2" s="1" t="n">
        <v>45358</v>
      </c>
      <c r="D2" t="inlineStr">
        <is>
          <t>HALLANDS LÄN</t>
        </is>
      </c>
      <c r="E2" t="inlineStr">
        <is>
          <t>FALKENBERG</t>
        </is>
      </c>
      <c r="F2" t="inlineStr">
        <is>
          <t>Kyrkan</t>
        </is>
      </c>
      <c r="G2" t="n">
        <v>4.1</v>
      </c>
      <c r="H2" t="n">
        <v>2</v>
      </c>
      <c r="I2" t="n">
        <v>4</v>
      </c>
      <c r="J2" t="n">
        <v>2</v>
      </c>
      <c r="K2" t="n">
        <v>1</v>
      </c>
      <c r="L2" t="n">
        <v>0</v>
      </c>
      <c r="M2" t="n">
        <v>0</v>
      </c>
      <c r="N2" t="n">
        <v>0</v>
      </c>
      <c r="O2" t="n">
        <v>3</v>
      </c>
      <c r="P2" t="n">
        <v>1</v>
      </c>
      <c r="Q2" t="n">
        <v>8</v>
      </c>
      <c r="R2" s="2" t="inlineStr">
        <is>
          <t>Ved-lavklubba
Grynig filtlav
Spillkråka
Blåsfliksmossa
Jättesvampmal
Klippfrullania
Stubbspretmossa
Gröngöling</t>
        </is>
      </c>
      <c r="S2">
        <f>HYPERLINK("https://klasma.github.io/Logging_1382/artfynd/A 5005-2022 artfynd.xlsx", "A 5005-2022")</f>
        <v/>
      </c>
      <c r="T2">
        <f>HYPERLINK("https://klasma.github.io/Logging_1382/kartor/A 5005-2022 karta.png", "A 5005-2022")</f>
        <v/>
      </c>
      <c r="V2">
        <f>HYPERLINK("https://klasma.github.io/Logging_1382/klagomål/A 5005-2022 FSC-klagomål.docx", "A 5005-2022")</f>
        <v/>
      </c>
      <c r="W2">
        <f>HYPERLINK("https://klasma.github.io/Logging_1382/klagomålsmail/A 5005-2022 FSC-klagomål mail.docx", "A 5005-2022")</f>
        <v/>
      </c>
      <c r="X2">
        <f>HYPERLINK("https://klasma.github.io/Logging_1382/tillsyn/A 5005-2022 tillsynsbegäran.docx", "A 5005-2022")</f>
        <v/>
      </c>
      <c r="Y2">
        <f>HYPERLINK("https://klasma.github.io/Logging_1382/tillsynsmail/A 5005-2022 tillsynsbegäran mail.docx", "A 5005-2022")</f>
        <v/>
      </c>
      <c r="Z2">
        <f>HYPERLINK("https://klasma.github.io/Logging_1382/fåglar/A 5005-2022 prioriterade fågelarter.docx", "A 5005-2022")</f>
        <v/>
      </c>
    </row>
    <row r="3" ht="15" customHeight="1">
      <c r="A3" t="inlineStr">
        <is>
          <t>A 52544-2020</t>
        </is>
      </c>
      <c r="B3" s="1" t="n">
        <v>44116</v>
      </c>
      <c r="C3" s="1" t="n">
        <v>45358</v>
      </c>
      <c r="D3" t="inlineStr">
        <is>
          <t>HALLANDS LÄN</t>
        </is>
      </c>
      <c r="E3" t="inlineStr">
        <is>
          <t>VARBERG</t>
        </is>
      </c>
      <c r="F3" t="inlineStr">
        <is>
          <t>Kyrkan</t>
        </is>
      </c>
      <c r="G3" t="n">
        <v>12.1</v>
      </c>
      <c r="H3" t="n">
        <v>2</v>
      </c>
      <c r="I3" t="n">
        <v>4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7</v>
      </c>
      <c r="R3" s="2" t="inlineStr">
        <is>
          <t>Brunpudrad nållav
Spillkråka
Brandticka
Gulnål
Stor revmossa
Thomsons trägnagare
Revlummer</t>
        </is>
      </c>
      <c r="S3">
        <f>HYPERLINK("https://klasma.github.io/Logging_1383/artfynd/A 52544-2020 artfynd.xlsx", "A 52544-2020")</f>
        <v/>
      </c>
      <c r="T3">
        <f>HYPERLINK("https://klasma.github.io/Logging_1383/kartor/A 52544-2020 karta.png", "A 52544-2020")</f>
        <v/>
      </c>
      <c r="V3">
        <f>HYPERLINK("https://klasma.github.io/Logging_1383/klagomål/A 52544-2020 FSC-klagomål.docx", "A 52544-2020")</f>
        <v/>
      </c>
      <c r="W3">
        <f>HYPERLINK("https://klasma.github.io/Logging_1383/klagomålsmail/A 52544-2020 FSC-klagomål mail.docx", "A 52544-2020")</f>
        <v/>
      </c>
      <c r="X3">
        <f>HYPERLINK("https://klasma.github.io/Logging_1383/tillsyn/A 52544-2020 tillsynsbegäran.docx", "A 52544-2020")</f>
        <v/>
      </c>
      <c r="Y3">
        <f>HYPERLINK("https://klasma.github.io/Logging_1383/tillsynsmail/A 52544-2020 tillsynsbegäran mail.docx", "A 52544-2020")</f>
        <v/>
      </c>
      <c r="Z3">
        <f>HYPERLINK("https://klasma.github.io/Logging_1383/fåglar/A 52544-2020 prioriterade fågelarter.docx", "A 52544-2020")</f>
        <v/>
      </c>
    </row>
    <row r="4" ht="15" customHeight="1">
      <c r="A4" t="inlineStr">
        <is>
          <t>A 26302-2020</t>
        </is>
      </c>
      <c r="B4" s="1" t="n">
        <v>43986</v>
      </c>
      <c r="C4" s="1" t="n">
        <v>45358</v>
      </c>
      <c r="D4" t="inlineStr">
        <is>
          <t>HALLANDS LÄN</t>
        </is>
      </c>
      <c r="E4" t="inlineStr">
        <is>
          <t>HYLTE</t>
        </is>
      </c>
      <c r="G4" t="n">
        <v>1.3</v>
      </c>
      <c r="H4" t="n">
        <v>0</v>
      </c>
      <c r="I4" t="n">
        <v>4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4</v>
      </c>
      <c r="R4" s="2" t="inlineStr">
        <is>
          <t>Blåsfliksmossa
Fällmossa
Klippfrullania
Platt fjädermossa</t>
        </is>
      </c>
      <c r="S4">
        <f>HYPERLINK("https://klasma.github.io/Logging_1315/artfynd/A 26302-2020 artfynd.xlsx", "A 26302-2020")</f>
        <v/>
      </c>
      <c r="T4">
        <f>HYPERLINK("https://klasma.github.io/Logging_1315/kartor/A 26302-2020 karta.png", "A 26302-2020")</f>
        <v/>
      </c>
      <c r="V4">
        <f>HYPERLINK("https://klasma.github.io/Logging_1315/klagomål/A 26302-2020 FSC-klagomål.docx", "A 26302-2020")</f>
        <v/>
      </c>
      <c r="W4">
        <f>HYPERLINK("https://klasma.github.io/Logging_1315/klagomålsmail/A 26302-2020 FSC-klagomål mail.docx", "A 26302-2020")</f>
        <v/>
      </c>
      <c r="X4">
        <f>HYPERLINK("https://klasma.github.io/Logging_1315/tillsyn/A 26302-2020 tillsynsbegäran.docx", "A 26302-2020")</f>
        <v/>
      </c>
      <c r="Y4">
        <f>HYPERLINK("https://klasma.github.io/Logging_1315/tillsynsmail/A 26302-2020 tillsynsbegäran mail.docx", "A 26302-2020")</f>
        <v/>
      </c>
    </row>
    <row r="5" ht="15" customHeight="1">
      <c r="A5" t="inlineStr">
        <is>
          <t>A 36893-2020</t>
        </is>
      </c>
      <c r="B5" s="1" t="n">
        <v>44053</v>
      </c>
      <c r="C5" s="1" t="n">
        <v>45358</v>
      </c>
      <c r="D5" t="inlineStr">
        <is>
          <t>HALLANDS LÄN</t>
        </is>
      </c>
      <c r="E5" t="inlineStr">
        <is>
          <t>KUNGSBACKA</t>
        </is>
      </c>
      <c r="F5" t="inlineStr">
        <is>
          <t>Kyrkan</t>
        </is>
      </c>
      <c r="G5" t="n">
        <v>2.9</v>
      </c>
      <c r="H5" t="n">
        <v>4</v>
      </c>
      <c r="I5" t="n">
        <v>0</v>
      </c>
      <c r="J5" t="n">
        <v>4</v>
      </c>
      <c r="K5" t="n">
        <v>0</v>
      </c>
      <c r="L5" t="n">
        <v>0</v>
      </c>
      <c r="M5" t="n">
        <v>0</v>
      </c>
      <c r="N5" t="n">
        <v>0</v>
      </c>
      <c r="O5" t="n">
        <v>4</v>
      </c>
      <c r="P5" t="n">
        <v>0</v>
      </c>
      <c r="Q5" t="n">
        <v>4</v>
      </c>
      <c r="R5" s="2" t="inlineStr">
        <is>
          <t>Grönsångare
Spillkråka
Svartvit flugsnappare
Talltita</t>
        </is>
      </c>
      <c r="S5">
        <f>HYPERLINK("https://klasma.github.io/Logging_1384/artfynd/A 36893-2020 artfynd.xlsx", "A 36893-2020")</f>
        <v/>
      </c>
      <c r="T5">
        <f>HYPERLINK("https://klasma.github.io/Logging_1384/kartor/A 36893-2020 karta.png", "A 36893-2020")</f>
        <v/>
      </c>
      <c r="V5">
        <f>HYPERLINK("https://klasma.github.io/Logging_1384/klagomål/A 36893-2020 FSC-klagomål.docx", "A 36893-2020")</f>
        <v/>
      </c>
      <c r="W5">
        <f>HYPERLINK("https://klasma.github.io/Logging_1384/klagomålsmail/A 36893-2020 FSC-klagomål mail.docx", "A 36893-2020")</f>
        <v/>
      </c>
      <c r="X5">
        <f>HYPERLINK("https://klasma.github.io/Logging_1384/tillsyn/A 36893-2020 tillsynsbegäran.docx", "A 36893-2020")</f>
        <v/>
      </c>
      <c r="Y5">
        <f>HYPERLINK("https://klasma.github.io/Logging_1384/tillsynsmail/A 36893-2020 tillsynsbegäran mail.docx", "A 36893-2020")</f>
        <v/>
      </c>
      <c r="Z5">
        <f>HYPERLINK("https://klasma.github.io/Logging_1384/fåglar/A 36893-2020 prioriterade fågelarter.docx", "A 36893-2020")</f>
        <v/>
      </c>
    </row>
    <row r="6" ht="15" customHeight="1">
      <c r="A6" t="inlineStr">
        <is>
          <t>A 37951-2020</t>
        </is>
      </c>
      <c r="B6" s="1" t="n">
        <v>44057</v>
      </c>
      <c r="C6" s="1" t="n">
        <v>45358</v>
      </c>
      <c r="D6" t="inlineStr">
        <is>
          <t>HALLANDS LÄN</t>
        </is>
      </c>
      <c r="E6" t="inlineStr">
        <is>
          <t>VARBERG</t>
        </is>
      </c>
      <c r="G6" t="n">
        <v>6.8</v>
      </c>
      <c r="H6" t="n">
        <v>4</v>
      </c>
      <c r="I6" t="n">
        <v>0</v>
      </c>
      <c r="J6" t="n">
        <v>4</v>
      </c>
      <c r="K6" t="n">
        <v>0</v>
      </c>
      <c r="L6" t="n">
        <v>0</v>
      </c>
      <c r="M6" t="n">
        <v>0</v>
      </c>
      <c r="N6" t="n">
        <v>0</v>
      </c>
      <c r="O6" t="n">
        <v>4</v>
      </c>
      <c r="P6" t="n">
        <v>0</v>
      </c>
      <c r="Q6" t="n">
        <v>4</v>
      </c>
      <c r="R6" s="2" t="inlineStr">
        <is>
          <t>Drillsnäppa
Fiskmås
Sävsparv
Ärtsångare</t>
        </is>
      </c>
      <c r="S6">
        <f>HYPERLINK("https://klasma.github.io/Logging_1383/artfynd/A 37951-2020 artfynd.xlsx", "A 37951-2020")</f>
        <v/>
      </c>
      <c r="T6">
        <f>HYPERLINK("https://klasma.github.io/Logging_1383/kartor/A 37951-2020 karta.png", "A 37951-2020")</f>
        <v/>
      </c>
      <c r="V6">
        <f>HYPERLINK("https://klasma.github.io/Logging_1383/klagomål/A 37951-2020 FSC-klagomål.docx", "A 37951-2020")</f>
        <v/>
      </c>
      <c r="W6">
        <f>HYPERLINK("https://klasma.github.io/Logging_1383/klagomålsmail/A 37951-2020 FSC-klagomål mail.docx", "A 37951-2020")</f>
        <v/>
      </c>
      <c r="X6">
        <f>HYPERLINK("https://klasma.github.io/Logging_1383/tillsyn/A 37951-2020 tillsynsbegäran.docx", "A 37951-2020")</f>
        <v/>
      </c>
      <c r="Y6">
        <f>HYPERLINK("https://klasma.github.io/Logging_1383/tillsynsmail/A 37951-2020 tillsynsbegäran mail.docx", "A 37951-2020")</f>
        <v/>
      </c>
      <c r="Z6">
        <f>HYPERLINK("https://klasma.github.io/Logging_1383/fåglar/A 37951-2020 prioriterade fågelarter.docx", "A 37951-2020")</f>
        <v/>
      </c>
    </row>
    <row r="7" ht="15" customHeight="1">
      <c r="A7" t="inlineStr">
        <is>
          <t>A 52117-2022</t>
        </is>
      </c>
      <c r="B7" s="1" t="n">
        <v>44873</v>
      </c>
      <c r="C7" s="1" t="n">
        <v>45358</v>
      </c>
      <c r="D7" t="inlineStr">
        <is>
          <t>HALLANDS LÄN</t>
        </is>
      </c>
      <c r="E7" t="inlineStr">
        <is>
          <t>HYLTE</t>
        </is>
      </c>
      <c r="G7" t="n">
        <v>2</v>
      </c>
      <c r="H7" t="n">
        <v>0</v>
      </c>
      <c r="I7" t="n">
        <v>2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4</v>
      </c>
      <c r="R7" s="2" t="inlineStr">
        <is>
          <t>Bokkantlav
Bokvårtlav
Barkkornlav
Jättesvampmal</t>
        </is>
      </c>
      <c r="S7">
        <f>HYPERLINK("https://klasma.github.io/Logging_1315/artfynd/A 52117-2022 artfynd.xlsx", "A 52117-2022")</f>
        <v/>
      </c>
      <c r="T7">
        <f>HYPERLINK("https://klasma.github.io/Logging_1315/kartor/A 52117-2022 karta.png", "A 52117-2022")</f>
        <v/>
      </c>
      <c r="V7">
        <f>HYPERLINK("https://klasma.github.io/Logging_1315/klagomål/A 52117-2022 FSC-klagomål.docx", "A 52117-2022")</f>
        <v/>
      </c>
      <c r="W7">
        <f>HYPERLINK("https://klasma.github.io/Logging_1315/klagomålsmail/A 52117-2022 FSC-klagomål mail.docx", "A 52117-2022")</f>
        <v/>
      </c>
      <c r="X7">
        <f>HYPERLINK("https://klasma.github.io/Logging_1315/tillsyn/A 52117-2022 tillsynsbegäran.docx", "A 52117-2022")</f>
        <v/>
      </c>
      <c r="Y7">
        <f>HYPERLINK("https://klasma.github.io/Logging_1315/tillsynsmail/A 52117-2022 tillsynsbegäran mail.docx", "A 52117-2022")</f>
        <v/>
      </c>
    </row>
    <row r="8" ht="15" customHeight="1">
      <c r="A8" t="inlineStr">
        <is>
          <t>A 40686-2023</t>
        </is>
      </c>
      <c r="B8" s="1" t="n">
        <v>45168</v>
      </c>
      <c r="C8" s="1" t="n">
        <v>45358</v>
      </c>
      <c r="D8" t="inlineStr">
        <is>
          <t>HALLANDS LÄN</t>
        </is>
      </c>
      <c r="E8" t="inlineStr">
        <is>
          <t>HALMSTAD</t>
        </is>
      </c>
      <c r="F8" t="inlineStr">
        <is>
          <t>Kommuner</t>
        </is>
      </c>
      <c r="G8" t="n">
        <v>8.4</v>
      </c>
      <c r="H8" t="n">
        <v>3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4</v>
      </c>
      <c r="R8" s="2" t="inlineStr">
        <is>
          <t>Kambräken
Åkergroda
Vanlig padda
Mattlummer</t>
        </is>
      </c>
      <c r="S8">
        <f>HYPERLINK("https://klasma.github.io/Logging_1380/artfynd/A 40686-2023 artfynd.xlsx", "A 40686-2023")</f>
        <v/>
      </c>
      <c r="T8">
        <f>HYPERLINK("https://klasma.github.io/Logging_1380/kartor/A 40686-2023 karta.png", "A 40686-2023")</f>
        <v/>
      </c>
      <c r="V8">
        <f>HYPERLINK("https://klasma.github.io/Logging_1380/klagomål/A 40686-2023 FSC-klagomål.docx", "A 40686-2023")</f>
        <v/>
      </c>
      <c r="W8">
        <f>HYPERLINK("https://klasma.github.io/Logging_1380/klagomålsmail/A 40686-2023 FSC-klagomål mail.docx", "A 40686-2023")</f>
        <v/>
      </c>
      <c r="X8">
        <f>HYPERLINK("https://klasma.github.io/Logging_1380/tillsyn/A 40686-2023 tillsynsbegäran.docx", "A 40686-2023")</f>
        <v/>
      </c>
      <c r="Y8">
        <f>HYPERLINK("https://klasma.github.io/Logging_1380/tillsynsmail/A 40686-2023 tillsynsbegäran mail.docx", "A 40686-2023")</f>
        <v/>
      </c>
    </row>
    <row r="9" ht="15" customHeight="1">
      <c r="A9" t="inlineStr">
        <is>
          <t>A 3737-2024</t>
        </is>
      </c>
      <c r="B9" s="1" t="n">
        <v>45321</v>
      </c>
      <c r="C9" s="1" t="n">
        <v>45358</v>
      </c>
      <c r="D9" t="inlineStr">
        <is>
          <t>HALLANDS LÄN</t>
        </is>
      </c>
      <c r="E9" t="inlineStr">
        <is>
          <t>FALKENBERG</t>
        </is>
      </c>
      <c r="G9" t="n">
        <v>8.800000000000001</v>
      </c>
      <c r="H9" t="n">
        <v>0</v>
      </c>
      <c r="I9" t="n">
        <v>2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4</v>
      </c>
      <c r="R9" s="2" t="inlineStr">
        <is>
          <t>Hållav
Bokkantlav
Jättesvampmal
Kambräken</t>
        </is>
      </c>
      <c r="S9">
        <f>HYPERLINK("https://klasma.github.io/Logging_1382/artfynd/A 3737-2024 artfynd.xlsx", "A 3737-2024")</f>
        <v/>
      </c>
      <c r="T9">
        <f>HYPERLINK("https://klasma.github.io/Logging_1382/kartor/A 3737-2024 karta.png", "A 3737-2024")</f>
        <v/>
      </c>
      <c r="V9">
        <f>HYPERLINK("https://klasma.github.io/Logging_1382/klagomål/A 3737-2024 FSC-klagomål.docx", "A 3737-2024")</f>
        <v/>
      </c>
      <c r="W9">
        <f>HYPERLINK("https://klasma.github.io/Logging_1382/klagomålsmail/A 3737-2024 FSC-klagomål mail.docx", "A 3737-2024")</f>
        <v/>
      </c>
      <c r="X9">
        <f>HYPERLINK("https://klasma.github.io/Logging_1382/tillsyn/A 3737-2024 tillsynsbegäran.docx", "A 3737-2024")</f>
        <v/>
      </c>
      <c r="Y9">
        <f>HYPERLINK("https://klasma.github.io/Logging_1382/tillsynsmail/A 3737-2024 tillsynsbegäran mail.docx", "A 3737-2024")</f>
        <v/>
      </c>
    </row>
    <row r="10" ht="15" customHeight="1">
      <c r="A10" t="inlineStr">
        <is>
          <t>A 17422-2020</t>
        </is>
      </c>
      <c r="B10" s="1" t="n">
        <v>43923</v>
      </c>
      <c r="C10" s="1" t="n">
        <v>45358</v>
      </c>
      <c r="D10" t="inlineStr">
        <is>
          <t>HALLANDS LÄN</t>
        </is>
      </c>
      <c r="E10" t="inlineStr">
        <is>
          <t>HYLTE</t>
        </is>
      </c>
      <c r="G10" t="n">
        <v>6.7</v>
      </c>
      <c r="H10" t="n">
        <v>0</v>
      </c>
      <c r="I10" t="n">
        <v>3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3</v>
      </c>
      <c r="R10" s="2" t="inlineStr">
        <is>
          <t>Fällmossa
Mörk husmossa
Stubbspretmossa</t>
        </is>
      </c>
      <c r="S10">
        <f>HYPERLINK("https://klasma.github.io/Logging_1315/artfynd/A 17422-2020 artfynd.xlsx", "A 17422-2020")</f>
        <v/>
      </c>
      <c r="T10">
        <f>HYPERLINK("https://klasma.github.io/Logging_1315/kartor/A 17422-2020 karta.png", "A 17422-2020")</f>
        <v/>
      </c>
      <c r="V10">
        <f>HYPERLINK("https://klasma.github.io/Logging_1315/klagomål/A 17422-2020 FSC-klagomål.docx", "A 17422-2020")</f>
        <v/>
      </c>
      <c r="W10">
        <f>HYPERLINK("https://klasma.github.io/Logging_1315/klagomålsmail/A 17422-2020 FSC-klagomål mail.docx", "A 17422-2020")</f>
        <v/>
      </c>
      <c r="X10">
        <f>HYPERLINK("https://klasma.github.io/Logging_1315/tillsyn/A 17422-2020 tillsynsbegäran.docx", "A 17422-2020")</f>
        <v/>
      </c>
      <c r="Y10">
        <f>HYPERLINK("https://klasma.github.io/Logging_1315/tillsynsmail/A 17422-2020 tillsynsbegäran mail.docx", "A 17422-2020")</f>
        <v/>
      </c>
    </row>
    <row r="11" ht="15" customHeight="1">
      <c r="A11" t="inlineStr">
        <is>
          <t>A 32329-2021</t>
        </is>
      </c>
      <c r="B11" s="1" t="n">
        <v>44371</v>
      </c>
      <c r="C11" s="1" t="n">
        <v>45358</v>
      </c>
      <c r="D11" t="inlineStr">
        <is>
          <t>HALLANDS LÄN</t>
        </is>
      </c>
      <c r="E11" t="inlineStr">
        <is>
          <t>KUNGSBACKA</t>
        </is>
      </c>
      <c r="F11" t="inlineStr">
        <is>
          <t>Kyrkan</t>
        </is>
      </c>
      <c r="G11" t="n">
        <v>31.3</v>
      </c>
      <c r="H11" t="n">
        <v>2</v>
      </c>
      <c r="I11" t="n">
        <v>1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3</v>
      </c>
      <c r="R11" s="2" t="inlineStr">
        <is>
          <t>Spillkråka
Talltita
Kambräken</t>
        </is>
      </c>
      <c r="S11">
        <f>HYPERLINK("https://klasma.github.io/Logging_1384/artfynd/A 32329-2021 artfynd.xlsx", "A 32329-2021")</f>
        <v/>
      </c>
      <c r="T11">
        <f>HYPERLINK("https://klasma.github.io/Logging_1384/kartor/A 32329-2021 karta.png", "A 32329-2021")</f>
        <v/>
      </c>
      <c r="V11">
        <f>HYPERLINK("https://klasma.github.io/Logging_1384/klagomål/A 32329-2021 FSC-klagomål.docx", "A 32329-2021")</f>
        <v/>
      </c>
      <c r="W11">
        <f>HYPERLINK("https://klasma.github.io/Logging_1384/klagomålsmail/A 32329-2021 FSC-klagomål mail.docx", "A 32329-2021")</f>
        <v/>
      </c>
      <c r="X11">
        <f>HYPERLINK("https://klasma.github.io/Logging_1384/tillsyn/A 32329-2021 tillsynsbegäran.docx", "A 32329-2021")</f>
        <v/>
      </c>
      <c r="Y11">
        <f>HYPERLINK("https://klasma.github.io/Logging_1384/tillsynsmail/A 32329-2021 tillsynsbegäran mail.docx", "A 32329-2021")</f>
        <v/>
      </c>
      <c r="Z11">
        <f>HYPERLINK("https://klasma.github.io/Logging_1384/fåglar/A 32329-2021 prioriterade fågelarter.docx", "A 32329-2021")</f>
        <v/>
      </c>
    </row>
    <row r="12" ht="15" customHeight="1">
      <c r="A12" t="inlineStr">
        <is>
          <t>A 35037-2021</t>
        </is>
      </c>
      <c r="B12" s="1" t="n">
        <v>44383</v>
      </c>
      <c r="C12" s="1" t="n">
        <v>45358</v>
      </c>
      <c r="D12" t="inlineStr">
        <is>
          <t>HALLANDS LÄN</t>
        </is>
      </c>
      <c r="E12" t="inlineStr">
        <is>
          <t>VARBERG</t>
        </is>
      </c>
      <c r="G12" t="n">
        <v>1.6</v>
      </c>
      <c r="H12" t="n">
        <v>1</v>
      </c>
      <c r="I12" t="n">
        <v>2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3</v>
      </c>
      <c r="R12" s="2" t="inlineStr">
        <is>
          <t>Grov fjädermossa
Mörk husmossa
Revlummer</t>
        </is>
      </c>
      <c r="S12">
        <f>HYPERLINK("https://klasma.github.io/Logging_1383/artfynd/A 35037-2021 artfynd.xlsx", "A 35037-2021")</f>
        <v/>
      </c>
      <c r="T12">
        <f>HYPERLINK("https://klasma.github.io/Logging_1383/kartor/A 35037-2021 karta.png", "A 35037-2021")</f>
        <v/>
      </c>
      <c r="V12">
        <f>HYPERLINK("https://klasma.github.io/Logging_1383/klagomål/A 35037-2021 FSC-klagomål.docx", "A 35037-2021")</f>
        <v/>
      </c>
      <c r="W12">
        <f>HYPERLINK("https://klasma.github.io/Logging_1383/klagomålsmail/A 35037-2021 FSC-klagomål mail.docx", "A 35037-2021")</f>
        <v/>
      </c>
      <c r="X12">
        <f>HYPERLINK("https://klasma.github.io/Logging_1383/tillsyn/A 35037-2021 tillsynsbegäran.docx", "A 35037-2021")</f>
        <v/>
      </c>
      <c r="Y12">
        <f>HYPERLINK("https://klasma.github.io/Logging_1383/tillsynsmail/A 35037-2021 tillsynsbegäran mail.docx", "A 35037-2021")</f>
        <v/>
      </c>
    </row>
    <row r="13" ht="15" customHeight="1">
      <c r="A13" t="inlineStr">
        <is>
          <t>A 13374-2022</t>
        </is>
      </c>
      <c r="B13" s="1" t="n">
        <v>44645</v>
      </c>
      <c r="C13" s="1" t="n">
        <v>45358</v>
      </c>
      <c r="D13" t="inlineStr">
        <is>
          <t>HALLANDS LÄN</t>
        </is>
      </c>
      <c r="E13" t="inlineStr">
        <is>
          <t>KUNGSBACKA</t>
        </is>
      </c>
      <c r="G13" t="n">
        <v>10.5</v>
      </c>
      <c r="H13" t="n">
        <v>3</v>
      </c>
      <c r="I13" t="n">
        <v>0</v>
      </c>
      <c r="J13" t="n">
        <v>3</v>
      </c>
      <c r="K13" t="n">
        <v>0</v>
      </c>
      <c r="L13" t="n">
        <v>0</v>
      </c>
      <c r="M13" t="n">
        <v>0</v>
      </c>
      <c r="N13" t="n">
        <v>0</v>
      </c>
      <c r="O13" t="n">
        <v>3</v>
      </c>
      <c r="P13" t="n">
        <v>0</v>
      </c>
      <c r="Q13" t="n">
        <v>3</v>
      </c>
      <c r="R13" s="2" t="inlineStr">
        <is>
          <t>Entita
Grönsångare
Svartvit flugsnappare</t>
        </is>
      </c>
      <c r="S13">
        <f>HYPERLINK("https://klasma.github.io/Logging_1384/artfynd/A 13374-2022 artfynd.xlsx", "A 13374-2022")</f>
        <v/>
      </c>
      <c r="T13">
        <f>HYPERLINK("https://klasma.github.io/Logging_1384/kartor/A 13374-2022 karta.png", "A 13374-2022")</f>
        <v/>
      </c>
      <c r="V13">
        <f>HYPERLINK("https://klasma.github.io/Logging_1384/klagomål/A 13374-2022 FSC-klagomål.docx", "A 13374-2022")</f>
        <v/>
      </c>
      <c r="W13">
        <f>HYPERLINK("https://klasma.github.io/Logging_1384/klagomålsmail/A 13374-2022 FSC-klagomål mail.docx", "A 13374-2022")</f>
        <v/>
      </c>
      <c r="X13">
        <f>HYPERLINK("https://klasma.github.io/Logging_1384/tillsyn/A 13374-2022 tillsynsbegäran.docx", "A 13374-2022")</f>
        <v/>
      </c>
      <c r="Y13">
        <f>HYPERLINK("https://klasma.github.io/Logging_1384/tillsynsmail/A 13374-2022 tillsynsbegäran mail.docx", "A 13374-2022")</f>
        <v/>
      </c>
      <c r="Z13">
        <f>HYPERLINK("https://klasma.github.io/Logging_1384/fåglar/A 13374-2022 prioriterade fågelarter.docx", "A 13374-2022")</f>
        <v/>
      </c>
    </row>
    <row r="14" ht="15" customHeight="1">
      <c r="A14" t="inlineStr">
        <is>
          <t>A 65198-2023</t>
        </is>
      </c>
      <c r="B14" s="1" t="n">
        <v>45288</v>
      </c>
      <c r="C14" s="1" t="n">
        <v>45358</v>
      </c>
      <c r="D14" t="inlineStr">
        <is>
          <t>HALLANDS LÄN</t>
        </is>
      </c>
      <c r="E14" t="inlineStr">
        <is>
          <t>KUNGSBACKA</t>
        </is>
      </c>
      <c r="G14" t="n">
        <v>2.8</v>
      </c>
      <c r="H14" t="n">
        <v>0</v>
      </c>
      <c r="I14" t="n">
        <v>3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3</v>
      </c>
      <c r="R14" s="2" t="inlineStr">
        <is>
          <t>Blåsfliksmossa
Grov fjädermossa
Mussellav</t>
        </is>
      </c>
      <c r="S14">
        <f>HYPERLINK("https://klasma.github.io/Logging_1384/artfynd/A 65198-2023 artfynd.xlsx", "A 65198-2023")</f>
        <v/>
      </c>
      <c r="T14">
        <f>HYPERLINK("https://klasma.github.io/Logging_1384/kartor/A 65198-2023 karta.png", "A 65198-2023")</f>
        <v/>
      </c>
      <c r="V14">
        <f>HYPERLINK("https://klasma.github.io/Logging_1384/klagomål/A 65198-2023 FSC-klagomål.docx", "A 65198-2023")</f>
        <v/>
      </c>
      <c r="W14">
        <f>HYPERLINK("https://klasma.github.io/Logging_1384/klagomålsmail/A 65198-2023 FSC-klagomål mail.docx", "A 65198-2023")</f>
        <v/>
      </c>
      <c r="X14">
        <f>HYPERLINK("https://klasma.github.io/Logging_1384/tillsyn/A 65198-2023 tillsynsbegäran.docx", "A 65198-2023")</f>
        <v/>
      </c>
      <c r="Y14">
        <f>HYPERLINK("https://klasma.github.io/Logging_1384/tillsynsmail/A 65198-2023 tillsynsbegäran mail.docx", "A 65198-2023")</f>
        <v/>
      </c>
    </row>
    <row r="15" ht="15" customHeight="1">
      <c r="A15" t="inlineStr">
        <is>
          <t>A 63310-2018</t>
        </is>
      </c>
      <c r="B15" s="1" t="n">
        <v>43427</v>
      </c>
      <c r="C15" s="1" t="n">
        <v>45358</v>
      </c>
      <c r="D15" t="inlineStr">
        <is>
          <t>HALLANDS LÄN</t>
        </is>
      </c>
      <c r="E15" t="inlineStr">
        <is>
          <t>FALKENBERG</t>
        </is>
      </c>
      <c r="G15" t="n">
        <v>7.2</v>
      </c>
      <c r="H15" t="n">
        <v>0</v>
      </c>
      <c r="I15" t="n">
        <v>2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Grov fjädermossa
Skuggsprötmossa</t>
        </is>
      </c>
      <c r="S15">
        <f>HYPERLINK("https://klasma.github.io/Logging_1382/artfynd/A 63310-2018 artfynd.xlsx", "A 63310-2018")</f>
        <v/>
      </c>
      <c r="T15">
        <f>HYPERLINK("https://klasma.github.io/Logging_1382/kartor/A 63310-2018 karta.png", "A 63310-2018")</f>
        <v/>
      </c>
      <c r="V15">
        <f>HYPERLINK("https://klasma.github.io/Logging_1382/klagomål/A 63310-2018 FSC-klagomål.docx", "A 63310-2018")</f>
        <v/>
      </c>
      <c r="W15">
        <f>HYPERLINK("https://klasma.github.io/Logging_1382/klagomålsmail/A 63310-2018 FSC-klagomål mail.docx", "A 63310-2018")</f>
        <v/>
      </c>
      <c r="X15">
        <f>HYPERLINK("https://klasma.github.io/Logging_1382/tillsyn/A 63310-2018 tillsynsbegäran.docx", "A 63310-2018")</f>
        <v/>
      </c>
      <c r="Y15">
        <f>HYPERLINK("https://klasma.github.io/Logging_1382/tillsynsmail/A 63310-2018 tillsynsbegäran mail.docx", "A 63310-2018")</f>
        <v/>
      </c>
    </row>
    <row r="16" ht="15" customHeight="1">
      <c r="A16" t="inlineStr">
        <is>
          <t>A 63320-2018</t>
        </is>
      </c>
      <c r="B16" s="1" t="n">
        <v>43427</v>
      </c>
      <c r="C16" s="1" t="n">
        <v>45358</v>
      </c>
      <c r="D16" t="inlineStr">
        <is>
          <t>HALLANDS LÄN</t>
        </is>
      </c>
      <c r="E16" t="inlineStr">
        <is>
          <t>FALKENBERG</t>
        </is>
      </c>
      <c r="G16" t="n">
        <v>6.1</v>
      </c>
      <c r="H16" t="n">
        <v>0</v>
      </c>
      <c r="I16" t="n">
        <v>2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Grov fjädermossa
Skuggsprötmossa</t>
        </is>
      </c>
      <c r="S16">
        <f>HYPERLINK("https://klasma.github.io/Logging_1382/artfynd/A 63320-2018 artfynd.xlsx", "A 63320-2018")</f>
        <v/>
      </c>
      <c r="T16">
        <f>HYPERLINK("https://klasma.github.io/Logging_1382/kartor/A 63320-2018 karta.png", "A 63320-2018")</f>
        <v/>
      </c>
      <c r="V16">
        <f>HYPERLINK("https://klasma.github.io/Logging_1382/klagomål/A 63320-2018 FSC-klagomål.docx", "A 63320-2018")</f>
        <v/>
      </c>
      <c r="W16">
        <f>HYPERLINK("https://klasma.github.io/Logging_1382/klagomålsmail/A 63320-2018 FSC-klagomål mail.docx", "A 63320-2018")</f>
        <v/>
      </c>
      <c r="X16">
        <f>HYPERLINK("https://klasma.github.io/Logging_1382/tillsyn/A 63320-2018 tillsynsbegäran.docx", "A 63320-2018")</f>
        <v/>
      </c>
      <c r="Y16">
        <f>HYPERLINK("https://klasma.github.io/Logging_1382/tillsynsmail/A 63320-2018 tillsynsbegäran mail.docx", "A 63320-2018")</f>
        <v/>
      </c>
    </row>
    <row r="17" ht="15" customHeight="1">
      <c r="A17" t="inlineStr">
        <is>
          <t>A 69549-2018</t>
        </is>
      </c>
      <c r="B17" s="1" t="n">
        <v>43440</v>
      </c>
      <c r="C17" s="1" t="n">
        <v>45358</v>
      </c>
      <c r="D17" t="inlineStr">
        <is>
          <t>HALLANDS LÄN</t>
        </is>
      </c>
      <c r="E17" t="inlineStr">
        <is>
          <t>LAHOLM</t>
        </is>
      </c>
      <c r="G17" t="n">
        <v>6.8</v>
      </c>
      <c r="H17" t="n">
        <v>0</v>
      </c>
      <c r="I17" t="n">
        <v>0</v>
      </c>
      <c r="J17" t="n">
        <v>1</v>
      </c>
      <c r="K17" t="n">
        <v>1</v>
      </c>
      <c r="L17" t="n">
        <v>0</v>
      </c>
      <c r="M17" t="n">
        <v>0</v>
      </c>
      <c r="N17" t="n">
        <v>0</v>
      </c>
      <c r="O17" t="n">
        <v>2</v>
      </c>
      <c r="P17" t="n">
        <v>1</v>
      </c>
      <c r="Q17" t="n">
        <v>2</v>
      </c>
      <c r="R17" s="2" t="inlineStr">
        <is>
          <t>Vildris
Hårginst</t>
        </is>
      </c>
      <c r="S17">
        <f>HYPERLINK("https://klasma.github.io/Logging_1381/artfynd/A 69549-2018 artfynd.xlsx", "A 69549-2018")</f>
        <v/>
      </c>
      <c r="T17">
        <f>HYPERLINK("https://klasma.github.io/Logging_1381/kartor/A 69549-2018 karta.png", "A 69549-2018")</f>
        <v/>
      </c>
      <c r="V17">
        <f>HYPERLINK("https://klasma.github.io/Logging_1381/klagomål/A 69549-2018 FSC-klagomål.docx", "A 69549-2018")</f>
        <v/>
      </c>
      <c r="W17">
        <f>HYPERLINK("https://klasma.github.io/Logging_1381/klagomålsmail/A 69549-2018 FSC-klagomål mail.docx", "A 69549-2018")</f>
        <v/>
      </c>
      <c r="X17">
        <f>HYPERLINK("https://klasma.github.io/Logging_1381/tillsyn/A 69549-2018 tillsynsbegäran.docx", "A 69549-2018")</f>
        <v/>
      </c>
      <c r="Y17">
        <f>HYPERLINK("https://klasma.github.io/Logging_1381/tillsynsmail/A 69549-2018 tillsynsbegäran mail.docx", "A 69549-2018")</f>
        <v/>
      </c>
    </row>
    <row r="18" ht="15" customHeight="1">
      <c r="A18" t="inlineStr">
        <is>
          <t>A 13512-2019</t>
        </is>
      </c>
      <c r="B18" s="1" t="n">
        <v>43530</v>
      </c>
      <c r="C18" s="1" t="n">
        <v>45358</v>
      </c>
      <c r="D18" t="inlineStr">
        <is>
          <t>HALLANDS LÄN</t>
        </is>
      </c>
      <c r="E18" t="inlineStr">
        <is>
          <t>VARBERG</t>
        </is>
      </c>
      <c r="G18" t="n">
        <v>6.1</v>
      </c>
      <c r="H18" t="n">
        <v>2</v>
      </c>
      <c r="I18" t="n">
        <v>0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2</v>
      </c>
      <c r="R18" s="2" t="inlineStr">
        <is>
          <t>Spillkråka
Talltita</t>
        </is>
      </c>
      <c r="S18">
        <f>HYPERLINK("https://klasma.github.io/Logging_1383/artfynd/A 13512-2019 artfynd.xlsx", "A 13512-2019")</f>
        <v/>
      </c>
      <c r="T18">
        <f>HYPERLINK("https://klasma.github.io/Logging_1383/kartor/A 13512-2019 karta.png", "A 13512-2019")</f>
        <v/>
      </c>
      <c r="V18">
        <f>HYPERLINK("https://klasma.github.io/Logging_1383/klagomål/A 13512-2019 FSC-klagomål.docx", "A 13512-2019")</f>
        <v/>
      </c>
      <c r="W18">
        <f>HYPERLINK("https://klasma.github.io/Logging_1383/klagomålsmail/A 13512-2019 FSC-klagomål mail.docx", "A 13512-2019")</f>
        <v/>
      </c>
      <c r="X18">
        <f>HYPERLINK("https://klasma.github.io/Logging_1383/tillsyn/A 13512-2019 tillsynsbegäran.docx", "A 13512-2019")</f>
        <v/>
      </c>
      <c r="Y18">
        <f>HYPERLINK("https://klasma.github.io/Logging_1383/tillsynsmail/A 13512-2019 tillsynsbegäran mail.docx", "A 13512-2019")</f>
        <v/>
      </c>
      <c r="Z18">
        <f>HYPERLINK("https://klasma.github.io/Logging_1383/fåglar/A 13512-2019 prioriterade fågelarter.docx", "A 13512-2019")</f>
        <v/>
      </c>
    </row>
    <row r="19" ht="15" customHeight="1">
      <c r="A19" t="inlineStr">
        <is>
          <t>A 57960-2019</t>
        </is>
      </c>
      <c r="B19" s="1" t="n">
        <v>43769</v>
      </c>
      <c r="C19" s="1" t="n">
        <v>45358</v>
      </c>
      <c r="D19" t="inlineStr">
        <is>
          <t>HALLANDS LÄN</t>
        </is>
      </c>
      <c r="E19" t="inlineStr">
        <is>
          <t>HYLTE</t>
        </is>
      </c>
      <c r="G19" t="n">
        <v>0.8</v>
      </c>
      <c r="H19" t="n">
        <v>1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s="2" t="inlineStr">
        <is>
          <t>Källpraktmossa
Blåsippa</t>
        </is>
      </c>
      <c r="S19">
        <f>HYPERLINK("https://klasma.github.io/Logging_1315/artfynd/A 57960-2019 artfynd.xlsx", "A 57960-2019")</f>
        <v/>
      </c>
      <c r="T19">
        <f>HYPERLINK("https://klasma.github.io/Logging_1315/kartor/A 57960-2019 karta.png", "A 57960-2019")</f>
        <v/>
      </c>
      <c r="V19">
        <f>HYPERLINK("https://klasma.github.io/Logging_1315/klagomål/A 57960-2019 FSC-klagomål.docx", "A 57960-2019")</f>
        <v/>
      </c>
      <c r="W19">
        <f>HYPERLINK("https://klasma.github.io/Logging_1315/klagomålsmail/A 57960-2019 FSC-klagomål mail.docx", "A 57960-2019")</f>
        <v/>
      </c>
      <c r="X19">
        <f>HYPERLINK("https://klasma.github.io/Logging_1315/tillsyn/A 57960-2019 tillsynsbegäran.docx", "A 57960-2019")</f>
        <v/>
      </c>
      <c r="Y19">
        <f>HYPERLINK("https://klasma.github.io/Logging_1315/tillsynsmail/A 57960-2019 tillsynsbegäran mail.docx", "A 57960-2019")</f>
        <v/>
      </c>
    </row>
    <row r="20" ht="15" customHeight="1">
      <c r="A20" t="inlineStr">
        <is>
          <t>A 61149-2019</t>
        </is>
      </c>
      <c r="B20" s="1" t="n">
        <v>43782</v>
      </c>
      <c r="C20" s="1" t="n">
        <v>45358</v>
      </c>
      <c r="D20" t="inlineStr">
        <is>
          <t>HALLANDS LÄN</t>
        </is>
      </c>
      <c r="E20" t="inlineStr">
        <is>
          <t>VARBERG</t>
        </is>
      </c>
      <c r="G20" t="n">
        <v>10.8</v>
      </c>
      <c r="H20" t="n">
        <v>2</v>
      </c>
      <c r="I20" t="n">
        <v>0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2</v>
      </c>
      <c r="R20" s="2" t="inlineStr">
        <is>
          <t>Björktrast
Grönsångare</t>
        </is>
      </c>
      <c r="S20">
        <f>HYPERLINK("https://klasma.github.io/Logging_1383/artfynd/A 61149-2019 artfynd.xlsx", "A 61149-2019")</f>
        <v/>
      </c>
      <c r="T20">
        <f>HYPERLINK("https://klasma.github.io/Logging_1383/kartor/A 61149-2019 karta.png", "A 61149-2019")</f>
        <v/>
      </c>
      <c r="V20">
        <f>HYPERLINK("https://klasma.github.io/Logging_1383/klagomål/A 61149-2019 FSC-klagomål.docx", "A 61149-2019")</f>
        <v/>
      </c>
      <c r="W20">
        <f>HYPERLINK("https://klasma.github.io/Logging_1383/klagomålsmail/A 61149-2019 FSC-klagomål mail.docx", "A 61149-2019")</f>
        <v/>
      </c>
      <c r="X20">
        <f>HYPERLINK("https://klasma.github.io/Logging_1383/tillsyn/A 61149-2019 tillsynsbegäran.docx", "A 61149-2019")</f>
        <v/>
      </c>
      <c r="Y20">
        <f>HYPERLINK("https://klasma.github.io/Logging_1383/tillsynsmail/A 61149-2019 tillsynsbegäran mail.docx", "A 61149-2019")</f>
        <v/>
      </c>
    </row>
    <row r="21" ht="15" customHeight="1">
      <c r="A21" t="inlineStr">
        <is>
          <t>A 68552-2020</t>
        </is>
      </c>
      <c r="B21" s="1" t="n">
        <v>44186</v>
      </c>
      <c r="C21" s="1" t="n">
        <v>45358</v>
      </c>
      <c r="D21" t="inlineStr">
        <is>
          <t>HALLANDS LÄN</t>
        </is>
      </c>
      <c r="E21" t="inlineStr">
        <is>
          <t>FALKENBERG</t>
        </is>
      </c>
      <c r="G21" t="n">
        <v>4.5</v>
      </c>
      <c r="H21" t="n">
        <v>1</v>
      </c>
      <c r="I21" t="n">
        <v>0</v>
      </c>
      <c r="J21" t="n">
        <v>1</v>
      </c>
      <c r="K21" t="n">
        <v>0</v>
      </c>
      <c r="L21" t="n">
        <v>1</v>
      </c>
      <c r="M21" t="n">
        <v>0</v>
      </c>
      <c r="N21" t="n">
        <v>0</v>
      </c>
      <c r="O21" t="n">
        <v>2</v>
      </c>
      <c r="P21" t="n">
        <v>1</v>
      </c>
      <c r="Q21" t="n">
        <v>2</v>
      </c>
      <c r="R21" s="2" t="inlineStr">
        <is>
          <t>Tornseglare
Backtimjan</t>
        </is>
      </c>
      <c r="S21">
        <f>HYPERLINK("https://klasma.github.io/Logging_1382/artfynd/A 68552-2020 artfynd.xlsx", "A 68552-2020")</f>
        <v/>
      </c>
      <c r="T21">
        <f>HYPERLINK("https://klasma.github.io/Logging_1382/kartor/A 68552-2020 karta.png", "A 68552-2020")</f>
        <v/>
      </c>
      <c r="V21">
        <f>HYPERLINK("https://klasma.github.io/Logging_1382/klagomål/A 68552-2020 FSC-klagomål.docx", "A 68552-2020")</f>
        <v/>
      </c>
      <c r="W21">
        <f>HYPERLINK("https://klasma.github.io/Logging_1382/klagomålsmail/A 68552-2020 FSC-klagomål mail.docx", "A 68552-2020")</f>
        <v/>
      </c>
      <c r="X21">
        <f>HYPERLINK("https://klasma.github.io/Logging_1382/tillsyn/A 68552-2020 tillsynsbegäran.docx", "A 68552-2020")</f>
        <v/>
      </c>
      <c r="Y21">
        <f>HYPERLINK("https://klasma.github.io/Logging_1382/tillsynsmail/A 68552-2020 tillsynsbegäran mail.docx", "A 68552-2020")</f>
        <v/>
      </c>
      <c r="Z21">
        <f>HYPERLINK("https://klasma.github.io/Logging_1382/fåglar/A 68552-2020 prioriterade fågelarter.docx", "A 68552-2020")</f>
        <v/>
      </c>
    </row>
    <row r="22" ht="15" customHeight="1">
      <c r="A22" t="inlineStr">
        <is>
          <t>A 30862-2021</t>
        </is>
      </c>
      <c r="B22" s="1" t="n">
        <v>44365</v>
      </c>
      <c r="C22" s="1" t="n">
        <v>45358</v>
      </c>
      <c r="D22" t="inlineStr">
        <is>
          <t>HALLANDS LÄN</t>
        </is>
      </c>
      <c r="E22" t="inlineStr">
        <is>
          <t>FALKENBERG</t>
        </is>
      </c>
      <c r="G22" t="n">
        <v>2.5</v>
      </c>
      <c r="H22" t="n">
        <v>1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2</v>
      </c>
      <c r="R22" s="2" t="inlineStr">
        <is>
          <t>Blåmossa
Revlummer</t>
        </is>
      </c>
      <c r="S22">
        <f>HYPERLINK("https://klasma.github.io/Logging_1382/artfynd/A 30862-2021 artfynd.xlsx", "A 30862-2021")</f>
        <v/>
      </c>
      <c r="T22">
        <f>HYPERLINK("https://klasma.github.io/Logging_1382/kartor/A 30862-2021 karta.png", "A 30862-2021")</f>
        <v/>
      </c>
      <c r="V22">
        <f>HYPERLINK("https://klasma.github.io/Logging_1382/klagomål/A 30862-2021 FSC-klagomål.docx", "A 30862-2021")</f>
        <v/>
      </c>
      <c r="W22">
        <f>HYPERLINK("https://klasma.github.io/Logging_1382/klagomålsmail/A 30862-2021 FSC-klagomål mail.docx", "A 30862-2021")</f>
        <v/>
      </c>
      <c r="X22">
        <f>HYPERLINK("https://klasma.github.io/Logging_1382/tillsyn/A 30862-2021 tillsynsbegäran.docx", "A 30862-2021")</f>
        <v/>
      </c>
      <c r="Y22">
        <f>HYPERLINK("https://klasma.github.io/Logging_1382/tillsynsmail/A 30862-2021 tillsynsbegäran mail.docx", "A 30862-2021")</f>
        <v/>
      </c>
    </row>
    <row r="23" ht="15" customHeight="1">
      <c r="A23" t="inlineStr">
        <is>
          <t>A 4720-2022</t>
        </is>
      </c>
      <c r="B23" s="1" t="n">
        <v>44592</v>
      </c>
      <c r="C23" s="1" t="n">
        <v>45358</v>
      </c>
      <c r="D23" t="inlineStr">
        <is>
          <t>HALLANDS LÄN</t>
        </is>
      </c>
      <c r="E23" t="inlineStr">
        <is>
          <t>FALKENBERG</t>
        </is>
      </c>
      <c r="F23" t="inlineStr">
        <is>
          <t>Kyrkan</t>
        </is>
      </c>
      <c r="G23" t="n">
        <v>0.4</v>
      </c>
      <c r="H23" t="n">
        <v>2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2</v>
      </c>
      <c r="R23" s="2" t="inlineStr">
        <is>
          <t>Åkergroda
Vanlig padda</t>
        </is>
      </c>
      <c r="S23">
        <f>HYPERLINK("https://klasma.github.io/Logging_1382/artfynd/A 4720-2022 artfynd.xlsx", "A 4720-2022")</f>
        <v/>
      </c>
      <c r="T23">
        <f>HYPERLINK("https://klasma.github.io/Logging_1382/kartor/A 4720-2022 karta.png", "A 4720-2022")</f>
        <v/>
      </c>
      <c r="V23">
        <f>HYPERLINK("https://klasma.github.io/Logging_1382/klagomål/A 4720-2022 FSC-klagomål.docx", "A 4720-2022")</f>
        <v/>
      </c>
      <c r="W23">
        <f>HYPERLINK("https://klasma.github.io/Logging_1382/klagomålsmail/A 4720-2022 FSC-klagomål mail.docx", "A 4720-2022")</f>
        <v/>
      </c>
      <c r="X23">
        <f>HYPERLINK("https://klasma.github.io/Logging_1382/tillsyn/A 4720-2022 tillsynsbegäran.docx", "A 4720-2022")</f>
        <v/>
      </c>
      <c r="Y23">
        <f>HYPERLINK("https://klasma.github.io/Logging_1382/tillsynsmail/A 4720-2022 tillsynsbegäran mail.docx", "A 4720-2022")</f>
        <v/>
      </c>
    </row>
    <row r="24" ht="15" customHeight="1">
      <c r="A24" t="inlineStr">
        <is>
          <t>A 5002-2022</t>
        </is>
      </c>
      <c r="B24" s="1" t="n">
        <v>44593</v>
      </c>
      <c r="C24" s="1" t="n">
        <v>45358</v>
      </c>
      <c r="D24" t="inlineStr">
        <is>
          <t>HALLANDS LÄN</t>
        </is>
      </c>
      <c r="E24" t="inlineStr">
        <is>
          <t>FALKENBERG</t>
        </is>
      </c>
      <c r="F24" t="inlineStr">
        <is>
          <t>Kyrkan</t>
        </is>
      </c>
      <c r="G24" t="n">
        <v>2.9</v>
      </c>
      <c r="H24" t="n">
        <v>1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2</v>
      </c>
      <c r="R24" s="2" t="inlineStr">
        <is>
          <t>Mörk husmossa
Revlummer</t>
        </is>
      </c>
      <c r="S24">
        <f>HYPERLINK("https://klasma.github.io/Logging_1382/artfynd/A 5002-2022 artfynd.xlsx", "A 5002-2022")</f>
        <v/>
      </c>
      <c r="T24">
        <f>HYPERLINK("https://klasma.github.io/Logging_1382/kartor/A 5002-2022 karta.png", "A 5002-2022")</f>
        <v/>
      </c>
      <c r="V24">
        <f>HYPERLINK("https://klasma.github.io/Logging_1382/klagomål/A 5002-2022 FSC-klagomål.docx", "A 5002-2022")</f>
        <v/>
      </c>
      <c r="W24">
        <f>HYPERLINK("https://klasma.github.io/Logging_1382/klagomålsmail/A 5002-2022 FSC-klagomål mail.docx", "A 5002-2022")</f>
        <v/>
      </c>
      <c r="X24">
        <f>HYPERLINK("https://klasma.github.io/Logging_1382/tillsyn/A 5002-2022 tillsynsbegäran.docx", "A 5002-2022")</f>
        <v/>
      </c>
      <c r="Y24">
        <f>HYPERLINK("https://klasma.github.io/Logging_1382/tillsynsmail/A 5002-2022 tillsynsbegäran mail.docx", "A 5002-2022")</f>
        <v/>
      </c>
    </row>
    <row r="25" ht="15" customHeight="1">
      <c r="A25" t="inlineStr">
        <is>
          <t>A 19477-2022</t>
        </is>
      </c>
      <c r="B25" s="1" t="n">
        <v>44693</v>
      </c>
      <c r="C25" s="1" t="n">
        <v>45358</v>
      </c>
      <c r="D25" t="inlineStr">
        <is>
          <t>HALLANDS LÄN</t>
        </is>
      </c>
      <c r="E25" t="inlineStr">
        <is>
          <t>HYLTE</t>
        </is>
      </c>
      <c r="G25" t="n">
        <v>13</v>
      </c>
      <c r="H25" t="n">
        <v>2</v>
      </c>
      <c r="I25" t="n">
        <v>1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1</v>
      </c>
      <c r="P25" t="n">
        <v>1</v>
      </c>
      <c r="Q25" t="n">
        <v>2</v>
      </c>
      <c r="R25" s="2" t="inlineStr">
        <is>
          <t>Backsippa
Korallrot</t>
        </is>
      </c>
      <c r="S25">
        <f>HYPERLINK("https://klasma.github.io/Logging_1315/artfynd/A 19477-2022 artfynd.xlsx", "A 19477-2022")</f>
        <v/>
      </c>
      <c r="T25">
        <f>HYPERLINK("https://klasma.github.io/Logging_1315/kartor/A 19477-2022 karta.png", "A 19477-2022")</f>
        <v/>
      </c>
      <c r="V25">
        <f>HYPERLINK("https://klasma.github.io/Logging_1315/klagomål/A 19477-2022 FSC-klagomål.docx", "A 19477-2022")</f>
        <v/>
      </c>
      <c r="W25">
        <f>HYPERLINK("https://klasma.github.io/Logging_1315/klagomålsmail/A 19477-2022 FSC-klagomål mail.docx", "A 19477-2022")</f>
        <v/>
      </c>
      <c r="X25">
        <f>HYPERLINK("https://klasma.github.io/Logging_1315/tillsyn/A 19477-2022 tillsynsbegäran.docx", "A 19477-2022")</f>
        <v/>
      </c>
      <c r="Y25">
        <f>HYPERLINK("https://klasma.github.io/Logging_1315/tillsynsmail/A 19477-2022 tillsynsbegäran mail.docx", "A 19477-2022")</f>
        <v/>
      </c>
    </row>
    <row r="26" ht="15" customHeight="1">
      <c r="A26" t="inlineStr">
        <is>
          <t>A 30890-2022</t>
        </is>
      </c>
      <c r="B26" s="1" t="n">
        <v>44767</v>
      </c>
      <c r="C26" s="1" t="n">
        <v>45358</v>
      </c>
      <c r="D26" t="inlineStr">
        <is>
          <t>HALLANDS LÄN</t>
        </is>
      </c>
      <c r="E26" t="inlineStr">
        <is>
          <t>HALMSTAD</t>
        </is>
      </c>
      <c r="F26" t="inlineStr">
        <is>
          <t>Kommuner</t>
        </is>
      </c>
      <c r="G26" t="n">
        <v>3.1</v>
      </c>
      <c r="H26" t="n">
        <v>0</v>
      </c>
      <c r="I26" t="n">
        <v>0</v>
      </c>
      <c r="J26" t="n">
        <v>1</v>
      </c>
      <c r="K26" t="n">
        <v>1</v>
      </c>
      <c r="L26" t="n">
        <v>0</v>
      </c>
      <c r="M26" t="n">
        <v>0</v>
      </c>
      <c r="N26" t="n">
        <v>0</v>
      </c>
      <c r="O26" t="n">
        <v>2</v>
      </c>
      <c r="P26" t="n">
        <v>1</v>
      </c>
      <c r="Q26" t="n">
        <v>2</v>
      </c>
      <c r="R26" s="2" t="inlineStr">
        <is>
          <t>Hallandsfibbla
Narrklibbfibbla</t>
        </is>
      </c>
      <c r="S26">
        <f>HYPERLINK("https://klasma.github.io/Logging_1380/artfynd/A 30890-2022 artfynd.xlsx", "A 30890-2022")</f>
        <v/>
      </c>
      <c r="T26">
        <f>HYPERLINK("https://klasma.github.io/Logging_1380/kartor/A 30890-2022 karta.png", "A 30890-2022")</f>
        <v/>
      </c>
      <c r="V26">
        <f>HYPERLINK("https://klasma.github.io/Logging_1380/klagomål/A 30890-2022 FSC-klagomål.docx", "A 30890-2022")</f>
        <v/>
      </c>
      <c r="W26">
        <f>HYPERLINK("https://klasma.github.io/Logging_1380/klagomålsmail/A 30890-2022 FSC-klagomål mail.docx", "A 30890-2022")</f>
        <v/>
      </c>
      <c r="X26">
        <f>HYPERLINK("https://klasma.github.io/Logging_1380/tillsyn/A 30890-2022 tillsynsbegäran.docx", "A 30890-2022")</f>
        <v/>
      </c>
      <c r="Y26">
        <f>HYPERLINK("https://klasma.github.io/Logging_1380/tillsynsmail/A 30890-2022 tillsynsbegäran mail.docx", "A 30890-2022")</f>
        <v/>
      </c>
    </row>
    <row r="27" ht="15" customHeight="1">
      <c r="A27" t="inlineStr">
        <is>
          <t>A 31030-2022</t>
        </is>
      </c>
      <c r="B27" s="1" t="n">
        <v>44768</v>
      </c>
      <c r="C27" s="1" t="n">
        <v>45358</v>
      </c>
      <c r="D27" t="inlineStr">
        <is>
          <t>HALLANDS LÄN</t>
        </is>
      </c>
      <c r="E27" t="inlineStr">
        <is>
          <t>VARBERG</t>
        </is>
      </c>
      <c r="G27" t="n">
        <v>2.4</v>
      </c>
      <c r="H27" t="n">
        <v>0</v>
      </c>
      <c r="I27" t="n">
        <v>2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2</v>
      </c>
      <c r="R27" s="2" t="inlineStr">
        <is>
          <t>Blomkålssvamp
Grovticka</t>
        </is>
      </c>
      <c r="S27">
        <f>HYPERLINK("https://klasma.github.io/Logging_1383/artfynd/A 31030-2022 artfynd.xlsx", "A 31030-2022")</f>
        <v/>
      </c>
      <c r="T27">
        <f>HYPERLINK("https://klasma.github.io/Logging_1383/kartor/A 31030-2022 karta.png", "A 31030-2022")</f>
        <v/>
      </c>
      <c r="V27">
        <f>HYPERLINK("https://klasma.github.io/Logging_1383/klagomål/A 31030-2022 FSC-klagomål.docx", "A 31030-2022")</f>
        <v/>
      </c>
      <c r="W27">
        <f>HYPERLINK("https://klasma.github.io/Logging_1383/klagomålsmail/A 31030-2022 FSC-klagomål mail.docx", "A 31030-2022")</f>
        <v/>
      </c>
      <c r="X27">
        <f>HYPERLINK("https://klasma.github.io/Logging_1383/tillsyn/A 31030-2022 tillsynsbegäran.docx", "A 31030-2022")</f>
        <v/>
      </c>
      <c r="Y27">
        <f>HYPERLINK("https://klasma.github.io/Logging_1383/tillsynsmail/A 31030-2022 tillsynsbegäran mail.docx", "A 31030-2022")</f>
        <v/>
      </c>
    </row>
    <row r="28" ht="15" customHeight="1">
      <c r="A28" t="inlineStr">
        <is>
          <t>A 38411-2022</t>
        </is>
      </c>
      <c r="B28" s="1" t="n">
        <v>44812</v>
      </c>
      <c r="C28" s="1" t="n">
        <v>45358</v>
      </c>
      <c r="D28" t="inlineStr">
        <is>
          <t>HALLANDS LÄN</t>
        </is>
      </c>
      <c r="E28" t="inlineStr">
        <is>
          <t>HALMSTAD</t>
        </is>
      </c>
      <c r="G28" t="n">
        <v>19.3</v>
      </c>
      <c r="H28" t="n">
        <v>0</v>
      </c>
      <c r="I28" t="n">
        <v>2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2</v>
      </c>
      <c r="R28" s="2" t="inlineStr">
        <is>
          <t>Kransrams
Rostfläck</t>
        </is>
      </c>
      <c r="S28">
        <f>HYPERLINK("https://klasma.github.io/Logging_1380/artfynd/A 38411-2022 artfynd.xlsx", "A 38411-2022")</f>
        <v/>
      </c>
      <c r="T28">
        <f>HYPERLINK("https://klasma.github.io/Logging_1380/kartor/A 38411-2022 karta.png", "A 38411-2022")</f>
        <v/>
      </c>
      <c r="V28">
        <f>HYPERLINK("https://klasma.github.io/Logging_1380/klagomål/A 38411-2022 FSC-klagomål.docx", "A 38411-2022")</f>
        <v/>
      </c>
      <c r="W28">
        <f>HYPERLINK("https://klasma.github.io/Logging_1380/klagomålsmail/A 38411-2022 FSC-klagomål mail.docx", "A 38411-2022")</f>
        <v/>
      </c>
      <c r="X28">
        <f>HYPERLINK("https://klasma.github.io/Logging_1380/tillsyn/A 38411-2022 tillsynsbegäran.docx", "A 38411-2022")</f>
        <v/>
      </c>
      <c r="Y28">
        <f>HYPERLINK("https://klasma.github.io/Logging_1380/tillsynsmail/A 38411-2022 tillsynsbegäran mail.docx", "A 38411-2022")</f>
        <v/>
      </c>
    </row>
    <row r="29" ht="15" customHeight="1">
      <c r="A29" t="inlineStr">
        <is>
          <t>A 43379-2022</t>
        </is>
      </c>
      <c r="B29" s="1" t="n">
        <v>44834</v>
      </c>
      <c r="C29" s="1" t="n">
        <v>45358</v>
      </c>
      <c r="D29" t="inlineStr">
        <is>
          <t>HALLANDS LÄN</t>
        </is>
      </c>
      <c r="E29" t="inlineStr">
        <is>
          <t>VARBERG</t>
        </is>
      </c>
      <c r="G29" t="n">
        <v>0.9</v>
      </c>
      <c r="H29" t="n">
        <v>2</v>
      </c>
      <c r="I29" t="n">
        <v>0</v>
      </c>
      <c r="J29" t="n">
        <v>1</v>
      </c>
      <c r="K29" t="n">
        <v>0</v>
      </c>
      <c r="L29" t="n">
        <v>1</v>
      </c>
      <c r="M29" t="n">
        <v>0</v>
      </c>
      <c r="N29" t="n">
        <v>0</v>
      </c>
      <c r="O29" t="n">
        <v>2</v>
      </c>
      <c r="P29" t="n">
        <v>1</v>
      </c>
      <c r="Q29" t="n">
        <v>2</v>
      </c>
      <c r="R29" s="2" t="inlineStr">
        <is>
          <t>Grönfink
Gulsparv</t>
        </is>
      </c>
      <c r="S29">
        <f>HYPERLINK("https://klasma.github.io/Logging_1383/artfynd/A 43379-2022 artfynd.xlsx", "A 43379-2022")</f>
        <v/>
      </c>
      <c r="T29">
        <f>HYPERLINK("https://klasma.github.io/Logging_1383/kartor/A 43379-2022 karta.png", "A 43379-2022")</f>
        <v/>
      </c>
      <c r="V29">
        <f>HYPERLINK("https://klasma.github.io/Logging_1383/klagomål/A 43379-2022 FSC-klagomål.docx", "A 43379-2022")</f>
        <v/>
      </c>
      <c r="W29">
        <f>HYPERLINK("https://klasma.github.io/Logging_1383/klagomålsmail/A 43379-2022 FSC-klagomål mail.docx", "A 43379-2022")</f>
        <v/>
      </c>
      <c r="X29">
        <f>HYPERLINK("https://klasma.github.io/Logging_1383/tillsyn/A 43379-2022 tillsynsbegäran.docx", "A 43379-2022")</f>
        <v/>
      </c>
      <c r="Y29">
        <f>HYPERLINK("https://klasma.github.io/Logging_1383/tillsynsmail/A 43379-2022 tillsynsbegäran mail.docx", "A 43379-2022")</f>
        <v/>
      </c>
    </row>
    <row r="30" ht="15" customHeight="1">
      <c r="A30" t="inlineStr">
        <is>
          <t>A 6067-2023</t>
        </is>
      </c>
      <c r="B30" s="1" t="n">
        <v>44964</v>
      </c>
      <c r="C30" s="1" t="n">
        <v>45358</v>
      </c>
      <c r="D30" t="inlineStr">
        <is>
          <t>HALLANDS LÄN</t>
        </is>
      </c>
      <c r="E30" t="inlineStr">
        <is>
          <t>KUNGSBACKA</t>
        </is>
      </c>
      <c r="G30" t="n">
        <v>1.9</v>
      </c>
      <c r="H30" t="n">
        <v>2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2</v>
      </c>
      <c r="R30" s="2" t="inlineStr">
        <is>
          <t>Gråskimlig fladdermus
Större vattensalamander</t>
        </is>
      </c>
      <c r="S30">
        <f>HYPERLINK("https://klasma.github.io/Logging_1384/artfynd/A 6067-2023 artfynd.xlsx", "A 6067-2023")</f>
        <v/>
      </c>
      <c r="T30">
        <f>HYPERLINK("https://klasma.github.io/Logging_1384/kartor/A 6067-2023 karta.png", "A 6067-2023")</f>
        <v/>
      </c>
      <c r="V30">
        <f>HYPERLINK("https://klasma.github.io/Logging_1384/klagomål/A 6067-2023 FSC-klagomål.docx", "A 6067-2023")</f>
        <v/>
      </c>
      <c r="W30">
        <f>HYPERLINK("https://klasma.github.io/Logging_1384/klagomålsmail/A 6067-2023 FSC-klagomål mail.docx", "A 6067-2023")</f>
        <v/>
      </c>
      <c r="X30">
        <f>HYPERLINK("https://klasma.github.io/Logging_1384/tillsyn/A 6067-2023 tillsynsbegäran.docx", "A 6067-2023")</f>
        <v/>
      </c>
      <c r="Y30">
        <f>HYPERLINK("https://klasma.github.io/Logging_1384/tillsynsmail/A 6067-2023 tillsynsbegäran mail.docx", "A 6067-2023")</f>
        <v/>
      </c>
    </row>
    <row r="31" ht="15" customHeight="1">
      <c r="A31" t="inlineStr">
        <is>
          <t>A 27474-2023</t>
        </is>
      </c>
      <c r="B31" s="1" t="n">
        <v>45093</v>
      </c>
      <c r="C31" s="1" t="n">
        <v>45358</v>
      </c>
      <c r="D31" t="inlineStr">
        <is>
          <t>HALLANDS LÄN</t>
        </is>
      </c>
      <c r="E31" t="inlineStr">
        <is>
          <t>VARBERG</t>
        </is>
      </c>
      <c r="G31" t="n">
        <v>3</v>
      </c>
      <c r="H31" t="n">
        <v>0</v>
      </c>
      <c r="I31" t="n">
        <v>2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2</v>
      </c>
      <c r="R31" s="2" t="inlineStr">
        <is>
          <t>Björksplintborre
Jättesvampmal</t>
        </is>
      </c>
      <c r="S31">
        <f>HYPERLINK("https://klasma.github.io/Logging_1383/artfynd/A 27474-2023 artfynd.xlsx", "A 27474-2023")</f>
        <v/>
      </c>
      <c r="T31">
        <f>HYPERLINK("https://klasma.github.io/Logging_1383/kartor/A 27474-2023 karta.png", "A 27474-2023")</f>
        <v/>
      </c>
      <c r="V31">
        <f>HYPERLINK("https://klasma.github.io/Logging_1383/klagomål/A 27474-2023 FSC-klagomål.docx", "A 27474-2023")</f>
        <v/>
      </c>
      <c r="W31">
        <f>HYPERLINK("https://klasma.github.io/Logging_1383/klagomålsmail/A 27474-2023 FSC-klagomål mail.docx", "A 27474-2023")</f>
        <v/>
      </c>
      <c r="X31">
        <f>HYPERLINK("https://klasma.github.io/Logging_1383/tillsyn/A 27474-2023 tillsynsbegäran.docx", "A 27474-2023")</f>
        <v/>
      </c>
      <c r="Y31">
        <f>HYPERLINK("https://klasma.github.io/Logging_1383/tillsynsmail/A 27474-2023 tillsynsbegäran mail.docx", "A 27474-2023")</f>
        <v/>
      </c>
    </row>
    <row r="32" ht="15" customHeight="1">
      <c r="A32" t="inlineStr">
        <is>
          <t>A 48909-2023</t>
        </is>
      </c>
      <c r="B32" s="1" t="n">
        <v>45204</v>
      </c>
      <c r="C32" s="1" t="n">
        <v>45358</v>
      </c>
      <c r="D32" t="inlineStr">
        <is>
          <t>HALLANDS LÄN</t>
        </is>
      </c>
      <c r="E32" t="inlineStr">
        <is>
          <t>HALMSTAD</t>
        </is>
      </c>
      <c r="G32" t="n">
        <v>3.4</v>
      </c>
      <c r="H32" t="n">
        <v>2</v>
      </c>
      <c r="I32" t="n">
        <v>0</v>
      </c>
      <c r="J32" t="n">
        <v>2</v>
      </c>
      <c r="K32" t="n">
        <v>0</v>
      </c>
      <c r="L32" t="n">
        <v>0</v>
      </c>
      <c r="M32" t="n">
        <v>0</v>
      </c>
      <c r="N32" t="n">
        <v>0</v>
      </c>
      <c r="O32" t="n">
        <v>2</v>
      </c>
      <c r="P32" t="n">
        <v>0</v>
      </c>
      <c r="Q32" t="n">
        <v>2</v>
      </c>
      <c r="R32" s="2" t="inlineStr">
        <is>
          <t>Entita
Grönsångare</t>
        </is>
      </c>
      <c r="S32">
        <f>HYPERLINK("https://klasma.github.io/Logging_1380/artfynd/A 48909-2023 artfynd.xlsx", "A 48909-2023")</f>
        <v/>
      </c>
      <c r="T32">
        <f>HYPERLINK("https://klasma.github.io/Logging_1380/kartor/A 48909-2023 karta.png", "A 48909-2023")</f>
        <v/>
      </c>
      <c r="V32">
        <f>HYPERLINK("https://klasma.github.io/Logging_1380/klagomål/A 48909-2023 FSC-klagomål.docx", "A 48909-2023")</f>
        <v/>
      </c>
      <c r="W32">
        <f>HYPERLINK("https://klasma.github.io/Logging_1380/klagomålsmail/A 48909-2023 FSC-klagomål mail.docx", "A 48909-2023")</f>
        <v/>
      </c>
      <c r="X32">
        <f>HYPERLINK("https://klasma.github.io/Logging_1380/tillsyn/A 48909-2023 tillsynsbegäran.docx", "A 48909-2023")</f>
        <v/>
      </c>
      <c r="Y32">
        <f>HYPERLINK("https://klasma.github.io/Logging_1380/tillsynsmail/A 48909-2023 tillsynsbegäran mail.docx", "A 48909-2023")</f>
        <v/>
      </c>
      <c r="Z32">
        <f>HYPERLINK("https://klasma.github.io/Logging_1380/fåglar/A 48909-2023 prioriterade fågelarter.docx", "A 48909-2023")</f>
        <v/>
      </c>
    </row>
    <row r="33" ht="15" customHeight="1">
      <c r="A33" t="inlineStr">
        <is>
          <t>A 39723-2018</t>
        </is>
      </c>
      <c r="B33" s="1" t="n">
        <v>43342</v>
      </c>
      <c r="C33" s="1" t="n">
        <v>45358</v>
      </c>
      <c r="D33" t="inlineStr">
        <is>
          <t>HALLANDS LÄN</t>
        </is>
      </c>
      <c r="E33" t="inlineStr">
        <is>
          <t>HYLTE</t>
        </is>
      </c>
      <c r="G33" t="n">
        <v>1.8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Revlummer</t>
        </is>
      </c>
      <c r="S33">
        <f>HYPERLINK("https://klasma.github.io/Logging_1315/artfynd/A 39723-2018 artfynd.xlsx", "A 39723-2018")</f>
        <v/>
      </c>
      <c r="T33">
        <f>HYPERLINK("https://klasma.github.io/Logging_1315/kartor/A 39723-2018 karta.png", "A 39723-2018")</f>
        <v/>
      </c>
      <c r="V33">
        <f>HYPERLINK("https://klasma.github.io/Logging_1315/klagomål/A 39723-2018 FSC-klagomål.docx", "A 39723-2018")</f>
        <v/>
      </c>
      <c r="W33">
        <f>HYPERLINK("https://klasma.github.io/Logging_1315/klagomålsmail/A 39723-2018 FSC-klagomål mail.docx", "A 39723-2018")</f>
        <v/>
      </c>
      <c r="X33">
        <f>HYPERLINK("https://klasma.github.io/Logging_1315/tillsyn/A 39723-2018 tillsynsbegäran.docx", "A 39723-2018")</f>
        <v/>
      </c>
      <c r="Y33">
        <f>HYPERLINK("https://klasma.github.io/Logging_1315/tillsynsmail/A 39723-2018 tillsynsbegäran mail.docx", "A 39723-2018")</f>
        <v/>
      </c>
    </row>
    <row r="34" ht="15" customHeight="1">
      <c r="A34" t="inlineStr">
        <is>
          <t>A 42997-2018</t>
        </is>
      </c>
      <c r="B34" s="1" t="n">
        <v>43353</v>
      </c>
      <c r="C34" s="1" t="n">
        <v>45358</v>
      </c>
      <c r="D34" t="inlineStr">
        <is>
          <t>HALLANDS LÄN</t>
        </is>
      </c>
      <c r="E34" t="inlineStr">
        <is>
          <t>LAHOLM</t>
        </is>
      </c>
      <c r="F34" t="inlineStr">
        <is>
          <t>Övriga statliga verk och myndigheter</t>
        </is>
      </c>
      <c r="G34" t="n">
        <v>5.2</v>
      </c>
      <c r="H34" t="n">
        <v>0</v>
      </c>
      <c r="I34" t="n">
        <v>0</v>
      </c>
      <c r="J34" t="n">
        <v>0</v>
      </c>
      <c r="K34" t="n">
        <v>1</v>
      </c>
      <c r="L34" t="n">
        <v>0</v>
      </c>
      <c r="M34" t="n">
        <v>0</v>
      </c>
      <c r="N34" t="n">
        <v>0</v>
      </c>
      <c r="O34" t="n">
        <v>1</v>
      </c>
      <c r="P34" t="n">
        <v>1</v>
      </c>
      <c r="Q34" t="n">
        <v>1</v>
      </c>
      <c r="R34" s="2" t="inlineStr">
        <is>
          <t>Ljungögontröst</t>
        </is>
      </c>
      <c r="S34">
        <f>HYPERLINK("https://klasma.github.io/Logging_1381/artfynd/A 42997-2018 artfynd.xlsx", "A 42997-2018")</f>
        <v/>
      </c>
      <c r="T34">
        <f>HYPERLINK("https://klasma.github.io/Logging_1381/kartor/A 42997-2018 karta.png", "A 42997-2018")</f>
        <v/>
      </c>
      <c r="V34">
        <f>HYPERLINK("https://klasma.github.io/Logging_1381/klagomål/A 42997-2018 FSC-klagomål.docx", "A 42997-2018")</f>
        <v/>
      </c>
      <c r="W34">
        <f>HYPERLINK("https://klasma.github.io/Logging_1381/klagomålsmail/A 42997-2018 FSC-klagomål mail.docx", "A 42997-2018")</f>
        <v/>
      </c>
      <c r="X34">
        <f>HYPERLINK("https://klasma.github.io/Logging_1381/tillsyn/A 42997-2018 tillsynsbegäran.docx", "A 42997-2018")</f>
        <v/>
      </c>
      <c r="Y34">
        <f>HYPERLINK("https://klasma.github.io/Logging_1381/tillsynsmail/A 42997-2018 tillsynsbegäran mail.docx", "A 42997-2018")</f>
        <v/>
      </c>
    </row>
    <row r="35" ht="15" customHeight="1">
      <c r="A35" t="inlineStr">
        <is>
          <t>A 61195-2018</t>
        </is>
      </c>
      <c r="B35" s="1" t="n">
        <v>43423</v>
      </c>
      <c r="C35" s="1" t="n">
        <v>45358</v>
      </c>
      <c r="D35" t="inlineStr">
        <is>
          <t>HALLANDS LÄN</t>
        </is>
      </c>
      <c r="E35" t="inlineStr">
        <is>
          <t>LAHOLM</t>
        </is>
      </c>
      <c r="G35" t="n">
        <v>4.7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Hårginst</t>
        </is>
      </c>
      <c r="S35">
        <f>HYPERLINK("https://klasma.github.io/Logging_1381/artfynd/A 61195-2018 artfynd.xlsx", "A 61195-2018")</f>
        <v/>
      </c>
      <c r="T35">
        <f>HYPERLINK("https://klasma.github.io/Logging_1381/kartor/A 61195-2018 karta.png", "A 61195-2018")</f>
        <v/>
      </c>
      <c r="V35">
        <f>HYPERLINK("https://klasma.github.io/Logging_1381/klagomål/A 61195-2018 FSC-klagomål.docx", "A 61195-2018")</f>
        <v/>
      </c>
      <c r="W35">
        <f>HYPERLINK("https://klasma.github.io/Logging_1381/klagomålsmail/A 61195-2018 FSC-klagomål mail.docx", "A 61195-2018")</f>
        <v/>
      </c>
      <c r="X35">
        <f>HYPERLINK("https://klasma.github.io/Logging_1381/tillsyn/A 61195-2018 tillsynsbegäran.docx", "A 61195-2018")</f>
        <v/>
      </c>
      <c r="Y35">
        <f>HYPERLINK("https://klasma.github.io/Logging_1381/tillsynsmail/A 61195-2018 tillsynsbegäran mail.docx", "A 61195-2018")</f>
        <v/>
      </c>
    </row>
    <row r="36" ht="15" customHeight="1">
      <c r="A36" t="inlineStr">
        <is>
          <t>A 67356-2018</t>
        </is>
      </c>
      <c r="B36" s="1" t="n">
        <v>43439</v>
      </c>
      <c r="C36" s="1" t="n">
        <v>45358</v>
      </c>
      <c r="D36" t="inlineStr">
        <is>
          <t>HALLANDS LÄN</t>
        </is>
      </c>
      <c r="E36" t="inlineStr">
        <is>
          <t>LAHOLM</t>
        </is>
      </c>
      <c r="G36" t="n">
        <v>5.2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Hårginst</t>
        </is>
      </c>
      <c r="S36">
        <f>HYPERLINK("https://klasma.github.io/Logging_1381/artfynd/A 67356-2018 artfynd.xlsx", "A 67356-2018")</f>
        <v/>
      </c>
      <c r="T36">
        <f>HYPERLINK("https://klasma.github.io/Logging_1381/kartor/A 67356-2018 karta.png", "A 67356-2018")</f>
        <v/>
      </c>
      <c r="V36">
        <f>HYPERLINK("https://klasma.github.io/Logging_1381/klagomål/A 67356-2018 FSC-klagomål.docx", "A 67356-2018")</f>
        <v/>
      </c>
      <c r="W36">
        <f>HYPERLINK("https://klasma.github.io/Logging_1381/klagomålsmail/A 67356-2018 FSC-klagomål mail.docx", "A 67356-2018")</f>
        <v/>
      </c>
      <c r="X36">
        <f>HYPERLINK("https://klasma.github.io/Logging_1381/tillsyn/A 67356-2018 tillsynsbegäran.docx", "A 67356-2018")</f>
        <v/>
      </c>
      <c r="Y36">
        <f>HYPERLINK("https://klasma.github.io/Logging_1381/tillsynsmail/A 67356-2018 tillsynsbegäran mail.docx", "A 67356-2018")</f>
        <v/>
      </c>
    </row>
    <row r="37" ht="15" customHeight="1">
      <c r="A37" t="inlineStr">
        <is>
          <t>A 69644-2018</t>
        </is>
      </c>
      <c r="B37" s="1" t="n">
        <v>43440</v>
      </c>
      <c r="C37" s="1" t="n">
        <v>45358</v>
      </c>
      <c r="D37" t="inlineStr">
        <is>
          <t>HALLANDS LÄN</t>
        </is>
      </c>
      <c r="E37" t="inlineStr">
        <is>
          <t>LAHOLM</t>
        </is>
      </c>
      <c r="G37" t="n">
        <v>2.2</v>
      </c>
      <c r="H37" t="n">
        <v>0</v>
      </c>
      <c r="I37" t="n">
        <v>0</v>
      </c>
      <c r="J37" t="n">
        <v>0</v>
      </c>
      <c r="K37" t="n">
        <v>1</v>
      </c>
      <c r="L37" t="n">
        <v>0</v>
      </c>
      <c r="M37" t="n">
        <v>0</v>
      </c>
      <c r="N37" t="n">
        <v>0</v>
      </c>
      <c r="O37" t="n">
        <v>1</v>
      </c>
      <c r="P37" t="n">
        <v>1</v>
      </c>
      <c r="Q37" t="n">
        <v>1</v>
      </c>
      <c r="R37" s="2" t="inlineStr">
        <is>
          <t>Vildris</t>
        </is>
      </c>
      <c r="S37">
        <f>HYPERLINK("https://klasma.github.io/Logging_1381/artfynd/A 69644-2018 artfynd.xlsx", "A 69644-2018")</f>
        <v/>
      </c>
      <c r="T37">
        <f>HYPERLINK("https://klasma.github.io/Logging_1381/kartor/A 69644-2018 karta.png", "A 69644-2018")</f>
        <v/>
      </c>
      <c r="V37">
        <f>HYPERLINK("https://klasma.github.io/Logging_1381/klagomål/A 69644-2018 FSC-klagomål.docx", "A 69644-2018")</f>
        <v/>
      </c>
      <c r="W37">
        <f>HYPERLINK("https://klasma.github.io/Logging_1381/klagomålsmail/A 69644-2018 FSC-klagomål mail.docx", "A 69644-2018")</f>
        <v/>
      </c>
      <c r="X37">
        <f>HYPERLINK("https://klasma.github.io/Logging_1381/tillsyn/A 69644-2018 tillsynsbegäran.docx", "A 69644-2018")</f>
        <v/>
      </c>
      <c r="Y37">
        <f>HYPERLINK("https://klasma.github.io/Logging_1381/tillsynsmail/A 69644-2018 tillsynsbegäran mail.docx", "A 69644-2018")</f>
        <v/>
      </c>
    </row>
    <row r="38" ht="15" customHeight="1">
      <c r="A38" t="inlineStr">
        <is>
          <t>A 68879-2018</t>
        </is>
      </c>
      <c r="B38" s="1" t="n">
        <v>43445</v>
      </c>
      <c r="C38" s="1" t="n">
        <v>45358</v>
      </c>
      <c r="D38" t="inlineStr">
        <is>
          <t>HALLANDS LÄN</t>
        </is>
      </c>
      <c r="E38" t="inlineStr">
        <is>
          <t>VARBERG</t>
        </is>
      </c>
      <c r="G38" t="n">
        <v>5.9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Hasselmus</t>
        </is>
      </c>
      <c r="S38">
        <f>HYPERLINK("https://klasma.github.io/Logging_1383/artfynd/A 68879-2018 artfynd.xlsx", "A 68879-2018")</f>
        <v/>
      </c>
      <c r="T38">
        <f>HYPERLINK("https://klasma.github.io/Logging_1383/kartor/A 68879-2018 karta.png", "A 68879-2018")</f>
        <v/>
      </c>
      <c r="V38">
        <f>HYPERLINK("https://klasma.github.io/Logging_1383/klagomål/A 68879-2018 FSC-klagomål.docx", "A 68879-2018")</f>
        <v/>
      </c>
      <c r="W38">
        <f>HYPERLINK("https://klasma.github.io/Logging_1383/klagomålsmail/A 68879-2018 FSC-klagomål mail.docx", "A 68879-2018")</f>
        <v/>
      </c>
      <c r="X38">
        <f>HYPERLINK("https://klasma.github.io/Logging_1383/tillsyn/A 68879-2018 tillsynsbegäran.docx", "A 68879-2018")</f>
        <v/>
      </c>
      <c r="Y38">
        <f>HYPERLINK("https://klasma.github.io/Logging_1383/tillsynsmail/A 68879-2018 tillsynsbegäran mail.docx", "A 68879-2018")</f>
        <v/>
      </c>
    </row>
    <row r="39" ht="15" customHeight="1">
      <c r="A39" t="inlineStr">
        <is>
          <t>A 112-2019</t>
        </is>
      </c>
      <c r="B39" s="1" t="n">
        <v>43467</v>
      </c>
      <c r="C39" s="1" t="n">
        <v>45358</v>
      </c>
      <c r="D39" t="inlineStr">
        <is>
          <t>HALLANDS LÄN</t>
        </is>
      </c>
      <c r="E39" t="inlineStr">
        <is>
          <t>HYLTE</t>
        </is>
      </c>
      <c r="G39" t="n">
        <v>4.5</v>
      </c>
      <c r="H39" t="n">
        <v>0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Tibast</t>
        </is>
      </c>
      <c r="S39">
        <f>HYPERLINK("https://klasma.github.io/Logging_1315/artfynd/A 112-2019 artfynd.xlsx", "A 112-2019")</f>
        <v/>
      </c>
      <c r="T39">
        <f>HYPERLINK("https://klasma.github.io/Logging_1315/kartor/A 112-2019 karta.png", "A 112-2019")</f>
        <v/>
      </c>
      <c r="V39">
        <f>HYPERLINK("https://klasma.github.io/Logging_1315/klagomål/A 112-2019 FSC-klagomål.docx", "A 112-2019")</f>
        <v/>
      </c>
      <c r="W39">
        <f>HYPERLINK("https://klasma.github.io/Logging_1315/klagomålsmail/A 112-2019 FSC-klagomål mail.docx", "A 112-2019")</f>
        <v/>
      </c>
      <c r="X39">
        <f>HYPERLINK("https://klasma.github.io/Logging_1315/tillsyn/A 112-2019 tillsynsbegäran.docx", "A 112-2019")</f>
        <v/>
      </c>
      <c r="Y39">
        <f>HYPERLINK("https://klasma.github.io/Logging_1315/tillsynsmail/A 112-2019 tillsynsbegäran mail.docx", "A 112-2019")</f>
        <v/>
      </c>
    </row>
    <row r="40" ht="15" customHeight="1">
      <c r="A40" t="inlineStr">
        <is>
          <t>A 12297-2019</t>
        </is>
      </c>
      <c r="B40" s="1" t="n">
        <v>43523</v>
      </c>
      <c r="C40" s="1" t="n">
        <v>45358</v>
      </c>
      <c r="D40" t="inlineStr">
        <is>
          <t>HALLANDS LÄN</t>
        </is>
      </c>
      <c r="E40" t="inlineStr">
        <is>
          <t>HALMSTAD</t>
        </is>
      </c>
      <c r="G40" t="n">
        <v>1.8</v>
      </c>
      <c r="H40" t="n">
        <v>0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Tibast</t>
        </is>
      </c>
      <c r="S40">
        <f>HYPERLINK("https://klasma.github.io/Logging_1380/artfynd/A 12297-2019 artfynd.xlsx", "A 12297-2019")</f>
        <v/>
      </c>
      <c r="T40">
        <f>HYPERLINK("https://klasma.github.io/Logging_1380/kartor/A 12297-2019 karta.png", "A 12297-2019")</f>
        <v/>
      </c>
      <c r="V40">
        <f>HYPERLINK("https://klasma.github.io/Logging_1380/klagomål/A 12297-2019 FSC-klagomål.docx", "A 12297-2019")</f>
        <v/>
      </c>
      <c r="W40">
        <f>HYPERLINK("https://klasma.github.io/Logging_1380/klagomålsmail/A 12297-2019 FSC-klagomål mail.docx", "A 12297-2019")</f>
        <v/>
      </c>
      <c r="X40">
        <f>HYPERLINK("https://klasma.github.io/Logging_1380/tillsyn/A 12297-2019 tillsynsbegäran.docx", "A 12297-2019")</f>
        <v/>
      </c>
      <c r="Y40">
        <f>HYPERLINK("https://klasma.github.io/Logging_1380/tillsynsmail/A 12297-2019 tillsynsbegäran mail.docx", "A 12297-2019")</f>
        <v/>
      </c>
    </row>
    <row r="41" ht="15" customHeight="1">
      <c r="A41" t="inlineStr">
        <is>
          <t>A 14955-2019</t>
        </is>
      </c>
      <c r="B41" s="1" t="n">
        <v>43539</v>
      </c>
      <c r="C41" s="1" t="n">
        <v>45358</v>
      </c>
      <c r="D41" t="inlineStr">
        <is>
          <t>HALLANDS LÄN</t>
        </is>
      </c>
      <c r="E41" t="inlineStr">
        <is>
          <t>HALMSTAD</t>
        </is>
      </c>
      <c r="G41" t="n">
        <v>2.6</v>
      </c>
      <c r="H41" t="n">
        <v>1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Skogsödla</t>
        </is>
      </c>
      <c r="S41">
        <f>HYPERLINK("https://klasma.github.io/Logging_1380/artfynd/A 14955-2019 artfynd.xlsx", "A 14955-2019")</f>
        <v/>
      </c>
      <c r="T41">
        <f>HYPERLINK("https://klasma.github.io/Logging_1380/kartor/A 14955-2019 karta.png", "A 14955-2019")</f>
        <v/>
      </c>
      <c r="V41">
        <f>HYPERLINK("https://klasma.github.io/Logging_1380/klagomål/A 14955-2019 FSC-klagomål.docx", "A 14955-2019")</f>
        <v/>
      </c>
      <c r="W41">
        <f>HYPERLINK("https://klasma.github.io/Logging_1380/klagomålsmail/A 14955-2019 FSC-klagomål mail.docx", "A 14955-2019")</f>
        <v/>
      </c>
      <c r="X41">
        <f>HYPERLINK("https://klasma.github.io/Logging_1380/tillsyn/A 14955-2019 tillsynsbegäran.docx", "A 14955-2019")</f>
        <v/>
      </c>
      <c r="Y41">
        <f>HYPERLINK("https://klasma.github.io/Logging_1380/tillsynsmail/A 14955-2019 tillsynsbegäran mail.docx", "A 14955-2019")</f>
        <v/>
      </c>
    </row>
    <row r="42" ht="15" customHeight="1">
      <c r="A42" t="inlineStr">
        <is>
          <t>A 36758-2019</t>
        </is>
      </c>
      <c r="B42" s="1" t="n">
        <v>43672</v>
      </c>
      <c r="C42" s="1" t="n">
        <v>45358</v>
      </c>
      <c r="D42" t="inlineStr">
        <is>
          <t>HALLANDS LÄN</t>
        </is>
      </c>
      <c r="E42" t="inlineStr">
        <is>
          <t>HALMSTAD</t>
        </is>
      </c>
      <c r="G42" t="n">
        <v>3.4</v>
      </c>
      <c r="H42" t="n">
        <v>1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Dvärgpipistrell</t>
        </is>
      </c>
      <c r="S42">
        <f>HYPERLINK("https://klasma.github.io/Logging_1380/artfynd/A 36758-2019 artfynd.xlsx", "A 36758-2019")</f>
        <v/>
      </c>
      <c r="T42">
        <f>HYPERLINK("https://klasma.github.io/Logging_1380/kartor/A 36758-2019 karta.png", "A 36758-2019")</f>
        <v/>
      </c>
      <c r="V42">
        <f>HYPERLINK("https://klasma.github.io/Logging_1380/klagomål/A 36758-2019 FSC-klagomål.docx", "A 36758-2019")</f>
        <v/>
      </c>
      <c r="W42">
        <f>HYPERLINK("https://klasma.github.io/Logging_1380/klagomålsmail/A 36758-2019 FSC-klagomål mail.docx", "A 36758-2019")</f>
        <v/>
      </c>
      <c r="X42">
        <f>HYPERLINK("https://klasma.github.io/Logging_1380/tillsyn/A 36758-2019 tillsynsbegäran.docx", "A 36758-2019")</f>
        <v/>
      </c>
      <c r="Y42">
        <f>HYPERLINK("https://klasma.github.io/Logging_1380/tillsynsmail/A 36758-2019 tillsynsbegäran mail.docx", "A 36758-2019")</f>
        <v/>
      </c>
    </row>
    <row r="43" ht="15" customHeight="1">
      <c r="A43" t="inlineStr">
        <is>
          <t>A 61238-2019</t>
        </is>
      </c>
      <c r="B43" s="1" t="n">
        <v>43783</v>
      </c>
      <c r="C43" s="1" t="n">
        <v>45358</v>
      </c>
      <c r="D43" t="inlineStr">
        <is>
          <t>HALLANDS LÄN</t>
        </is>
      </c>
      <c r="E43" t="inlineStr">
        <is>
          <t>FALKENBERG</t>
        </is>
      </c>
      <c r="G43" t="n">
        <v>0.6</v>
      </c>
      <c r="H43" t="n">
        <v>0</v>
      </c>
      <c r="I43" t="n">
        <v>0</v>
      </c>
      <c r="J43" t="n">
        <v>0</v>
      </c>
      <c r="K43" t="n">
        <v>1</v>
      </c>
      <c r="L43" t="n">
        <v>0</v>
      </c>
      <c r="M43" t="n">
        <v>0</v>
      </c>
      <c r="N43" t="n">
        <v>0</v>
      </c>
      <c r="O43" t="n">
        <v>1</v>
      </c>
      <c r="P43" t="n">
        <v>1</v>
      </c>
      <c r="Q43" t="n">
        <v>1</v>
      </c>
      <c r="R43" s="2" t="inlineStr">
        <is>
          <t>Ugglarpsbjörnbär</t>
        </is>
      </c>
      <c r="S43">
        <f>HYPERLINK("https://klasma.github.io/Logging_1382/artfynd/A 61238-2019 artfynd.xlsx", "A 61238-2019")</f>
        <v/>
      </c>
      <c r="T43">
        <f>HYPERLINK("https://klasma.github.io/Logging_1382/kartor/A 61238-2019 karta.png", "A 61238-2019")</f>
        <v/>
      </c>
      <c r="V43">
        <f>HYPERLINK("https://klasma.github.io/Logging_1382/klagomål/A 61238-2019 FSC-klagomål.docx", "A 61238-2019")</f>
        <v/>
      </c>
      <c r="W43">
        <f>HYPERLINK("https://klasma.github.io/Logging_1382/klagomålsmail/A 61238-2019 FSC-klagomål mail.docx", "A 61238-2019")</f>
        <v/>
      </c>
      <c r="X43">
        <f>HYPERLINK("https://klasma.github.io/Logging_1382/tillsyn/A 61238-2019 tillsynsbegäran.docx", "A 61238-2019")</f>
        <v/>
      </c>
      <c r="Y43">
        <f>HYPERLINK("https://klasma.github.io/Logging_1382/tillsynsmail/A 61238-2019 tillsynsbegäran mail.docx", "A 61238-2019")</f>
        <v/>
      </c>
    </row>
    <row r="44" ht="15" customHeight="1">
      <c r="A44" t="inlineStr">
        <is>
          <t>A 10630-2020</t>
        </is>
      </c>
      <c r="B44" s="1" t="n">
        <v>43887</v>
      </c>
      <c r="C44" s="1" t="n">
        <v>45358</v>
      </c>
      <c r="D44" t="inlineStr">
        <is>
          <t>HALLANDS LÄN</t>
        </is>
      </c>
      <c r="E44" t="inlineStr">
        <is>
          <t>VARBERG</t>
        </is>
      </c>
      <c r="G44" t="n">
        <v>17.6</v>
      </c>
      <c r="H44" t="n">
        <v>0</v>
      </c>
      <c r="I44" t="n">
        <v>0</v>
      </c>
      <c r="J44" t="n">
        <v>0</v>
      </c>
      <c r="K44" t="n">
        <v>1</v>
      </c>
      <c r="L44" t="n">
        <v>0</v>
      </c>
      <c r="M44" t="n">
        <v>0</v>
      </c>
      <c r="N44" t="n">
        <v>0</v>
      </c>
      <c r="O44" t="n">
        <v>1</v>
      </c>
      <c r="P44" t="n">
        <v>1</v>
      </c>
      <c r="Q44" t="n">
        <v>1</v>
      </c>
      <c r="R44" s="2" t="inlineStr">
        <is>
          <t>Slåttergubbe</t>
        </is>
      </c>
      <c r="S44">
        <f>HYPERLINK("https://klasma.github.io/Logging_1383/artfynd/A 10630-2020 artfynd.xlsx", "A 10630-2020")</f>
        <v/>
      </c>
      <c r="T44">
        <f>HYPERLINK("https://klasma.github.io/Logging_1383/kartor/A 10630-2020 karta.png", "A 10630-2020")</f>
        <v/>
      </c>
      <c r="V44">
        <f>HYPERLINK("https://klasma.github.io/Logging_1383/klagomål/A 10630-2020 FSC-klagomål.docx", "A 10630-2020")</f>
        <v/>
      </c>
      <c r="W44">
        <f>HYPERLINK("https://klasma.github.io/Logging_1383/klagomålsmail/A 10630-2020 FSC-klagomål mail.docx", "A 10630-2020")</f>
        <v/>
      </c>
      <c r="X44">
        <f>HYPERLINK("https://klasma.github.io/Logging_1383/tillsyn/A 10630-2020 tillsynsbegäran.docx", "A 10630-2020")</f>
        <v/>
      </c>
      <c r="Y44">
        <f>HYPERLINK("https://klasma.github.io/Logging_1383/tillsynsmail/A 10630-2020 tillsynsbegäran mail.docx", "A 10630-2020")</f>
        <v/>
      </c>
    </row>
    <row r="45" ht="15" customHeight="1">
      <c r="A45" t="inlineStr">
        <is>
          <t>A 14863-2020</t>
        </is>
      </c>
      <c r="B45" s="1" t="n">
        <v>43903</v>
      </c>
      <c r="C45" s="1" t="n">
        <v>45358</v>
      </c>
      <c r="D45" t="inlineStr">
        <is>
          <t>HALLANDS LÄN</t>
        </is>
      </c>
      <c r="E45" t="inlineStr">
        <is>
          <t>LAHOLM</t>
        </is>
      </c>
      <c r="G45" t="n">
        <v>13.7</v>
      </c>
      <c r="H45" t="n">
        <v>0</v>
      </c>
      <c r="I45" t="n">
        <v>0</v>
      </c>
      <c r="J45" t="n">
        <v>0</v>
      </c>
      <c r="K45" t="n">
        <v>0</v>
      </c>
      <c r="L45" t="n">
        <v>1</v>
      </c>
      <c r="M45" t="n">
        <v>0</v>
      </c>
      <c r="N45" t="n">
        <v>0</v>
      </c>
      <c r="O45" t="n">
        <v>1</v>
      </c>
      <c r="P45" t="n">
        <v>1</v>
      </c>
      <c r="Q45" t="n">
        <v>1</v>
      </c>
      <c r="R45" s="2" t="inlineStr">
        <is>
          <t>Ask</t>
        </is>
      </c>
      <c r="S45">
        <f>HYPERLINK("https://klasma.github.io/Logging_1381/artfynd/A 14863-2020 artfynd.xlsx", "A 14863-2020")</f>
        <v/>
      </c>
      <c r="T45">
        <f>HYPERLINK("https://klasma.github.io/Logging_1381/kartor/A 14863-2020 karta.png", "A 14863-2020")</f>
        <v/>
      </c>
      <c r="V45">
        <f>HYPERLINK("https://klasma.github.io/Logging_1381/klagomål/A 14863-2020 FSC-klagomål.docx", "A 14863-2020")</f>
        <v/>
      </c>
      <c r="W45">
        <f>HYPERLINK("https://klasma.github.io/Logging_1381/klagomålsmail/A 14863-2020 FSC-klagomål mail.docx", "A 14863-2020")</f>
        <v/>
      </c>
      <c r="X45">
        <f>HYPERLINK("https://klasma.github.io/Logging_1381/tillsyn/A 14863-2020 tillsynsbegäran.docx", "A 14863-2020")</f>
        <v/>
      </c>
      <c r="Y45">
        <f>HYPERLINK("https://klasma.github.io/Logging_1381/tillsynsmail/A 14863-2020 tillsynsbegäran mail.docx", "A 14863-2020")</f>
        <v/>
      </c>
    </row>
    <row r="46" ht="15" customHeight="1">
      <c r="A46" t="inlineStr">
        <is>
          <t>A 25537-2020</t>
        </is>
      </c>
      <c r="B46" s="1" t="n">
        <v>43983</v>
      </c>
      <c r="C46" s="1" t="n">
        <v>45358</v>
      </c>
      <c r="D46" t="inlineStr">
        <is>
          <t>HALLANDS LÄN</t>
        </is>
      </c>
      <c r="E46" t="inlineStr">
        <is>
          <t>HYLTE</t>
        </is>
      </c>
      <c r="G46" t="n">
        <v>1.9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Borsttåg</t>
        </is>
      </c>
      <c r="S46">
        <f>HYPERLINK("https://klasma.github.io/Logging_1315/artfynd/A 25537-2020 artfynd.xlsx", "A 25537-2020")</f>
        <v/>
      </c>
      <c r="T46">
        <f>HYPERLINK("https://klasma.github.io/Logging_1315/kartor/A 25537-2020 karta.png", "A 25537-2020")</f>
        <v/>
      </c>
      <c r="V46">
        <f>HYPERLINK("https://klasma.github.io/Logging_1315/klagomål/A 25537-2020 FSC-klagomål.docx", "A 25537-2020")</f>
        <v/>
      </c>
      <c r="W46">
        <f>HYPERLINK("https://klasma.github.io/Logging_1315/klagomålsmail/A 25537-2020 FSC-klagomål mail.docx", "A 25537-2020")</f>
        <v/>
      </c>
      <c r="X46">
        <f>HYPERLINK("https://klasma.github.io/Logging_1315/tillsyn/A 25537-2020 tillsynsbegäran.docx", "A 25537-2020")</f>
        <v/>
      </c>
      <c r="Y46">
        <f>HYPERLINK("https://klasma.github.io/Logging_1315/tillsynsmail/A 25537-2020 tillsynsbegäran mail.docx", "A 25537-2020")</f>
        <v/>
      </c>
    </row>
    <row r="47" ht="15" customHeight="1">
      <c r="A47" t="inlineStr">
        <is>
          <t>A 35100-2020</t>
        </is>
      </c>
      <c r="B47" s="1" t="n">
        <v>44040</v>
      </c>
      <c r="C47" s="1" t="n">
        <v>45358</v>
      </c>
      <c r="D47" t="inlineStr">
        <is>
          <t>HALLANDS LÄN</t>
        </is>
      </c>
      <c r="E47" t="inlineStr">
        <is>
          <t>HALMSTAD</t>
        </is>
      </c>
      <c r="F47" t="inlineStr">
        <is>
          <t>Kommuner</t>
        </is>
      </c>
      <c r="G47" t="n">
        <v>0.9</v>
      </c>
      <c r="H47" t="n">
        <v>0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Kambräken</t>
        </is>
      </c>
      <c r="S47">
        <f>HYPERLINK("https://klasma.github.io/Logging_1380/artfynd/A 35100-2020 artfynd.xlsx", "A 35100-2020")</f>
        <v/>
      </c>
      <c r="T47">
        <f>HYPERLINK("https://klasma.github.io/Logging_1380/kartor/A 35100-2020 karta.png", "A 35100-2020")</f>
        <v/>
      </c>
      <c r="V47">
        <f>HYPERLINK("https://klasma.github.io/Logging_1380/klagomål/A 35100-2020 FSC-klagomål.docx", "A 35100-2020")</f>
        <v/>
      </c>
      <c r="W47">
        <f>HYPERLINK("https://klasma.github.io/Logging_1380/klagomålsmail/A 35100-2020 FSC-klagomål mail.docx", "A 35100-2020")</f>
        <v/>
      </c>
      <c r="X47">
        <f>HYPERLINK("https://klasma.github.io/Logging_1380/tillsyn/A 35100-2020 tillsynsbegäran.docx", "A 35100-2020")</f>
        <v/>
      </c>
      <c r="Y47">
        <f>HYPERLINK("https://klasma.github.io/Logging_1380/tillsynsmail/A 35100-2020 tillsynsbegäran mail.docx", "A 35100-2020")</f>
        <v/>
      </c>
    </row>
    <row r="48" ht="15" customHeight="1">
      <c r="A48" t="inlineStr">
        <is>
          <t>A 61355-2020</t>
        </is>
      </c>
      <c r="B48" s="1" t="n">
        <v>44155</v>
      </c>
      <c r="C48" s="1" t="n">
        <v>45358</v>
      </c>
      <c r="D48" t="inlineStr">
        <is>
          <t>HALLANDS LÄN</t>
        </is>
      </c>
      <c r="E48" t="inlineStr">
        <is>
          <t>VARBERG</t>
        </is>
      </c>
      <c r="G48" t="n">
        <v>9.199999999999999</v>
      </c>
      <c r="H48" t="n">
        <v>1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Mindre hackspett</t>
        </is>
      </c>
      <c r="S48">
        <f>HYPERLINK("https://klasma.github.io/Logging_1383/artfynd/A 61355-2020 artfynd.xlsx", "A 61355-2020")</f>
        <v/>
      </c>
      <c r="T48">
        <f>HYPERLINK("https://klasma.github.io/Logging_1383/kartor/A 61355-2020 karta.png", "A 61355-2020")</f>
        <v/>
      </c>
      <c r="V48">
        <f>HYPERLINK("https://klasma.github.io/Logging_1383/klagomål/A 61355-2020 FSC-klagomål.docx", "A 61355-2020")</f>
        <v/>
      </c>
      <c r="W48">
        <f>HYPERLINK("https://klasma.github.io/Logging_1383/klagomålsmail/A 61355-2020 FSC-klagomål mail.docx", "A 61355-2020")</f>
        <v/>
      </c>
      <c r="X48">
        <f>HYPERLINK("https://klasma.github.io/Logging_1383/tillsyn/A 61355-2020 tillsynsbegäran.docx", "A 61355-2020")</f>
        <v/>
      </c>
      <c r="Y48">
        <f>HYPERLINK("https://klasma.github.io/Logging_1383/tillsynsmail/A 61355-2020 tillsynsbegäran mail.docx", "A 61355-2020")</f>
        <v/>
      </c>
      <c r="Z48">
        <f>HYPERLINK("https://klasma.github.io/Logging_1383/fåglar/A 61355-2020 prioriterade fågelarter.docx", "A 61355-2020")</f>
        <v/>
      </c>
    </row>
    <row r="49" ht="15" customHeight="1">
      <c r="A49" t="inlineStr">
        <is>
          <t>A 62200-2020</t>
        </is>
      </c>
      <c r="B49" s="1" t="n">
        <v>44159</v>
      </c>
      <c r="C49" s="1" t="n">
        <v>45358</v>
      </c>
      <c r="D49" t="inlineStr">
        <is>
          <t>HALLANDS LÄN</t>
        </is>
      </c>
      <c r="E49" t="inlineStr">
        <is>
          <t>FALKENBERG</t>
        </is>
      </c>
      <c r="G49" t="n">
        <v>2.8</v>
      </c>
      <c r="H49" t="n">
        <v>0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Jättesvampmal</t>
        </is>
      </c>
      <c r="S49">
        <f>HYPERLINK("https://klasma.github.io/Logging_1382/artfynd/A 62200-2020 artfynd.xlsx", "A 62200-2020")</f>
        <v/>
      </c>
      <c r="T49">
        <f>HYPERLINK("https://klasma.github.io/Logging_1382/kartor/A 62200-2020 karta.png", "A 62200-2020")</f>
        <v/>
      </c>
      <c r="V49">
        <f>HYPERLINK("https://klasma.github.io/Logging_1382/klagomål/A 62200-2020 FSC-klagomål.docx", "A 62200-2020")</f>
        <v/>
      </c>
      <c r="W49">
        <f>HYPERLINK("https://klasma.github.io/Logging_1382/klagomålsmail/A 62200-2020 FSC-klagomål mail.docx", "A 62200-2020")</f>
        <v/>
      </c>
      <c r="X49">
        <f>HYPERLINK("https://klasma.github.io/Logging_1382/tillsyn/A 62200-2020 tillsynsbegäran.docx", "A 62200-2020")</f>
        <v/>
      </c>
      <c r="Y49">
        <f>HYPERLINK("https://klasma.github.io/Logging_1382/tillsynsmail/A 62200-2020 tillsynsbegäran mail.docx", "A 62200-2020")</f>
        <v/>
      </c>
    </row>
    <row r="50" ht="15" customHeight="1">
      <c r="A50" t="inlineStr">
        <is>
          <t>A 69344-2020</t>
        </is>
      </c>
      <c r="B50" s="1" t="n">
        <v>44193</v>
      </c>
      <c r="C50" s="1" t="n">
        <v>45358</v>
      </c>
      <c r="D50" t="inlineStr">
        <is>
          <t>HALLANDS LÄN</t>
        </is>
      </c>
      <c r="E50" t="inlineStr">
        <is>
          <t>VARBERG</t>
        </is>
      </c>
      <c r="G50" t="n">
        <v>22.9</v>
      </c>
      <c r="H50" t="n">
        <v>1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Utter</t>
        </is>
      </c>
      <c r="S50">
        <f>HYPERLINK("https://klasma.github.io/Logging_1383/artfynd/A 69344-2020 artfynd.xlsx", "A 69344-2020")</f>
        <v/>
      </c>
      <c r="T50">
        <f>HYPERLINK("https://klasma.github.io/Logging_1383/kartor/A 69344-2020 karta.png", "A 69344-2020")</f>
        <v/>
      </c>
      <c r="V50">
        <f>HYPERLINK("https://klasma.github.io/Logging_1383/klagomål/A 69344-2020 FSC-klagomål.docx", "A 69344-2020")</f>
        <v/>
      </c>
      <c r="W50">
        <f>HYPERLINK("https://klasma.github.io/Logging_1383/klagomålsmail/A 69344-2020 FSC-klagomål mail.docx", "A 69344-2020")</f>
        <v/>
      </c>
      <c r="X50">
        <f>HYPERLINK("https://klasma.github.io/Logging_1383/tillsyn/A 69344-2020 tillsynsbegäran.docx", "A 69344-2020")</f>
        <v/>
      </c>
      <c r="Y50">
        <f>HYPERLINK("https://klasma.github.io/Logging_1383/tillsynsmail/A 69344-2020 tillsynsbegäran mail.docx", "A 69344-2020")</f>
        <v/>
      </c>
    </row>
    <row r="51" ht="15" customHeight="1">
      <c r="A51" t="inlineStr">
        <is>
          <t>A 17350-2021</t>
        </is>
      </c>
      <c r="B51" s="1" t="n">
        <v>44298</v>
      </c>
      <c r="C51" s="1" t="n">
        <v>45358</v>
      </c>
      <c r="D51" t="inlineStr">
        <is>
          <t>HALLANDS LÄN</t>
        </is>
      </c>
      <c r="E51" t="inlineStr">
        <is>
          <t>HALMSTAD</t>
        </is>
      </c>
      <c r="F51" t="inlineStr">
        <is>
          <t>Kommuner</t>
        </is>
      </c>
      <c r="G51" t="n">
        <v>3.7</v>
      </c>
      <c r="H51" t="n">
        <v>0</v>
      </c>
      <c r="I51" t="n">
        <v>0</v>
      </c>
      <c r="J51" t="n">
        <v>0</v>
      </c>
      <c r="K51" t="n">
        <v>1</v>
      </c>
      <c r="L51" t="n">
        <v>0</v>
      </c>
      <c r="M51" t="n">
        <v>0</v>
      </c>
      <c r="N51" t="n">
        <v>0</v>
      </c>
      <c r="O51" t="n">
        <v>1</v>
      </c>
      <c r="P51" t="n">
        <v>1</v>
      </c>
      <c r="Q51" t="n">
        <v>1</v>
      </c>
      <c r="R51" s="2" t="inlineStr">
        <is>
          <t>Åkerfibbla</t>
        </is>
      </c>
      <c r="S51">
        <f>HYPERLINK("https://klasma.github.io/Logging_1380/artfynd/A 17350-2021 artfynd.xlsx", "A 17350-2021")</f>
        <v/>
      </c>
      <c r="T51">
        <f>HYPERLINK("https://klasma.github.io/Logging_1380/kartor/A 17350-2021 karta.png", "A 17350-2021")</f>
        <v/>
      </c>
      <c r="V51">
        <f>HYPERLINK("https://klasma.github.io/Logging_1380/klagomål/A 17350-2021 FSC-klagomål.docx", "A 17350-2021")</f>
        <v/>
      </c>
      <c r="W51">
        <f>HYPERLINK("https://klasma.github.io/Logging_1380/klagomålsmail/A 17350-2021 FSC-klagomål mail.docx", "A 17350-2021")</f>
        <v/>
      </c>
      <c r="X51">
        <f>HYPERLINK("https://klasma.github.io/Logging_1380/tillsyn/A 17350-2021 tillsynsbegäran.docx", "A 17350-2021")</f>
        <v/>
      </c>
      <c r="Y51">
        <f>HYPERLINK("https://klasma.github.io/Logging_1380/tillsynsmail/A 17350-2021 tillsynsbegäran mail.docx", "A 17350-2021")</f>
        <v/>
      </c>
    </row>
    <row r="52" ht="15" customHeight="1">
      <c r="A52" t="inlineStr">
        <is>
          <t>A 23166-2021</t>
        </is>
      </c>
      <c r="B52" s="1" t="n">
        <v>44332</v>
      </c>
      <c r="C52" s="1" t="n">
        <v>45358</v>
      </c>
      <c r="D52" t="inlineStr">
        <is>
          <t>HALLANDS LÄN</t>
        </is>
      </c>
      <c r="E52" t="inlineStr">
        <is>
          <t>HYLTE</t>
        </is>
      </c>
      <c r="G52" t="n">
        <v>0.3</v>
      </c>
      <c r="H52" t="n">
        <v>1</v>
      </c>
      <c r="I52" t="n">
        <v>0</v>
      </c>
      <c r="J52" t="n">
        <v>0</v>
      </c>
      <c r="K52" t="n">
        <v>1</v>
      </c>
      <c r="L52" t="n">
        <v>0</v>
      </c>
      <c r="M52" t="n">
        <v>0</v>
      </c>
      <c r="N52" t="n">
        <v>0</v>
      </c>
      <c r="O52" t="n">
        <v>1</v>
      </c>
      <c r="P52" t="n">
        <v>1</v>
      </c>
      <c r="Q52" t="n">
        <v>1</v>
      </c>
      <c r="R52" s="2" t="inlineStr">
        <is>
          <t>Knärot</t>
        </is>
      </c>
      <c r="S52">
        <f>HYPERLINK("https://klasma.github.io/Logging_1315/artfynd/A 23166-2021 artfynd.xlsx", "A 23166-2021")</f>
        <v/>
      </c>
      <c r="T52">
        <f>HYPERLINK("https://klasma.github.io/Logging_1315/kartor/A 23166-2021 karta.png", "A 23166-2021")</f>
        <v/>
      </c>
      <c r="U52">
        <f>HYPERLINK("https://klasma.github.io/Logging_1315/knärot/A 23166-2021 karta knärot.png", "A 23166-2021")</f>
        <v/>
      </c>
      <c r="V52">
        <f>HYPERLINK("https://klasma.github.io/Logging_1315/klagomål/A 23166-2021 FSC-klagomål.docx", "A 23166-2021")</f>
        <v/>
      </c>
      <c r="W52">
        <f>HYPERLINK("https://klasma.github.io/Logging_1315/klagomålsmail/A 23166-2021 FSC-klagomål mail.docx", "A 23166-2021")</f>
        <v/>
      </c>
      <c r="X52">
        <f>HYPERLINK("https://klasma.github.io/Logging_1315/tillsyn/A 23166-2021 tillsynsbegäran.docx", "A 23166-2021")</f>
        <v/>
      </c>
      <c r="Y52">
        <f>HYPERLINK("https://klasma.github.io/Logging_1315/tillsynsmail/A 23166-2021 tillsynsbegäran mail.docx", "A 23166-2021")</f>
        <v/>
      </c>
    </row>
    <row r="53" ht="15" customHeight="1">
      <c r="A53" t="inlineStr">
        <is>
          <t>A 30534-2021</t>
        </is>
      </c>
      <c r="B53" s="1" t="n">
        <v>44364</v>
      </c>
      <c r="C53" s="1" t="n">
        <v>45358</v>
      </c>
      <c r="D53" t="inlineStr">
        <is>
          <t>HALLANDS LÄN</t>
        </is>
      </c>
      <c r="E53" t="inlineStr">
        <is>
          <t>VARBERG</t>
        </is>
      </c>
      <c r="G53" t="n">
        <v>1.4</v>
      </c>
      <c r="H53" t="n">
        <v>0</v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Myskbock</t>
        </is>
      </c>
      <c r="S53">
        <f>HYPERLINK("https://klasma.github.io/Logging_1383/artfynd/A 30534-2021 artfynd.xlsx", "A 30534-2021")</f>
        <v/>
      </c>
      <c r="T53">
        <f>HYPERLINK("https://klasma.github.io/Logging_1383/kartor/A 30534-2021 karta.png", "A 30534-2021")</f>
        <v/>
      </c>
      <c r="V53">
        <f>HYPERLINK("https://klasma.github.io/Logging_1383/klagomål/A 30534-2021 FSC-klagomål.docx", "A 30534-2021")</f>
        <v/>
      </c>
      <c r="W53">
        <f>HYPERLINK("https://klasma.github.io/Logging_1383/klagomålsmail/A 30534-2021 FSC-klagomål mail.docx", "A 30534-2021")</f>
        <v/>
      </c>
      <c r="X53">
        <f>HYPERLINK("https://klasma.github.io/Logging_1383/tillsyn/A 30534-2021 tillsynsbegäran.docx", "A 30534-2021")</f>
        <v/>
      </c>
      <c r="Y53">
        <f>HYPERLINK("https://klasma.github.io/Logging_1383/tillsynsmail/A 30534-2021 tillsynsbegäran mail.docx", "A 30534-2021")</f>
        <v/>
      </c>
    </row>
    <row r="54" ht="15" customHeight="1">
      <c r="A54" t="inlineStr">
        <is>
          <t>A 35502-2021</t>
        </is>
      </c>
      <c r="B54" s="1" t="n">
        <v>44385</v>
      </c>
      <c r="C54" s="1" t="n">
        <v>45358</v>
      </c>
      <c r="D54" t="inlineStr">
        <is>
          <t>HALLANDS LÄN</t>
        </is>
      </c>
      <c r="E54" t="inlineStr">
        <is>
          <t>HALMSTAD</t>
        </is>
      </c>
      <c r="G54" t="n">
        <v>12.3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1</v>
      </c>
      <c r="O54" t="n">
        <v>1</v>
      </c>
      <c r="P54" t="n">
        <v>0</v>
      </c>
      <c r="Q54" t="n">
        <v>1</v>
      </c>
      <c r="R54" s="2" t="inlineStr">
        <is>
          <t>Praktgrusmossa</t>
        </is>
      </c>
      <c r="S54">
        <f>HYPERLINK("https://klasma.github.io/Logging_1380/artfynd/A 35502-2021 artfynd.xlsx", "A 35502-2021")</f>
        <v/>
      </c>
      <c r="T54">
        <f>HYPERLINK("https://klasma.github.io/Logging_1380/kartor/A 35502-2021 karta.png", "A 35502-2021")</f>
        <v/>
      </c>
      <c r="V54">
        <f>HYPERLINK("https://klasma.github.io/Logging_1380/klagomål/A 35502-2021 FSC-klagomål.docx", "A 35502-2021")</f>
        <v/>
      </c>
      <c r="W54">
        <f>HYPERLINK("https://klasma.github.io/Logging_1380/klagomålsmail/A 35502-2021 FSC-klagomål mail.docx", "A 35502-2021")</f>
        <v/>
      </c>
      <c r="X54">
        <f>HYPERLINK("https://klasma.github.io/Logging_1380/tillsyn/A 35502-2021 tillsynsbegäran.docx", "A 35502-2021")</f>
        <v/>
      </c>
      <c r="Y54">
        <f>HYPERLINK("https://klasma.github.io/Logging_1380/tillsynsmail/A 35502-2021 tillsynsbegäran mail.docx", "A 35502-2021")</f>
        <v/>
      </c>
    </row>
    <row r="55" ht="15" customHeight="1">
      <c r="A55" t="inlineStr">
        <is>
          <t>A 44540-2021</t>
        </is>
      </c>
      <c r="B55" s="1" t="n">
        <v>44435</v>
      </c>
      <c r="C55" s="1" t="n">
        <v>45358</v>
      </c>
      <c r="D55" t="inlineStr">
        <is>
          <t>HALLANDS LÄN</t>
        </is>
      </c>
      <c r="E55" t="inlineStr">
        <is>
          <t>FALKENBERG</t>
        </is>
      </c>
      <c r="G55" t="n">
        <v>1.9</v>
      </c>
      <c r="H55" t="n">
        <v>0</v>
      </c>
      <c r="I55" t="n">
        <v>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Stor revmossa</t>
        </is>
      </c>
      <c r="S55">
        <f>HYPERLINK("https://klasma.github.io/Logging_1382/artfynd/A 44540-2021 artfynd.xlsx", "A 44540-2021")</f>
        <v/>
      </c>
      <c r="T55">
        <f>HYPERLINK("https://klasma.github.io/Logging_1382/kartor/A 44540-2021 karta.png", "A 44540-2021")</f>
        <v/>
      </c>
      <c r="V55">
        <f>HYPERLINK("https://klasma.github.io/Logging_1382/klagomål/A 44540-2021 FSC-klagomål.docx", "A 44540-2021")</f>
        <v/>
      </c>
      <c r="W55">
        <f>HYPERLINK("https://klasma.github.io/Logging_1382/klagomålsmail/A 44540-2021 FSC-klagomål mail.docx", "A 44540-2021")</f>
        <v/>
      </c>
      <c r="X55">
        <f>HYPERLINK("https://klasma.github.io/Logging_1382/tillsyn/A 44540-2021 tillsynsbegäran.docx", "A 44540-2021")</f>
        <v/>
      </c>
      <c r="Y55">
        <f>HYPERLINK("https://klasma.github.io/Logging_1382/tillsynsmail/A 44540-2021 tillsynsbegäran mail.docx", "A 44540-2021")</f>
        <v/>
      </c>
    </row>
    <row r="56" ht="15" customHeight="1">
      <c r="A56" t="inlineStr">
        <is>
          <t>A 50645-2021</t>
        </is>
      </c>
      <c r="B56" s="1" t="n">
        <v>44459</v>
      </c>
      <c r="C56" s="1" t="n">
        <v>45358</v>
      </c>
      <c r="D56" t="inlineStr">
        <is>
          <t>HALLANDS LÄN</t>
        </is>
      </c>
      <c r="E56" t="inlineStr">
        <is>
          <t>LAHOLM</t>
        </is>
      </c>
      <c r="G56" t="n">
        <v>3.7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Hårginst</t>
        </is>
      </c>
      <c r="S56">
        <f>HYPERLINK("https://klasma.github.io/Logging_1381/artfynd/A 50645-2021 artfynd.xlsx", "A 50645-2021")</f>
        <v/>
      </c>
      <c r="T56">
        <f>HYPERLINK("https://klasma.github.io/Logging_1381/kartor/A 50645-2021 karta.png", "A 50645-2021")</f>
        <v/>
      </c>
      <c r="V56">
        <f>HYPERLINK("https://klasma.github.io/Logging_1381/klagomål/A 50645-2021 FSC-klagomål.docx", "A 50645-2021")</f>
        <v/>
      </c>
      <c r="W56">
        <f>HYPERLINK("https://klasma.github.io/Logging_1381/klagomålsmail/A 50645-2021 FSC-klagomål mail.docx", "A 50645-2021")</f>
        <v/>
      </c>
      <c r="X56">
        <f>HYPERLINK("https://klasma.github.io/Logging_1381/tillsyn/A 50645-2021 tillsynsbegäran.docx", "A 50645-2021")</f>
        <v/>
      </c>
      <c r="Y56">
        <f>HYPERLINK("https://klasma.github.io/Logging_1381/tillsynsmail/A 50645-2021 tillsynsbegäran mail.docx", "A 50645-2021")</f>
        <v/>
      </c>
    </row>
    <row r="57" ht="15" customHeight="1">
      <c r="A57" t="inlineStr">
        <is>
          <t>A 50998-2021</t>
        </is>
      </c>
      <c r="B57" s="1" t="n">
        <v>44460</v>
      </c>
      <c r="C57" s="1" t="n">
        <v>45358</v>
      </c>
      <c r="D57" t="inlineStr">
        <is>
          <t>HALLANDS LÄN</t>
        </is>
      </c>
      <c r="E57" t="inlineStr">
        <is>
          <t>FALKENBERG</t>
        </is>
      </c>
      <c r="G57" t="n">
        <v>0.5</v>
      </c>
      <c r="H57" t="n">
        <v>0</v>
      </c>
      <c r="I57" t="n">
        <v>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Rödgul trumpetsvamp</t>
        </is>
      </c>
      <c r="S57">
        <f>HYPERLINK("https://klasma.github.io/Logging_1382/artfynd/A 50998-2021 artfynd.xlsx", "A 50998-2021")</f>
        <v/>
      </c>
      <c r="T57">
        <f>HYPERLINK("https://klasma.github.io/Logging_1382/kartor/A 50998-2021 karta.png", "A 50998-2021")</f>
        <v/>
      </c>
      <c r="V57">
        <f>HYPERLINK("https://klasma.github.io/Logging_1382/klagomål/A 50998-2021 FSC-klagomål.docx", "A 50998-2021")</f>
        <v/>
      </c>
      <c r="W57">
        <f>HYPERLINK("https://klasma.github.io/Logging_1382/klagomålsmail/A 50998-2021 FSC-klagomål mail.docx", "A 50998-2021")</f>
        <v/>
      </c>
      <c r="X57">
        <f>HYPERLINK("https://klasma.github.io/Logging_1382/tillsyn/A 50998-2021 tillsynsbegäran.docx", "A 50998-2021")</f>
        <v/>
      </c>
      <c r="Y57">
        <f>HYPERLINK("https://klasma.github.io/Logging_1382/tillsynsmail/A 50998-2021 tillsynsbegäran mail.docx", "A 50998-2021")</f>
        <v/>
      </c>
    </row>
    <row r="58" ht="15" customHeight="1">
      <c r="A58" t="inlineStr">
        <is>
          <t>A 53915-2021</t>
        </is>
      </c>
      <c r="B58" s="1" t="n">
        <v>44469</v>
      </c>
      <c r="C58" s="1" t="n">
        <v>45358</v>
      </c>
      <c r="D58" t="inlineStr">
        <is>
          <t>HALLANDS LÄN</t>
        </is>
      </c>
      <c r="E58" t="inlineStr">
        <is>
          <t>VARBERG</t>
        </is>
      </c>
      <c r="G58" t="n">
        <v>0.9</v>
      </c>
      <c r="H58" t="n">
        <v>1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Entita</t>
        </is>
      </c>
      <c r="S58">
        <f>HYPERLINK("https://klasma.github.io/Logging_1383/artfynd/A 53915-2021 artfynd.xlsx", "A 53915-2021")</f>
        <v/>
      </c>
      <c r="T58">
        <f>HYPERLINK("https://klasma.github.io/Logging_1383/kartor/A 53915-2021 karta.png", "A 53915-2021")</f>
        <v/>
      </c>
      <c r="V58">
        <f>HYPERLINK("https://klasma.github.io/Logging_1383/klagomål/A 53915-2021 FSC-klagomål.docx", "A 53915-2021")</f>
        <v/>
      </c>
      <c r="W58">
        <f>HYPERLINK("https://klasma.github.io/Logging_1383/klagomålsmail/A 53915-2021 FSC-klagomål mail.docx", "A 53915-2021")</f>
        <v/>
      </c>
      <c r="X58">
        <f>HYPERLINK("https://klasma.github.io/Logging_1383/tillsyn/A 53915-2021 tillsynsbegäran.docx", "A 53915-2021")</f>
        <v/>
      </c>
      <c r="Y58">
        <f>HYPERLINK("https://klasma.github.io/Logging_1383/tillsynsmail/A 53915-2021 tillsynsbegäran mail.docx", "A 53915-2021")</f>
        <v/>
      </c>
      <c r="Z58">
        <f>HYPERLINK("https://klasma.github.io/Logging_1383/fåglar/A 53915-2021 prioriterade fågelarter.docx", "A 53915-2021")</f>
        <v/>
      </c>
    </row>
    <row r="59" ht="15" customHeight="1">
      <c r="A59" t="inlineStr">
        <is>
          <t>A 63965-2021</t>
        </is>
      </c>
      <c r="B59" s="1" t="n">
        <v>44509</v>
      </c>
      <c r="C59" s="1" t="n">
        <v>45358</v>
      </c>
      <c r="D59" t="inlineStr">
        <is>
          <t>HALLANDS LÄN</t>
        </is>
      </c>
      <c r="E59" t="inlineStr">
        <is>
          <t>KUNGSBACKA</t>
        </is>
      </c>
      <c r="G59" t="n">
        <v>2</v>
      </c>
      <c r="H59" t="n">
        <v>1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Hasselmus</t>
        </is>
      </c>
      <c r="S59">
        <f>HYPERLINK("https://klasma.github.io/Logging_1384/artfynd/A 63965-2021 artfynd.xlsx", "A 63965-2021")</f>
        <v/>
      </c>
      <c r="T59">
        <f>HYPERLINK("https://klasma.github.io/Logging_1384/kartor/A 63965-2021 karta.png", "A 63965-2021")</f>
        <v/>
      </c>
      <c r="V59">
        <f>HYPERLINK("https://klasma.github.io/Logging_1384/klagomål/A 63965-2021 FSC-klagomål.docx", "A 63965-2021")</f>
        <v/>
      </c>
      <c r="W59">
        <f>HYPERLINK("https://klasma.github.io/Logging_1384/klagomålsmail/A 63965-2021 FSC-klagomål mail.docx", "A 63965-2021")</f>
        <v/>
      </c>
      <c r="X59">
        <f>HYPERLINK("https://klasma.github.io/Logging_1384/tillsyn/A 63965-2021 tillsynsbegäran.docx", "A 63965-2021")</f>
        <v/>
      </c>
      <c r="Y59">
        <f>HYPERLINK("https://klasma.github.io/Logging_1384/tillsynsmail/A 63965-2021 tillsynsbegäran mail.docx", "A 63965-2021")</f>
        <v/>
      </c>
    </row>
    <row r="60" ht="15" customHeight="1">
      <c r="A60" t="inlineStr">
        <is>
          <t>A 66137-2021</t>
        </is>
      </c>
      <c r="B60" s="1" t="n">
        <v>44517</v>
      </c>
      <c r="C60" s="1" t="n">
        <v>45358</v>
      </c>
      <c r="D60" t="inlineStr">
        <is>
          <t>HALLANDS LÄN</t>
        </is>
      </c>
      <c r="E60" t="inlineStr">
        <is>
          <t>FALKENBERG</t>
        </is>
      </c>
      <c r="G60" t="n">
        <v>1.7</v>
      </c>
      <c r="H60" t="n">
        <v>1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Hasselmus</t>
        </is>
      </c>
      <c r="S60">
        <f>HYPERLINK("https://klasma.github.io/Logging_1382/artfynd/A 66137-2021 artfynd.xlsx", "A 66137-2021")</f>
        <v/>
      </c>
      <c r="T60">
        <f>HYPERLINK("https://klasma.github.io/Logging_1382/kartor/A 66137-2021 karta.png", "A 66137-2021")</f>
        <v/>
      </c>
      <c r="V60">
        <f>HYPERLINK("https://klasma.github.io/Logging_1382/klagomål/A 66137-2021 FSC-klagomål.docx", "A 66137-2021")</f>
        <v/>
      </c>
      <c r="W60">
        <f>HYPERLINK("https://klasma.github.io/Logging_1382/klagomålsmail/A 66137-2021 FSC-klagomål mail.docx", "A 66137-2021")</f>
        <v/>
      </c>
      <c r="X60">
        <f>HYPERLINK("https://klasma.github.io/Logging_1382/tillsyn/A 66137-2021 tillsynsbegäran.docx", "A 66137-2021")</f>
        <v/>
      </c>
      <c r="Y60">
        <f>HYPERLINK("https://klasma.github.io/Logging_1382/tillsynsmail/A 66137-2021 tillsynsbegäran mail.docx", "A 66137-2021")</f>
        <v/>
      </c>
    </row>
    <row r="61" ht="15" customHeight="1">
      <c r="A61" t="inlineStr">
        <is>
          <t>A 70738-2021</t>
        </is>
      </c>
      <c r="B61" s="1" t="n">
        <v>44537</v>
      </c>
      <c r="C61" s="1" t="n">
        <v>45358</v>
      </c>
      <c r="D61" t="inlineStr">
        <is>
          <t>HALLANDS LÄN</t>
        </is>
      </c>
      <c r="E61" t="inlineStr">
        <is>
          <t>HALMSTAD</t>
        </is>
      </c>
      <c r="F61" t="inlineStr">
        <is>
          <t>Kyrkan</t>
        </is>
      </c>
      <c r="G61" t="n">
        <v>2.4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Hårginst</t>
        </is>
      </c>
      <c r="S61">
        <f>HYPERLINK("https://klasma.github.io/Logging_1380/artfynd/A 70738-2021 artfynd.xlsx", "A 70738-2021")</f>
        <v/>
      </c>
      <c r="T61">
        <f>HYPERLINK("https://klasma.github.io/Logging_1380/kartor/A 70738-2021 karta.png", "A 70738-2021")</f>
        <v/>
      </c>
      <c r="V61">
        <f>HYPERLINK("https://klasma.github.io/Logging_1380/klagomål/A 70738-2021 FSC-klagomål.docx", "A 70738-2021")</f>
        <v/>
      </c>
      <c r="W61">
        <f>HYPERLINK("https://klasma.github.io/Logging_1380/klagomålsmail/A 70738-2021 FSC-klagomål mail.docx", "A 70738-2021")</f>
        <v/>
      </c>
      <c r="X61">
        <f>HYPERLINK("https://klasma.github.io/Logging_1380/tillsyn/A 70738-2021 tillsynsbegäran.docx", "A 70738-2021")</f>
        <v/>
      </c>
      <c r="Y61">
        <f>HYPERLINK("https://klasma.github.io/Logging_1380/tillsynsmail/A 70738-2021 tillsynsbegäran mail.docx", "A 70738-2021")</f>
        <v/>
      </c>
    </row>
    <row r="62" ht="15" customHeight="1">
      <c r="A62" t="inlineStr">
        <is>
          <t>A 70769-2021</t>
        </is>
      </c>
      <c r="B62" s="1" t="n">
        <v>44537</v>
      </c>
      <c r="C62" s="1" t="n">
        <v>45358</v>
      </c>
      <c r="D62" t="inlineStr">
        <is>
          <t>HALLANDS LÄN</t>
        </is>
      </c>
      <c r="E62" t="inlineStr">
        <is>
          <t>HALMSTAD</t>
        </is>
      </c>
      <c r="F62" t="inlineStr">
        <is>
          <t>Kyrkan</t>
        </is>
      </c>
      <c r="G62" t="n">
        <v>1.2</v>
      </c>
      <c r="H62" t="n">
        <v>0</v>
      </c>
      <c r="I62" t="n">
        <v>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Brandticka</t>
        </is>
      </c>
      <c r="S62">
        <f>HYPERLINK("https://klasma.github.io/Logging_1380/artfynd/A 70769-2021 artfynd.xlsx", "A 70769-2021")</f>
        <v/>
      </c>
      <c r="T62">
        <f>HYPERLINK("https://klasma.github.io/Logging_1380/kartor/A 70769-2021 karta.png", "A 70769-2021")</f>
        <v/>
      </c>
      <c r="V62">
        <f>HYPERLINK("https://klasma.github.io/Logging_1380/klagomål/A 70769-2021 FSC-klagomål.docx", "A 70769-2021")</f>
        <v/>
      </c>
      <c r="W62">
        <f>HYPERLINK("https://klasma.github.io/Logging_1380/klagomålsmail/A 70769-2021 FSC-klagomål mail.docx", "A 70769-2021")</f>
        <v/>
      </c>
      <c r="X62">
        <f>HYPERLINK("https://klasma.github.io/Logging_1380/tillsyn/A 70769-2021 tillsynsbegäran.docx", "A 70769-2021")</f>
        <v/>
      </c>
      <c r="Y62">
        <f>HYPERLINK("https://klasma.github.io/Logging_1380/tillsynsmail/A 70769-2021 tillsynsbegäran mail.docx", "A 70769-2021")</f>
        <v/>
      </c>
    </row>
    <row r="63" ht="15" customHeight="1">
      <c r="A63" t="inlineStr">
        <is>
          <t>A 71006-2021</t>
        </is>
      </c>
      <c r="B63" s="1" t="n">
        <v>44538</v>
      </c>
      <c r="C63" s="1" t="n">
        <v>45358</v>
      </c>
      <c r="D63" t="inlineStr">
        <is>
          <t>HALLANDS LÄN</t>
        </is>
      </c>
      <c r="E63" t="inlineStr">
        <is>
          <t>HALMSTAD</t>
        </is>
      </c>
      <c r="F63" t="inlineStr">
        <is>
          <t>Bergvik skog väst AB</t>
        </is>
      </c>
      <c r="G63" t="n">
        <v>11.1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Hårginst</t>
        </is>
      </c>
      <c r="S63">
        <f>HYPERLINK("https://klasma.github.io/Logging_1380/artfynd/A 71006-2021 artfynd.xlsx", "A 71006-2021")</f>
        <v/>
      </c>
      <c r="T63">
        <f>HYPERLINK("https://klasma.github.io/Logging_1380/kartor/A 71006-2021 karta.png", "A 71006-2021")</f>
        <v/>
      </c>
      <c r="V63">
        <f>HYPERLINK("https://klasma.github.io/Logging_1380/klagomål/A 71006-2021 FSC-klagomål.docx", "A 71006-2021")</f>
        <v/>
      </c>
      <c r="W63">
        <f>HYPERLINK("https://klasma.github.io/Logging_1380/klagomålsmail/A 71006-2021 FSC-klagomål mail.docx", "A 71006-2021")</f>
        <v/>
      </c>
      <c r="X63">
        <f>HYPERLINK("https://klasma.github.io/Logging_1380/tillsyn/A 71006-2021 tillsynsbegäran.docx", "A 71006-2021")</f>
        <v/>
      </c>
      <c r="Y63">
        <f>HYPERLINK("https://klasma.github.io/Logging_1380/tillsynsmail/A 71006-2021 tillsynsbegäran mail.docx", "A 71006-2021")</f>
        <v/>
      </c>
    </row>
    <row r="64" ht="15" customHeight="1">
      <c r="A64" t="inlineStr">
        <is>
          <t>A 6626-2022</t>
        </is>
      </c>
      <c r="B64" s="1" t="n">
        <v>44601</v>
      </c>
      <c r="C64" s="1" t="n">
        <v>45358</v>
      </c>
      <c r="D64" t="inlineStr">
        <is>
          <t>HALLANDS LÄN</t>
        </is>
      </c>
      <c r="E64" t="inlineStr">
        <is>
          <t>HYLTE</t>
        </is>
      </c>
      <c r="G64" t="n">
        <v>6.4</v>
      </c>
      <c r="H64" t="n">
        <v>0</v>
      </c>
      <c r="I64" t="n">
        <v>0</v>
      </c>
      <c r="J64" t="n">
        <v>0</v>
      </c>
      <c r="K64" t="n">
        <v>0</v>
      </c>
      <c r="L64" t="n">
        <v>1</v>
      </c>
      <c r="M64" t="n">
        <v>0</v>
      </c>
      <c r="N64" t="n">
        <v>0</v>
      </c>
      <c r="O64" t="n">
        <v>1</v>
      </c>
      <c r="P64" t="n">
        <v>1</v>
      </c>
      <c r="Q64" t="n">
        <v>1</v>
      </c>
      <c r="R64" s="2" t="inlineStr">
        <is>
          <t>Ask</t>
        </is>
      </c>
      <c r="S64">
        <f>HYPERLINK("https://klasma.github.io/Logging_1315/artfynd/A 6626-2022 artfynd.xlsx", "A 6626-2022")</f>
        <v/>
      </c>
      <c r="T64">
        <f>HYPERLINK("https://klasma.github.io/Logging_1315/kartor/A 6626-2022 karta.png", "A 6626-2022")</f>
        <v/>
      </c>
      <c r="V64">
        <f>HYPERLINK("https://klasma.github.io/Logging_1315/klagomål/A 6626-2022 FSC-klagomål.docx", "A 6626-2022")</f>
        <v/>
      </c>
      <c r="W64">
        <f>HYPERLINK("https://klasma.github.io/Logging_1315/klagomålsmail/A 6626-2022 FSC-klagomål mail.docx", "A 6626-2022")</f>
        <v/>
      </c>
      <c r="X64">
        <f>HYPERLINK("https://klasma.github.io/Logging_1315/tillsyn/A 6626-2022 tillsynsbegäran.docx", "A 6626-2022")</f>
        <v/>
      </c>
      <c r="Y64">
        <f>HYPERLINK("https://klasma.github.io/Logging_1315/tillsynsmail/A 6626-2022 tillsynsbegäran mail.docx", "A 6626-2022")</f>
        <v/>
      </c>
    </row>
    <row r="65" ht="15" customHeight="1">
      <c r="A65" t="inlineStr">
        <is>
          <t>A 10567-2022</t>
        </is>
      </c>
      <c r="B65" s="1" t="n">
        <v>44624</v>
      </c>
      <c r="C65" s="1" t="n">
        <v>45358</v>
      </c>
      <c r="D65" t="inlineStr">
        <is>
          <t>HALLANDS LÄN</t>
        </is>
      </c>
      <c r="E65" t="inlineStr">
        <is>
          <t>LAHOLM</t>
        </is>
      </c>
      <c r="F65" t="inlineStr">
        <is>
          <t>Sveaskog</t>
        </is>
      </c>
      <c r="G65" t="n">
        <v>14.3</v>
      </c>
      <c r="H65" t="n">
        <v>1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Skogsödla</t>
        </is>
      </c>
      <c r="S65">
        <f>HYPERLINK("https://klasma.github.io/Logging_1381/artfynd/A 10567-2022 artfynd.xlsx", "A 10567-2022")</f>
        <v/>
      </c>
      <c r="T65">
        <f>HYPERLINK("https://klasma.github.io/Logging_1381/kartor/A 10567-2022 karta.png", "A 10567-2022")</f>
        <v/>
      </c>
      <c r="V65">
        <f>HYPERLINK("https://klasma.github.io/Logging_1381/klagomål/A 10567-2022 FSC-klagomål.docx", "A 10567-2022")</f>
        <v/>
      </c>
      <c r="W65">
        <f>HYPERLINK("https://klasma.github.io/Logging_1381/klagomålsmail/A 10567-2022 FSC-klagomål mail.docx", "A 10567-2022")</f>
        <v/>
      </c>
      <c r="X65">
        <f>HYPERLINK("https://klasma.github.io/Logging_1381/tillsyn/A 10567-2022 tillsynsbegäran.docx", "A 10567-2022")</f>
        <v/>
      </c>
      <c r="Y65">
        <f>HYPERLINK("https://klasma.github.io/Logging_1381/tillsynsmail/A 10567-2022 tillsynsbegäran mail.docx", "A 10567-2022")</f>
        <v/>
      </c>
    </row>
    <row r="66" ht="15" customHeight="1">
      <c r="A66" t="inlineStr">
        <is>
          <t>A 22842-2022</t>
        </is>
      </c>
      <c r="B66" s="1" t="n">
        <v>44715</v>
      </c>
      <c r="C66" s="1" t="n">
        <v>45358</v>
      </c>
      <c r="D66" t="inlineStr">
        <is>
          <t>HALLANDS LÄN</t>
        </is>
      </c>
      <c r="E66" t="inlineStr">
        <is>
          <t>HALMSTAD</t>
        </is>
      </c>
      <c r="G66" t="n">
        <v>6.1</v>
      </c>
      <c r="H66" t="n">
        <v>1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Spillkråka</t>
        </is>
      </c>
      <c r="S66">
        <f>HYPERLINK("https://klasma.github.io/Logging_1380/artfynd/A 22842-2022 artfynd.xlsx", "A 22842-2022")</f>
        <v/>
      </c>
      <c r="T66">
        <f>HYPERLINK("https://klasma.github.io/Logging_1380/kartor/A 22842-2022 karta.png", "A 22842-2022")</f>
        <v/>
      </c>
      <c r="V66">
        <f>HYPERLINK("https://klasma.github.io/Logging_1380/klagomål/A 22842-2022 FSC-klagomål.docx", "A 22842-2022")</f>
        <v/>
      </c>
      <c r="W66">
        <f>HYPERLINK("https://klasma.github.io/Logging_1380/klagomålsmail/A 22842-2022 FSC-klagomål mail.docx", "A 22842-2022")</f>
        <v/>
      </c>
      <c r="X66">
        <f>HYPERLINK("https://klasma.github.io/Logging_1380/tillsyn/A 22842-2022 tillsynsbegäran.docx", "A 22842-2022")</f>
        <v/>
      </c>
      <c r="Y66">
        <f>HYPERLINK("https://klasma.github.io/Logging_1380/tillsynsmail/A 22842-2022 tillsynsbegäran mail.docx", "A 22842-2022")</f>
        <v/>
      </c>
      <c r="Z66">
        <f>HYPERLINK("https://klasma.github.io/Logging_1380/fåglar/A 22842-2022 prioriterade fågelarter.docx", "A 22842-2022")</f>
        <v/>
      </c>
    </row>
    <row r="67" ht="15" customHeight="1">
      <c r="A67" t="inlineStr">
        <is>
          <t>A 24399-2022</t>
        </is>
      </c>
      <c r="B67" s="1" t="n">
        <v>44726</v>
      </c>
      <c r="C67" s="1" t="n">
        <v>45358</v>
      </c>
      <c r="D67" t="inlineStr">
        <is>
          <t>HALLANDS LÄN</t>
        </is>
      </c>
      <c r="E67" t="inlineStr">
        <is>
          <t>LAHOLM</t>
        </is>
      </c>
      <c r="G67" t="n">
        <v>1.8</v>
      </c>
      <c r="H67" t="n">
        <v>0</v>
      </c>
      <c r="I67" t="n">
        <v>0</v>
      </c>
      <c r="J67" t="n">
        <v>0</v>
      </c>
      <c r="K67" t="n">
        <v>1</v>
      </c>
      <c r="L67" t="n">
        <v>0</v>
      </c>
      <c r="M67" t="n">
        <v>0</v>
      </c>
      <c r="N67" t="n">
        <v>0</v>
      </c>
      <c r="O67" t="n">
        <v>1</v>
      </c>
      <c r="P67" t="n">
        <v>1</v>
      </c>
      <c r="Q67" t="n">
        <v>1</v>
      </c>
      <c r="R67" s="2" t="inlineStr">
        <is>
          <t>Småvänderot</t>
        </is>
      </c>
      <c r="S67">
        <f>HYPERLINK("https://klasma.github.io/Logging_1381/artfynd/A 24399-2022 artfynd.xlsx", "A 24399-2022")</f>
        <v/>
      </c>
      <c r="T67">
        <f>HYPERLINK("https://klasma.github.io/Logging_1381/kartor/A 24399-2022 karta.png", "A 24399-2022")</f>
        <v/>
      </c>
      <c r="V67">
        <f>HYPERLINK("https://klasma.github.io/Logging_1381/klagomål/A 24399-2022 FSC-klagomål.docx", "A 24399-2022")</f>
        <v/>
      </c>
      <c r="W67">
        <f>HYPERLINK("https://klasma.github.io/Logging_1381/klagomålsmail/A 24399-2022 FSC-klagomål mail.docx", "A 24399-2022")</f>
        <v/>
      </c>
      <c r="X67">
        <f>HYPERLINK("https://klasma.github.io/Logging_1381/tillsyn/A 24399-2022 tillsynsbegäran.docx", "A 24399-2022")</f>
        <v/>
      </c>
      <c r="Y67">
        <f>HYPERLINK("https://klasma.github.io/Logging_1381/tillsynsmail/A 24399-2022 tillsynsbegäran mail.docx", "A 24399-2022")</f>
        <v/>
      </c>
    </row>
    <row r="68" ht="15" customHeight="1">
      <c r="A68" t="inlineStr">
        <is>
          <t>A 36719-2022</t>
        </is>
      </c>
      <c r="B68" s="1" t="n">
        <v>44805</v>
      </c>
      <c r="C68" s="1" t="n">
        <v>45358</v>
      </c>
      <c r="D68" t="inlineStr">
        <is>
          <t>HALLANDS LÄN</t>
        </is>
      </c>
      <c r="E68" t="inlineStr">
        <is>
          <t>VARBERG</t>
        </is>
      </c>
      <c r="G68" t="n">
        <v>1.7</v>
      </c>
      <c r="H68" t="n">
        <v>1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Talltita</t>
        </is>
      </c>
      <c r="S68">
        <f>HYPERLINK("https://klasma.github.io/Logging_1383/artfynd/A 36719-2022 artfynd.xlsx", "A 36719-2022")</f>
        <v/>
      </c>
      <c r="T68">
        <f>HYPERLINK("https://klasma.github.io/Logging_1383/kartor/A 36719-2022 karta.png", "A 36719-2022")</f>
        <v/>
      </c>
      <c r="V68">
        <f>HYPERLINK("https://klasma.github.io/Logging_1383/klagomål/A 36719-2022 FSC-klagomål.docx", "A 36719-2022")</f>
        <v/>
      </c>
      <c r="W68">
        <f>HYPERLINK("https://klasma.github.io/Logging_1383/klagomålsmail/A 36719-2022 FSC-klagomål mail.docx", "A 36719-2022")</f>
        <v/>
      </c>
      <c r="X68">
        <f>HYPERLINK("https://klasma.github.io/Logging_1383/tillsyn/A 36719-2022 tillsynsbegäran.docx", "A 36719-2022")</f>
        <v/>
      </c>
      <c r="Y68">
        <f>HYPERLINK("https://klasma.github.io/Logging_1383/tillsynsmail/A 36719-2022 tillsynsbegäran mail.docx", "A 36719-2022")</f>
        <v/>
      </c>
      <c r="Z68">
        <f>HYPERLINK("https://klasma.github.io/Logging_1383/fåglar/A 36719-2022 prioriterade fågelarter.docx", "A 36719-2022")</f>
        <v/>
      </c>
    </row>
    <row r="69" ht="15" customHeight="1">
      <c r="A69" t="inlineStr">
        <is>
          <t>A 42421-2022</t>
        </is>
      </c>
      <c r="B69" s="1" t="n">
        <v>44831</v>
      </c>
      <c r="C69" s="1" t="n">
        <v>45358</v>
      </c>
      <c r="D69" t="inlineStr">
        <is>
          <t>HALLANDS LÄN</t>
        </is>
      </c>
      <c r="E69" t="inlineStr">
        <is>
          <t>LAHOLM</t>
        </is>
      </c>
      <c r="G69" t="n">
        <v>1.8</v>
      </c>
      <c r="H69" t="n">
        <v>0</v>
      </c>
      <c r="I69" t="n">
        <v>0</v>
      </c>
      <c r="J69" t="n">
        <v>0</v>
      </c>
      <c r="K69" t="n">
        <v>1</v>
      </c>
      <c r="L69" t="n">
        <v>0</v>
      </c>
      <c r="M69" t="n">
        <v>0</v>
      </c>
      <c r="N69" t="n">
        <v>0</v>
      </c>
      <c r="O69" t="n">
        <v>1</v>
      </c>
      <c r="P69" t="n">
        <v>1</v>
      </c>
      <c r="Q69" t="n">
        <v>1</v>
      </c>
      <c r="R69" s="2" t="inlineStr">
        <is>
          <t>Småvänderot</t>
        </is>
      </c>
      <c r="S69">
        <f>HYPERLINK("https://klasma.github.io/Logging_1381/artfynd/A 42421-2022 artfynd.xlsx", "A 42421-2022")</f>
        <v/>
      </c>
      <c r="T69">
        <f>HYPERLINK("https://klasma.github.io/Logging_1381/kartor/A 42421-2022 karta.png", "A 42421-2022")</f>
        <v/>
      </c>
      <c r="V69">
        <f>HYPERLINK("https://klasma.github.io/Logging_1381/klagomål/A 42421-2022 FSC-klagomål.docx", "A 42421-2022")</f>
        <v/>
      </c>
      <c r="W69">
        <f>HYPERLINK("https://klasma.github.io/Logging_1381/klagomålsmail/A 42421-2022 FSC-klagomål mail.docx", "A 42421-2022")</f>
        <v/>
      </c>
      <c r="X69">
        <f>HYPERLINK("https://klasma.github.io/Logging_1381/tillsyn/A 42421-2022 tillsynsbegäran.docx", "A 42421-2022")</f>
        <v/>
      </c>
      <c r="Y69">
        <f>HYPERLINK("https://klasma.github.io/Logging_1381/tillsynsmail/A 42421-2022 tillsynsbegäran mail.docx", "A 42421-2022")</f>
        <v/>
      </c>
    </row>
    <row r="70" ht="15" customHeight="1">
      <c r="A70" t="inlineStr">
        <is>
          <t>A 43362-2022</t>
        </is>
      </c>
      <c r="B70" s="1" t="n">
        <v>44834</v>
      </c>
      <c r="C70" s="1" t="n">
        <v>45358</v>
      </c>
      <c r="D70" t="inlineStr">
        <is>
          <t>HALLANDS LÄN</t>
        </is>
      </c>
      <c r="E70" t="inlineStr">
        <is>
          <t>VARBERG</t>
        </is>
      </c>
      <c r="G70" t="n">
        <v>2.9</v>
      </c>
      <c r="H70" t="n">
        <v>1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Dvärgpipistrell</t>
        </is>
      </c>
      <c r="S70">
        <f>HYPERLINK("https://klasma.github.io/Logging_1383/artfynd/A 43362-2022 artfynd.xlsx", "A 43362-2022")</f>
        <v/>
      </c>
      <c r="T70">
        <f>HYPERLINK("https://klasma.github.io/Logging_1383/kartor/A 43362-2022 karta.png", "A 43362-2022")</f>
        <v/>
      </c>
      <c r="V70">
        <f>HYPERLINK("https://klasma.github.io/Logging_1383/klagomål/A 43362-2022 FSC-klagomål.docx", "A 43362-2022")</f>
        <v/>
      </c>
      <c r="W70">
        <f>HYPERLINK("https://klasma.github.io/Logging_1383/klagomålsmail/A 43362-2022 FSC-klagomål mail.docx", "A 43362-2022")</f>
        <v/>
      </c>
      <c r="X70">
        <f>HYPERLINK("https://klasma.github.io/Logging_1383/tillsyn/A 43362-2022 tillsynsbegäran.docx", "A 43362-2022")</f>
        <v/>
      </c>
      <c r="Y70">
        <f>HYPERLINK("https://klasma.github.io/Logging_1383/tillsynsmail/A 43362-2022 tillsynsbegäran mail.docx", "A 43362-2022")</f>
        <v/>
      </c>
    </row>
    <row r="71" ht="15" customHeight="1">
      <c r="A71" t="inlineStr">
        <is>
          <t>A 44937-2022</t>
        </is>
      </c>
      <c r="B71" s="1" t="n">
        <v>44840</v>
      </c>
      <c r="C71" s="1" t="n">
        <v>45358</v>
      </c>
      <c r="D71" t="inlineStr">
        <is>
          <t>HALLANDS LÄN</t>
        </is>
      </c>
      <c r="E71" t="inlineStr">
        <is>
          <t>HALMSTAD</t>
        </is>
      </c>
      <c r="F71" t="inlineStr">
        <is>
          <t>Sveaskog</t>
        </is>
      </c>
      <c r="G71" t="n">
        <v>15</v>
      </c>
      <c r="H71" t="n">
        <v>0</v>
      </c>
      <c r="I71" t="n">
        <v>1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Granbräken</t>
        </is>
      </c>
      <c r="S71">
        <f>HYPERLINK("https://klasma.github.io/Logging_1380/artfynd/A 44937-2022 artfynd.xlsx", "A 44937-2022")</f>
        <v/>
      </c>
      <c r="T71">
        <f>HYPERLINK("https://klasma.github.io/Logging_1380/kartor/A 44937-2022 karta.png", "A 44937-2022")</f>
        <v/>
      </c>
      <c r="V71">
        <f>HYPERLINK("https://klasma.github.io/Logging_1380/klagomål/A 44937-2022 FSC-klagomål.docx", "A 44937-2022")</f>
        <v/>
      </c>
      <c r="W71">
        <f>HYPERLINK("https://klasma.github.io/Logging_1380/klagomålsmail/A 44937-2022 FSC-klagomål mail.docx", "A 44937-2022")</f>
        <v/>
      </c>
      <c r="X71">
        <f>HYPERLINK("https://klasma.github.io/Logging_1380/tillsyn/A 44937-2022 tillsynsbegäran.docx", "A 44937-2022")</f>
        <v/>
      </c>
      <c r="Y71">
        <f>HYPERLINK("https://klasma.github.io/Logging_1380/tillsynsmail/A 44937-2022 tillsynsbegäran mail.docx", "A 44937-2022")</f>
        <v/>
      </c>
    </row>
    <row r="72" ht="15" customHeight="1">
      <c r="A72" t="inlineStr">
        <is>
          <t>A 49551-2022</t>
        </is>
      </c>
      <c r="B72" s="1" t="n">
        <v>44862</v>
      </c>
      <c r="C72" s="1" t="n">
        <v>45358</v>
      </c>
      <c r="D72" t="inlineStr">
        <is>
          <t>HALLANDS LÄN</t>
        </is>
      </c>
      <c r="E72" t="inlineStr">
        <is>
          <t>VARBERG</t>
        </is>
      </c>
      <c r="G72" t="n">
        <v>2.1</v>
      </c>
      <c r="H72" t="n">
        <v>0</v>
      </c>
      <c r="I72" t="n">
        <v>1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Guldlockmossa</t>
        </is>
      </c>
      <c r="S72">
        <f>HYPERLINK("https://klasma.github.io/Logging_1383/artfynd/A 49551-2022 artfynd.xlsx", "A 49551-2022")</f>
        <v/>
      </c>
      <c r="T72">
        <f>HYPERLINK("https://klasma.github.io/Logging_1383/kartor/A 49551-2022 karta.png", "A 49551-2022")</f>
        <v/>
      </c>
      <c r="V72">
        <f>HYPERLINK("https://klasma.github.io/Logging_1383/klagomål/A 49551-2022 FSC-klagomål.docx", "A 49551-2022")</f>
        <v/>
      </c>
      <c r="W72">
        <f>HYPERLINK("https://klasma.github.io/Logging_1383/klagomålsmail/A 49551-2022 FSC-klagomål mail.docx", "A 49551-2022")</f>
        <v/>
      </c>
      <c r="X72">
        <f>HYPERLINK("https://klasma.github.io/Logging_1383/tillsyn/A 49551-2022 tillsynsbegäran.docx", "A 49551-2022")</f>
        <v/>
      </c>
      <c r="Y72">
        <f>HYPERLINK("https://klasma.github.io/Logging_1383/tillsynsmail/A 49551-2022 tillsynsbegäran mail.docx", "A 49551-2022")</f>
        <v/>
      </c>
    </row>
    <row r="73" ht="15" customHeight="1">
      <c r="A73" t="inlineStr">
        <is>
          <t>A 52318-2022</t>
        </is>
      </c>
      <c r="B73" s="1" t="n">
        <v>44873</v>
      </c>
      <c r="C73" s="1" t="n">
        <v>45358</v>
      </c>
      <c r="D73" t="inlineStr">
        <is>
          <t>HALLANDS LÄN</t>
        </is>
      </c>
      <c r="E73" t="inlineStr">
        <is>
          <t>KUNGSBACKA</t>
        </is>
      </c>
      <c r="G73" t="n">
        <v>2.3</v>
      </c>
      <c r="H73" t="n">
        <v>1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Fläcknycklar</t>
        </is>
      </c>
      <c r="S73">
        <f>HYPERLINK("https://klasma.github.io/Logging_1384/artfynd/A 52318-2022 artfynd.xlsx", "A 52318-2022")</f>
        <v/>
      </c>
      <c r="T73">
        <f>HYPERLINK("https://klasma.github.io/Logging_1384/kartor/A 52318-2022 karta.png", "A 52318-2022")</f>
        <v/>
      </c>
      <c r="V73">
        <f>HYPERLINK("https://klasma.github.io/Logging_1384/klagomål/A 52318-2022 FSC-klagomål.docx", "A 52318-2022")</f>
        <v/>
      </c>
      <c r="W73">
        <f>HYPERLINK("https://klasma.github.io/Logging_1384/klagomålsmail/A 52318-2022 FSC-klagomål mail.docx", "A 52318-2022")</f>
        <v/>
      </c>
      <c r="X73">
        <f>HYPERLINK("https://klasma.github.io/Logging_1384/tillsyn/A 52318-2022 tillsynsbegäran.docx", "A 52318-2022")</f>
        <v/>
      </c>
      <c r="Y73">
        <f>HYPERLINK("https://klasma.github.io/Logging_1384/tillsynsmail/A 52318-2022 tillsynsbegäran mail.docx", "A 52318-2022")</f>
        <v/>
      </c>
    </row>
    <row r="74" ht="15" customHeight="1">
      <c r="A74" t="inlineStr">
        <is>
          <t>A 57564-2022</t>
        </is>
      </c>
      <c r="B74" s="1" t="n">
        <v>44896</v>
      </c>
      <c r="C74" s="1" t="n">
        <v>45358</v>
      </c>
      <c r="D74" t="inlineStr">
        <is>
          <t>HALLANDS LÄN</t>
        </is>
      </c>
      <c r="E74" t="inlineStr">
        <is>
          <t>VARBERG</t>
        </is>
      </c>
      <c r="G74" t="n">
        <v>3.1</v>
      </c>
      <c r="H74" t="n">
        <v>1</v>
      </c>
      <c r="I74" t="n">
        <v>0</v>
      </c>
      <c r="J74" t="n">
        <v>0</v>
      </c>
      <c r="K74" t="n">
        <v>1</v>
      </c>
      <c r="L74" t="n">
        <v>0</v>
      </c>
      <c r="M74" t="n">
        <v>0</v>
      </c>
      <c r="N74" t="n">
        <v>0</v>
      </c>
      <c r="O74" t="n">
        <v>1</v>
      </c>
      <c r="P74" t="n">
        <v>1</v>
      </c>
      <c r="Q74" t="n">
        <v>1</v>
      </c>
      <c r="R74" s="2" t="inlineStr">
        <is>
          <t>Lappuggla</t>
        </is>
      </c>
      <c r="S74">
        <f>HYPERLINK("https://klasma.github.io/Logging_1383/artfynd/A 57564-2022 artfynd.xlsx", "A 57564-2022")</f>
        <v/>
      </c>
      <c r="T74">
        <f>HYPERLINK("https://klasma.github.io/Logging_1383/kartor/A 57564-2022 karta.png", "A 57564-2022")</f>
        <v/>
      </c>
      <c r="V74">
        <f>HYPERLINK("https://klasma.github.io/Logging_1383/klagomål/A 57564-2022 FSC-klagomål.docx", "A 57564-2022")</f>
        <v/>
      </c>
      <c r="W74">
        <f>HYPERLINK("https://klasma.github.io/Logging_1383/klagomålsmail/A 57564-2022 FSC-klagomål mail.docx", "A 57564-2022")</f>
        <v/>
      </c>
      <c r="X74">
        <f>HYPERLINK("https://klasma.github.io/Logging_1383/tillsyn/A 57564-2022 tillsynsbegäran.docx", "A 57564-2022")</f>
        <v/>
      </c>
      <c r="Y74">
        <f>HYPERLINK("https://klasma.github.io/Logging_1383/tillsynsmail/A 57564-2022 tillsynsbegäran mail.docx", "A 57564-2022")</f>
        <v/>
      </c>
      <c r="Z74">
        <f>HYPERLINK("https://klasma.github.io/Logging_1383/fåglar/A 57564-2022 prioriterade fågelarter.docx", "A 57564-2022")</f>
        <v/>
      </c>
    </row>
    <row r="75" ht="15" customHeight="1">
      <c r="A75" t="inlineStr">
        <is>
          <t>A 3062-2023</t>
        </is>
      </c>
      <c r="B75" s="1" t="n">
        <v>44946</v>
      </c>
      <c r="C75" s="1" t="n">
        <v>45358</v>
      </c>
      <c r="D75" t="inlineStr">
        <is>
          <t>HALLANDS LÄN</t>
        </is>
      </c>
      <c r="E75" t="inlineStr">
        <is>
          <t>FALKENBERG</t>
        </is>
      </c>
      <c r="G75" t="n">
        <v>2.1</v>
      </c>
      <c r="H75" t="n">
        <v>0</v>
      </c>
      <c r="I75" t="n">
        <v>0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1</v>
      </c>
      <c r="R75" s="2" t="inlineStr">
        <is>
          <t>Loppstarr</t>
        </is>
      </c>
      <c r="S75">
        <f>HYPERLINK("https://klasma.github.io/Logging_1382/artfynd/A 3062-2023 artfynd.xlsx", "A 3062-2023")</f>
        <v/>
      </c>
      <c r="T75">
        <f>HYPERLINK("https://klasma.github.io/Logging_1382/kartor/A 3062-2023 karta.png", "A 3062-2023")</f>
        <v/>
      </c>
      <c r="V75">
        <f>HYPERLINK("https://klasma.github.io/Logging_1382/klagomål/A 3062-2023 FSC-klagomål.docx", "A 3062-2023")</f>
        <v/>
      </c>
      <c r="W75">
        <f>HYPERLINK("https://klasma.github.io/Logging_1382/klagomålsmail/A 3062-2023 FSC-klagomål mail.docx", "A 3062-2023")</f>
        <v/>
      </c>
      <c r="X75">
        <f>HYPERLINK("https://klasma.github.io/Logging_1382/tillsyn/A 3062-2023 tillsynsbegäran.docx", "A 3062-2023")</f>
        <v/>
      </c>
      <c r="Y75">
        <f>HYPERLINK("https://klasma.github.io/Logging_1382/tillsynsmail/A 3062-2023 tillsynsbegäran mail.docx", "A 3062-2023")</f>
        <v/>
      </c>
    </row>
    <row r="76" ht="15" customHeight="1">
      <c r="A76" t="inlineStr">
        <is>
          <t>A 9006-2023</t>
        </is>
      </c>
      <c r="B76" s="1" t="n">
        <v>44979</v>
      </c>
      <c r="C76" s="1" t="n">
        <v>45358</v>
      </c>
      <c r="D76" t="inlineStr">
        <is>
          <t>HALLANDS LÄN</t>
        </is>
      </c>
      <c r="E76" t="inlineStr">
        <is>
          <t>KUNGSBACKA</t>
        </is>
      </c>
      <c r="G76" t="n">
        <v>13.5</v>
      </c>
      <c r="H76" t="n">
        <v>1</v>
      </c>
      <c r="I76" t="n">
        <v>0</v>
      </c>
      <c r="J76" t="n">
        <v>0</v>
      </c>
      <c r="K76" t="n">
        <v>1</v>
      </c>
      <c r="L76" t="n">
        <v>0</v>
      </c>
      <c r="M76" t="n">
        <v>0</v>
      </c>
      <c r="N76" t="n">
        <v>0</v>
      </c>
      <c r="O76" t="n">
        <v>1</v>
      </c>
      <c r="P76" t="n">
        <v>1</v>
      </c>
      <c r="Q76" t="n">
        <v>1</v>
      </c>
      <c r="R76" s="2" t="inlineStr">
        <is>
          <t>Hedjohannesört</t>
        </is>
      </c>
      <c r="S76">
        <f>HYPERLINK("https://klasma.github.io/Logging_1384/artfynd/A 9006-2023 artfynd.xlsx", "A 9006-2023")</f>
        <v/>
      </c>
      <c r="T76">
        <f>HYPERLINK("https://klasma.github.io/Logging_1384/kartor/A 9006-2023 karta.png", "A 9006-2023")</f>
        <v/>
      </c>
      <c r="V76">
        <f>HYPERLINK("https://klasma.github.io/Logging_1384/klagomål/A 9006-2023 FSC-klagomål.docx", "A 9006-2023")</f>
        <v/>
      </c>
      <c r="W76">
        <f>HYPERLINK("https://klasma.github.io/Logging_1384/klagomålsmail/A 9006-2023 FSC-klagomål mail.docx", "A 9006-2023")</f>
        <v/>
      </c>
      <c r="X76">
        <f>HYPERLINK("https://klasma.github.io/Logging_1384/tillsyn/A 9006-2023 tillsynsbegäran.docx", "A 9006-2023")</f>
        <v/>
      </c>
      <c r="Y76">
        <f>HYPERLINK("https://klasma.github.io/Logging_1384/tillsynsmail/A 9006-2023 tillsynsbegäran mail.docx", "A 9006-2023")</f>
        <v/>
      </c>
    </row>
    <row r="77" ht="15" customHeight="1">
      <c r="A77" t="inlineStr">
        <is>
          <t>A 12185-2023</t>
        </is>
      </c>
      <c r="B77" s="1" t="n">
        <v>44998</v>
      </c>
      <c r="C77" s="1" t="n">
        <v>45358</v>
      </c>
      <c r="D77" t="inlineStr">
        <is>
          <t>HALLANDS LÄN</t>
        </is>
      </c>
      <c r="E77" t="inlineStr">
        <is>
          <t>HALMSTAD</t>
        </is>
      </c>
      <c r="G77" t="n">
        <v>1.8</v>
      </c>
      <c r="H77" t="n">
        <v>0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1</v>
      </c>
      <c r="R77" s="2" t="inlineStr">
        <is>
          <t>Loppstarr</t>
        </is>
      </c>
      <c r="S77">
        <f>HYPERLINK("https://klasma.github.io/Logging_1380/artfynd/A 12185-2023 artfynd.xlsx", "A 12185-2023")</f>
        <v/>
      </c>
      <c r="T77">
        <f>HYPERLINK("https://klasma.github.io/Logging_1380/kartor/A 12185-2023 karta.png", "A 12185-2023")</f>
        <v/>
      </c>
      <c r="V77">
        <f>HYPERLINK("https://klasma.github.io/Logging_1380/klagomål/A 12185-2023 FSC-klagomål.docx", "A 12185-2023")</f>
        <v/>
      </c>
      <c r="W77">
        <f>HYPERLINK("https://klasma.github.io/Logging_1380/klagomålsmail/A 12185-2023 FSC-klagomål mail.docx", "A 12185-2023")</f>
        <v/>
      </c>
      <c r="X77">
        <f>HYPERLINK("https://klasma.github.io/Logging_1380/tillsyn/A 12185-2023 tillsynsbegäran.docx", "A 12185-2023")</f>
        <v/>
      </c>
      <c r="Y77">
        <f>HYPERLINK("https://klasma.github.io/Logging_1380/tillsynsmail/A 12185-2023 tillsynsbegäran mail.docx", "A 12185-2023")</f>
        <v/>
      </c>
    </row>
    <row r="78" ht="15" customHeight="1">
      <c r="A78" t="inlineStr">
        <is>
          <t>A 23050-2023</t>
        </is>
      </c>
      <c r="B78" s="1" t="n">
        <v>45075</v>
      </c>
      <c r="C78" s="1" t="n">
        <v>45358</v>
      </c>
      <c r="D78" t="inlineStr">
        <is>
          <t>HALLANDS LÄN</t>
        </is>
      </c>
      <c r="E78" t="inlineStr">
        <is>
          <t>VARBERG</t>
        </is>
      </c>
      <c r="G78" t="n">
        <v>1.4</v>
      </c>
      <c r="H78" t="n">
        <v>0</v>
      </c>
      <c r="I78" t="n">
        <v>1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Kambräken</t>
        </is>
      </c>
      <c r="S78">
        <f>HYPERLINK("https://klasma.github.io/Logging_1383/artfynd/A 23050-2023 artfynd.xlsx", "A 23050-2023")</f>
        <v/>
      </c>
      <c r="T78">
        <f>HYPERLINK("https://klasma.github.io/Logging_1383/kartor/A 23050-2023 karta.png", "A 23050-2023")</f>
        <v/>
      </c>
      <c r="V78">
        <f>HYPERLINK("https://klasma.github.io/Logging_1383/klagomål/A 23050-2023 FSC-klagomål.docx", "A 23050-2023")</f>
        <v/>
      </c>
      <c r="W78">
        <f>HYPERLINK("https://klasma.github.io/Logging_1383/klagomålsmail/A 23050-2023 FSC-klagomål mail.docx", "A 23050-2023")</f>
        <v/>
      </c>
      <c r="X78">
        <f>HYPERLINK("https://klasma.github.io/Logging_1383/tillsyn/A 23050-2023 tillsynsbegäran.docx", "A 23050-2023")</f>
        <v/>
      </c>
      <c r="Y78">
        <f>HYPERLINK("https://klasma.github.io/Logging_1383/tillsynsmail/A 23050-2023 tillsynsbegäran mail.docx", "A 23050-2023")</f>
        <v/>
      </c>
    </row>
    <row r="79" ht="15" customHeight="1">
      <c r="A79" t="inlineStr">
        <is>
          <t>A 30046-2023</t>
        </is>
      </c>
      <c r="B79" s="1" t="n">
        <v>45099</v>
      </c>
      <c r="C79" s="1" t="n">
        <v>45358</v>
      </c>
      <c r="D79" t="inlineStr">
        <is>
          <t>HALLANDS LÄN</t>
        </is>
      </c>
      <c r="E79" t="inlineStr">
        <is>
          <t>HALMSTAD</t>
        </is>
      </c>
      <c r="G79" t="n">
        <v>5</v>
      </c>
      <c r="H79" t="n">
        <v>1</v>
      </c>
      <c r="I79" t="n">
        <v>0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1</v>
      </c>
      <c r="R79" s="2" t="inlineStr">
        <is>
          <t>Spillkråka</t>
        </is>
      </c>
      <c r="S79">
        <f>HYPERLINK("https://klasma.github.io/Logging_1380/artfynd/A 30046-2023 artfynd.xlsx", "A 30046-2023")</f>
        <v/>
      </c>
      <c r="T79">
        <f>HYPERLINK("https://klasma.github.io/Logging_1380/kartor/A 30046-2023 karta.png", "A 30046-2023")</f>
        <v/>
      </c>
      <c r="V79">
        <f>HYPERLINK("https://klasma.github.io/Logging_1380/klagomål/A 30046-2023 FSC-klagomål.docx", "A 30046-2023")</f>
        <v/>
      </c>
      <c r="W79">
        <f>HYPERLINK("https://klasma.github.io/Logging_1380/klagomålsmail/A 30046-2023 FSC-klagomål mail.docx", "A 30046-2023")</f>
        <v/>
      </c>
      <c r="X79">
        <f>HYPERLINK("https://klasma.github.io/Logging_1380/tillsyn/A 30046-2023 tillsynsbegäran.docx", "A 30046-2023")</f>
        <v/>
      </c>
      <c r="Y79">
        <f>HYPERLINK("https://klasma.github.io/Logging_1380/tillsynsmail/A 30046-2023 tillsynsbegäran mail.docx", "A 30046-2023")</f>
        <v/>
      </c>
      <c r="Z79">
        <f>HYPERLINK("https://klasma.github.io/Logging_1380/fåglar/A 30046-2023 prioriterade fågelarter.docx", "A 30046-2023")</f>
        <v/>
      </c>
    </row>
    <row r="80" ht="15" customHeight="1">
      <c r="A80" t="inlineStr">
        <is>
          <t>A 33757-2023</t>
        </is>
      </c>
      <c r="B80" s="1" t="n">
        <v>45120</v>
      </c>
      <c r="C80" s="1" t="n">
        <v>45358</v>
      </c>
      <c r="D80" t="inlineStr">
        <is>
          <t>HALLANDS LÄN</t>
        </is>
      </c>
      <c r="E80" t="inlineStr">
        <is>
          <t>HALMSTAD</t>
        </is>
      </c>
      <c r="G80" t="n">
        <v>2.2</v>
      </c>
      <c r="H80" t="n">
        <v>1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s="2" t="inlineStr">
        <is>
          <t>Vanlig snok</t>
        </is>
      </c>
      <c r="S80">
        <f>HYPERLINK("https://klasma.github.io/Logging_1380/artfynd/A 33757-2023 artfynd.xlsx", "A 33757-2023")</f>
        <v/>
      </c>
      <c r="T80">
        <f>HYPERLINK("https://klasma.github.io/Logging_1380/kartor/A 33757-2023 karta.png", "A 33757-2023")</f>
        <v/>
      </c>
      <c r="V80">
        <f>HYPERLINK("https://klasma.github.io/Logging_1380/klagomål/A 33757-2023 FSC-klagomål.docx", "A 33757-2023")</f>
        <v/>
      </c>
      <c r="W80">
        <f>HYPERLINK("https://klasma.github.io/Logging_1380/klagomålsmail/A 33757-2023 FSC-klagomål mail.docx", "A 33757-2023")</f>
        <v/>
      </c>
      <c r="X80">
        <f>HYPERLINK("https://klasma.github.io/Logging_1380/tillsyn/A 33757-2023 tillsynsbegäran.docx", "A 33757-2023")</f>
        <v/>
      </c>
      <c r="Y80">
        <f>HYPERLINK("https://klasma.github.io/Logging_1380/tillsynsmail/A 33757-2023 tillsynsbegäran mail.docx", "A 33757-2023")</f>
        <v/>
      </c>
    </row>
    <row r="81" ht="15" customHeight="1">
      <c r="A81" t="inlineStr">
        <is>
          <t>A 34831-2023</t>
        </is>
      </c>
      <c r="B81" s="1" t="n">
        <v>45141</v>
      </c>
      <c r="C81" s="1" t="n">
        <v>45358</v>
      </c>
      <c r="D81" t="inlineStr">
        <is>
          <t>HALLANDS LÄN</t>
        </is>
      </c>
      <c r="E81" t="inlineStr">
        <is>
          <t>VARBERG</t>
        </is>
      </c>
      <c r="G81" t="n">
        <v>1.1</v>
      </c>
      <c r="H81" t="n">
        <v>0</v>
      </c>
      <c r="I81" t="n">
        <v>1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s="2" t="inlineStr">
        <is>
          <t>Kambräken</t>
        </is>
      </c>
      <c r="S81">
        <f>HYPERLINK("https://klasma.github.io/Logging_1383/artfynd/A 34831-2023 artfynd.xlsx", "A 34831-2023")</f>
        <v/>
      </c>
      <c r="T81">
        <f>HYPERLINK("https://klasma.github.io/Logging_1383/kartor/A 34831-2023 karta.png", "A 34831-2023")</f>
        <v/>
      </c>
      <c r="V81">
        <f>HYPERLINK("https://klasma.github.io/Logging_1383/klagomål/A 34831-2023 FSC-klagomål.docx", "A 34831-2023")</f>
        <v/>
      </c>
      <c r="W81">
        <f>HYPERLINK("https://klasma.github.io/Logging_1383/klagomålsmail/A 34831-2023 FSC-klagomål mail.docx", "A 34831-2023")</f>
        <v/>
      </c>
      <c r="X81">
        <f>HYPERLINK("https://klasma.github.io/Logging_1383/tillsyn/A 34831-2023 tillsynsbegäran.docx", "A 34831-2023")</f>
        <v/>
      </c>
      <c r="Y81">
        <f>HYPERLINK("https://klasma.github.io/Logging_1383/tillsynsmail/A 34831-2023 tillsynsbegäran mail.docx", "A 34831-2023")</f>
        <v/>
      </c>
    </row>
    <row r="82" ht="15" customHeight="1">
      <c r="A82" t="inlineStr">
        <is>
          <t>A 34833-2023</t>
        </is>
      </c>
      <c r="B82" s="1" t="n">
        <v>45141</v>
      </c>
      <c r="C82" s="1" t="n">
        <v>45358</v>
      </c>
      <c r="D82" t="inlineStr">
        <is>
          <t>HALLANDS LÄN</t>
        </is>
      </c>
      <c r="E82" t="inlineStr">
        <is>
          <t>VARBERG</t>
        </is>
      </c>
      <c r="G82" t="n">
        <v>0.9</v>
      </c>
      <c r="H82" t="n">
        <v>0</v>
      </c>
      <c r="I82" t="n">
        <v>1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s="2" t="inlineStr">
        <is>
          <t>Tibast</t>
        </is>
      </c>
      <c r="S82">
        <f>HYPERLINK("https://klasma.github.io/Logging_1383/artfynd/A 34833-2023 artfynd.xlsx", "A 34833-2023")</f>
        <v/>
      </c>
      <c r="T82">
        <f>HYPERLINK("https://klasma.github.io/Logging_1383/kartor/A 34833-2023 karta.png", "A 34833-2023")</f>
        <v/>
      </c>
      <c r="V82">
        <f>HYPERLINK("https://klasma.github.io/Logging_1383/klagomål/A 34833-2023 FSC-klagomål.docx", "A 34833-2023")</f>
        <v/>
      </c>
      <c r="W82">
        <f>HYPERLINK("https://klasma.github.io/Logging_1383/klagomålsmail/A 34833-2023 FSC-klagomål mail.docx", "A 34833-2023")</f>
        <v/>
      </c>
      <c r="X82">
        <f>HYPERLINK("https://klasma.github.io/Logging_1383/tillsyn/A 34833-2023 tillsynsbegäran.docx", "A 34833-2023")</f>
        <v/>
      </c>
      <c r="Y82">
        <f>HYPERLINK("https://klasma.github.io/Logging_1383/tillsynsmail/A 34833-2023 tillsynsbegäran mail.docx", "A 34833-2023")</f>
        <v/>
      </c>
    </row>
    <row r="83" ht="15" customHeight="1">
      <c r="A83" t="inlineStr">
        <is>
          <t>A 35453-2023</t>
        </is>
      </c>
      <c r="B83" s="1" t="n">
        <v>45146</v>
      </c>
      <c r="C83" s="1" t="n">
        <v>45358</v>
      </c>
      <c r="D83" t="inlineStr">
        <is>
          <t>HALLANDS LÄN</t>
        </is>
      </c>
      <c r="E83" t="inlineStr">
        <is>
          <t>LAHOLM</t>
        </is>
      </c>
      <c r="G83" t="n">
        <v>1.8</v>
      </c>
      <c r="H83" t="n">
        <v>0</v>
      </c>
      <c r="I83" t="n">
        <v>0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1</v>
      </c>
      <c r="P83" t="n">
        <v>0</v>
      </c>
      <c r="Q83" t="n">
        <v>1</v>
      </c>
      <c r="R83" s="2" t="inlineStr">
        <is>
          <t>Svinrot</t>
        </is>
      </c>
      <c r="S83">
        <f>HYPERLINK("https://klasma.github.io/Logging_1381/artfynd/A 35453-2023 artfynd.xlsx", "A 35453-2023")</f>
        <v/>
      </c>
      <c r="T83">
        <f>HYPERLINK("https://klasma.github.io/Logging_1381/kartor/A 35453-2023 karta.png", "A 35453-2023")</f>
        <v/>
      </c>
      <c r="V83">
        <f>HYPERLINK("https://klasma.github.io/Logging_1381/klagomål/A 35453-2023 FSC-klagomål.docx", "A 35453-2023")</f>
        <v/>
      </c>
      <c r="W83">
        <f>HYPERLINK("https://klasma.github.io/Logging_1381/klagomålsmail/A 35453-2023 FSC-klagomål mail.docx", "A 35453-2023")</f>
        <v/>
      </c>
      <c r="X83">
        <f>HYPERLINK("https://klasma.github.io/Logging_1381/tillsyn/A 35453-2023 tillsynsbegäran.docx", "A 35453-2023")</f>
        <v/>
      </c>
      <c r="Y83">
        <f>HYPERLINK("https://klasma.github.io/Logging_1381/tillsynsmail/A 35453-2023 tillsynsbegäran mail.docx", "A 35453-2023")</f>
        <v/>
      </c>
    </row>
    <row r="84" ht="15" customHeight="1">
      <c r="A84" t="inlineStr">
        <is>
          <t>A 37556-2023</t>
        </is>
      </c>
      <c r="B84" s="1" t="n">
        <v>45159</v>
      </c>
      <c r="C84" s="1" t="n">
        <v>45358</v>
      </c>
      <c r="D84" t="inlineStr">
        <is>
          <t>HALLANDS LÄN</t>
        </is>
      </c>
      <c r="E84" t="inlineStr">
        <is>
          <t>LAHOLM</t>
        </is>
      </c>
      <c r="G84" t="n">
        <v>0.9</v>
      </c>
      <c r="H84" t="n">
        <v>0</v>
      </c>
      <c r="I84" t="n">
        <v>0</v>
      </c>
      <c r="J84" t="n">
        <v>0</v>
      </c>
      <c r="K84" t="n">
        <v>1</v>
      </c>
      <c r="L84" t="n">
        <v>0</v>
      </c>
      <c r="M84" t="n">
        <v>0</v>
      </c>
      <c r="N84" t="n">
        <v>0</v>
      </c>
      <c r="O84" t="n">
        <v>1</v>
      </c>
      <c r="P84" t="n">
        <v>1</v>
      </c>
      <c r="Q84" t="n">
        <v>1</v>
      </c>
      <c r="R84" s="2" t="inlineStr">
        <is>
          <t>Vildris</t>
        </is>
      </c>
      <c r="S84">
        <f>HYPERLINK("https://klasma.github.io/Logging_1381/artfynd/A 37556-2023 artfynd.xlsx", "A 37556-2023")</f>
        <v/>
      </c>
      <c r="T84">
        <f>HYPERLINK("https://klasma.github.io/Logging_1381/kartor/A 37556-2023 karta.png", "A 37556-2023")</f>
        <v/>
      </c>
      <c r="V84">
        <f>HYPERLINK("https://klasma.github.io/Logging_1381/klagomål/A 37556-2023 FSC-klagomål.docx", "A 37556-2023")</f>
        <v/>
      </c>
      <c r="W84">
        <f>HYPERLINK("https://klasma.github.io/Logging_1381/klagomålsmail/A 37556-2023 FSC-klagomål mail.docx", "A 37556-2023")</f>
        <v/>
      </c>
      <c r="X84">
        <f>HYPERLINK("https://klasma.github.io/Logging_1381/tillsyn/A 37556-2023 tillsynsbegäran.docx", "A 37556-2023")</f>
        <v/>
      </c>
      <c r="Y84">
        <f>HYPERLINK("https://klasma.github.io/Logging_1381/tillsynsmail/A 37556-2023 tillsynsbegäran mail.docx", "A 37556-2023")</f>
        <v/>
      </c>
    </row>
    <row r="85" ht="15" customHeight="1">
      <c r="A85" t="inlineStr">
        <is>
          <t>A 40523-2023</t>
        </is>
      </c>
      <c r="B85" s="1" t="n">
        <v>45168</v>
      </c>
      <c r="C85" s="1" t="n">
        <v>45358</v>
      </c>
      <c r="D85" t="inlineStr">
        <is>
          <t>HALLANDS LÄN</t>
        </is>
      </c>
      <c r="E85" t="inlineStr">
        <is>
          <t>HALMSTAD</t>
        </is>
      </c>
      <c r="F85" t="inlineStr">
        <is>
          <t>Kommuner</t>
        </is>
      </c>
      <c r="G85" t="n">
        <v>0.9</v>
      </c>
      <c r="H85" t="n">
        <v>1</v>
      </c>
      <c r="I85" t="n">
        <v>0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1</v>
      </c>
      <c r="P85" t="n">
        <v>0</v>
      </c>
      <c r="Q85" t="n">
        <v>1</v>
      </c>
      <c r="R85" s="2" t="inlineStr">
        <is>
          <t>Spillkråka</t>
        </is>
      </c>
      <c r="S85">
        <f>HYPERLINK("https://klasma.github.io/Logging_1380/artfynd/A 40523-2023 artfynd.xlsx", "A 40523-2023")</f>
        <v/>
      </c>
      <c r="T85">
        <f>HYPERLINK("https://klasma.github.io/Logging_1380/kartor/A 40523-2023 karta.png", "A 40523-2023")</f>
        <v/>
      </c>
      <c r="V85">
        <f>HYPERLINK("https://klasma.github.io/Logging_1380/klagomål/A 40523-2023 FSC-klagomål.docx", "A 40523-2023")</f>
        <v/>
      </c>
      <c r="W85">
        <f>HYPERLINK("https://klasma.github.io/Logging_1380/klagomålsmail/A 40523-2023 FSC-klagomål mail.docx", "A 40523-2023")</f>
        <v/>
      </c>
      <c r="X85">
        <f>HYPERLINK("https://klasma.github.io/Logging_1380/tillsyn/A 40523-2023 tillsynsbegäran.docx", "A 40523-2023")</f>
        <v/>
      </c>
      <c r="Y85">
        <f>HYPERLINK("https://klasma.github.io/Logging_1380/tillsynsmail/A 40523-2023 tillsynsbegäran mail.docx", "A 40523-2023")</f>
        <v/>
      </c>
      <c r="Z85">
        <f>HYPERLINK("https://klasma.github.io/Logging_1380/fåglar/A 40523-2023 prioriterade fågelarter.docx", "A 40523-2023")</f>
        <v/>
      </c>
    </row>
    <row r="86" ht="15" customHeight="1">
      <c r="A86" t="inlineStr">
        <is>
          <t>A 40650-2023</t>
        </is>
      </c>
      <c r="B86" s="1" t="n">
        <v>45168</v>
      </c>
      <c r="C86" s="1" t="n">
        <v>45358</v>
      </c>
      <c r="D86" t="inlineStr">
        <is>
          <t>HALLANDS LÄN</t>
        </is>
      </c>
      <c r="E86" t="inlineStr">
        <is>
          <t>HALMSTAD</t>
        </is>
      </c>
      <c r="F86" t="inlineStr">
        <is>
          <t>Kommuner</t>
        </is>
      </c>
      <c r="G86" t="n">
        <v>14.7</v>
      </c>
      <c r="H86" t="n">
        <v>0</v>
      </c>
      <c r="I86" t="n">
        <v>0</v>
      </c>
      <c r="J86" t="n">
        <v>0</v>
      </c>
      <c r="K86" t="n">
        <v>1</v>
      </c>
      <c r="L86" t="n">
        <v>0</v>
      </c>
      <c r="M86" t="n">
        <v>0</v>
      </c>
      <c r="N86" t="n">
        <v>0</v>
      </c>
      <c r="O86" t="n">
        <v>1</v>
      </c>
      <c r="P86" t="n">
        <v>1</v>
      </c>
      <c r="Q86" t="n">
        <v>1</v>
      </c>
      <c r="R86" s="2" t="inlineStr">
        <is>
          <t>Slåttergubbe</t>
        </is>
      </c>
      <c r="S86">
        <f>HYPERLINK("https://klasma.github.io/Logging_1380/artfynd/A 40650-2023 artfynd.xlsx", "A 40650-2023")</f>
        <v/>
      </c>
      <c r="T86">
        <f>HYPERLINK("https://klasma.github.io/Logging_1380/kartor/A 40650-2023 karta.png", "A 40650-2023")</f>
        <v/>
      </c>
      <c r="V86">
        <f>HYPERLINK("https://klasma.github.io/Logging_1380/klagomål/A 40650-2023 FSC-klagomål.docx", "A 40650-2023")</f>
        <v/>
      </c>
      <c r="W86">
        <f>HYPERLINK("https://klasma.github.io/Logging_1380/klagomålsmail/A 40650-2023 FSC-klagomål mail.docx", "A 40650-2023")</f>
        <v/>
      </c>
      <c r="X86">
        <f>HYPERLINK("https://klasma.github.io/Logging_1380/tillsyn/A 40650-2023 tillsynsbegäran.docx", "A 40650-2023")</f>
        <v/>
      </c>
      <c r="Y86">
        <f>HYPERLINK("https://klasma.github.io/Logging_1380/tillsynsmail/A 40650-2023 tillsynsbegäran mail.docx", "A 40650-2023")</f>
        <v/>
      </c>
    </row>
    <row r="87" ht="15" customHeight="1">
      <c r="A87" t="inlineStr">
        <is>
          <t>A 40531-2023</t>
        </is>
      </c>
      <c r="B87" s="1" t="n">
        <v>45168</v>
      </c>
      <c r="C87" s="1" t="n">
        <v>45358</v>
      </c>
      <c r="D87" t="inlineStr">
        <is>
          <t>HALLANDS LÄN</t>
        </is>
      </c>
      <c r="E87" t="inlineStr">
        <is>
          <t>HALMSTAD</t>
        </is>
      </c>
      <c r="F87" t="inlineStr">
        <is>
          <t>Kommuner</t>
        </is>
      </c>
      <c r="G87" t="n">
        <v>4.2</v>
      </c>
      <c r="H87" t="n">
        <v>1</v>
      </c>
      <c r="I87" t="n">
        <v>0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1</v>
      </c>
      <c r="P87" t="n">
        <v>0</v>
      </c>
      <c r="Q87" t="n">
        <v>1</v>
      </c>
      <c r="R87" s="2" t="inlineStr">
        <is>
          <t>Spillkråka</t>
        </is>
      </c>
      <c r="S87">
        <f>HYPERLINK("https://klasma.github.io/Logging_1380/artfynd/A 40531-2023 artfynd.xlsx", "A 40531-2023")</f>
        <v/>
      </c>
      <c r="T87">
        <f>HYPERLINK("https://klasma.github.io/Logging_1380/kartor/A 40531-2023 karta.png", "A 40531-2023")</f>
        <v/>
      </c>
      <c r="V87">
        <f>HYPERLINK("https://klasma.github.io/Logging_1380/klagomål/A 40531-2023 FSC-klagomål.docx", "A 40531-2023")</f>
        <v/>
      </c>
      <c r="W87">
        <f>HYPERLINK("https://klasma.github.io/Logging_1380/klagomålsmail/A 40531-2023 FSC-klagomål mail.docx", "A 40531-2023")</f>
        <v/>
      </c>
      <c r="X87">
        <f>HYPERLINK("https://klasma.github.io/Logging_1380/tillsyn/A 40531-2023 tillsynsbegäran.docx", "A 40531-2023")</f>
        <v/>
      </c>
      <c r="Y87">
        <f>HYPERLINK("https://klasma.github.io/Logging_1380/tillsynsmail/A 40531-2023 tillsynsbegäran mail.docx", "A 40531-2023")</f>
        <v/>
      </c>
      <c r="Z87">
        <f>HYPERLINK("https://klasma.github.io/Logging_1380/fåglar/A 40531-2023 prioriterade fågelarter.docx", "A 40531-2023")</f>
        <v/>
      </c>
    </row>
    <row r="88" ht="15" customHeight="1">
      <c r="A88" t="inlineStr">
        <is>
          <t>A 42311-2023</t>
        </is>
      </c>
      <c r="B88" s="1" t="n">
        <v>45175</v>
      </c>
      <c r="C88" s="1" t="n">
        <v>45358</v>
      </c>
      <c r="D88" t="inlineStr">
        <is>
          <t>HALLANDS LÄN</t>
        </is>
      </c>
      <c r="E88" t="inlineStr">
        <is>
          <t>HALMSTAD</t>
        </is>
      </c>
      <c r="G88" t="n">
        <v>3.5</v>
      </c>
      <c r="H88" t="n">
        <v>0</v>
      </c>
      <c r="I88" t="n">
        <v>1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1</v>
      </c>
      <c r="R88" s="2" t="inlineStr">
        <is>
          <t>Kambräken</t>
        </is>
      </c>
      <c r="S88">
        <f>HYPERLINK("https://klasma.github.io/Logging_1380/artfynd/A 42311-2023 artfynd.xlsx", "A 42311-2023")</f>
        <v/>
      </c>
      <c r="T88">
        <f>HYPERLINK("https://klasma.github.io/Logging_1380/kartor/A 42311-2023 karta.png", "A 42311-2023")</f>
        <v/>
      </c>
      <c r="V88">
        <f>HYPERLINK("https://klasma.github.io/Logging_1380/klagomål/A 42311-2023 FSC-klagomål.docx", "A 42311-2023")</f>
        <v/>
      </c>
      <c r="W88">
        <f>HYPERLINK("https://klasma.github.io/Logging_1380/klagomålsmail/A 42311-2023 FSC-klagomål mail.docx", "A 42311-2023")</f>
        <v/>
      </c>
      <c r="X88">
        <f>HYPERLINK("https://klasma.github.io/Logging_1380/tillsyn/A 42311-2023 tillsynsbegäran.docx", "A 42311-2023")</f>
        <v/>
      </c>
      <c r="Y88">
        <f>HYPERLINK("https://klasma.github.io/Logging_1380/tillsynsmail/A 42311-2023 tillsynsbegäran mail.docx", "A 42311-2023")</f>
        <v/>
      </c>
    </row>
    <row r="89" ht="15" customHeight="1">
      <c r="A89" t="inlineStr">
        <is>
          <t>A 46459-2023</t>
        </is>
      </c>
      <c r="B89" s="1" t="n">
        <v>45197</v>
      </c>
      <c r="C89" s="1" t="n">
        <v>45358</v>
      </c>
      <c r="D89" t="inlineStr">
        <is>
          <t>HALLANDS LÄN</t>
        </is>
      </c>
      <c r="E89" t="inlineStr">
        <is>
          <t>KUNGSBACKA</t>
        </is>
      </c>
      <c r="F89" t="inlineStr">
        <is>
          <t>Övriga Aktiebolag</t>
        </is>
      </c>
      <c r="G89" t="n">
        <v>5.4</v>
      </c>
      <c r="H89" t="n">
        <v>1</v>
      </c>
      <c r="I89" t="n">
        <v>0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1</v>
      </c>
      <c r="P89" t="n">
        <v>0</v>
      </c>
      <c r="Q89" t="n">
        <v>1</v>
      </c>
      <c r="R89" s="2" t="inlineStr">
        <is>
          <t>Drillsnäppa</t>
        </is>
      </c>
      <c r="S89">
        <f>HYPERLINK("https://klasma.github.io/Logging_1384/artfynd/A 46459-2023 artfynd.xlsx", "A 46459-2023")</f>
        <v/>
      </c>
      <c r="T89">
        <f>HYPERLINK("https://klasma.github.io/Logging_1384/kartor/A 46459-2023 karta.png", "A 46459-2023")</f>
        <v/>
      </c>
      <c r="V89">
        <f>HYPERLINK("https://klasma.github.io/Logging_1384/klagomål/A 46459-2023 FSC-klagomål.docx", "A 46459-2023")</f>
        <v/>
      </c>
      <c r="W89">
        <f>HYPERLINK("https://klasma.github.io/Logging_1384/klagomålsmail/A 46459-2023 FSC-klagomål mail.docx", "A 46459-2023")</f>
        <v/>
      </c>
      <c r="X89">
        <f>HYPERLINK("https://klasma.github.io/Logging_1384/tillsyn/A 46459-2023 tillsynsbegäran.docx", "A 46459-2023")</f>
        <v/>
      </c>
      <c r="Y89">
        <f>HYPERLINK("https://klasma.github.io/Logging_1384/tillsynsmail/A 46459-2023 tillsynsbegäran mail.docx", "A 46459-2023")</f>
        <v/>
      </c>
      <c r="Z89">
        <f>HYPERLINK("https://klasma.github.io/Logging_1384/fåglar/A 46459-2023 prioriterade fågelarter.docx", "A 46459-2023")</f>
        <v/>
      </c>
    </row>
    <row r="90" ht="15" customHeight="1">
      <c r="A90" t="inlineStr">
        <is>
          <t>A 47773-2023</t>
        </is>
      </c>
      <c r="B90" s="1" t="n">
        <v>45203</v>
      </c>
      <c r="C90" s="1" t="n">
        <v>45358</v>
      </c>
      <c r="D90" t="inlineStr">
        <is>
          <t>HALLANDS LÄN</t>
        </is>
      </c>
      <c r="E90" t="inlineStr">
        <is>
          <t>HALMSTAD</t>
        </is>
      </c>
      <c r="G90" t="n">
        <v>1.1</v>
      </c>
      <c r="H90" t="n">
        <v>0</v>
      </c>
      <c r="I90" t="n">
        <v>1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1</v>
      </c>
      <c r="R90" s="2" t="inlineStr">
        <is>
          <t>Tibast</t>
        </is>
      </c>
      <c r="S90">
        <f>HYPERLINK("https://klasma.github.io/Logging_1380/artfynd/A 47773-2023 artfynd.xlsx", "A 47773-2023")</f>
        <v/>
      </c>
      <c r="T90">
        <f>HYPERLINK("https://klasma.github.io/Logging_1380/kartor/A 47773-2023 karta.png", "A 47773-2023")</f>
        <v/>
      </c>
      <c r="V90">
        <f>HYPERLINK("https://klasma.github.io/Logging_1380/klagomål/A 47773-2023 FSC-klagomål.docx", "A 47773-2023")</f>
        <v/>
      </c>
      <c r="W90">
        <f>HYPERLINK("https://klasma.github.io/Logging_1380/klagomålsmail/A 47773-2023 FSC-klagomål mail.docx", "A 47773-2023")</f>
        <v/>
      </c>
      <c r="X90">
        <f>HYPERLINK("https://klasma.github.io/Logging_1380/tillsyn/A 47773-2023 tillsynsbegäran.docx", "A 47773-2023")</f>
        <v/>
      </c>
      <c r="Y90">
        <f>HYPERLINK("https://klasma.github.io/Logging_1380/tillsynsmail/A 47773-2023 tillsynsbegäran mail.docx", "A 47773-2023")</f>
        <v/>
      </c>
    </row>
    <row r="91" ht="15" customHeight="1">
      <c r="A91" t="inlineStr">
        <is>
          <t>A 48281-2023</t>
        </is>
      </c>
      <c r="B91" s="1" t="n">
        <v>45205</v>
      </c>
      <c r="C91" s="1" t="n">
        <v>45358</v>
      </c>
      <c r="D91" t="inlineStr">
        <is>
          <t>HALLANDS LÄN</t>
        </is>
      </c>
      <c r="E91" t="inlineStr">
        <is>
          <t>LAHOLM</t>
        </is>
      </c>
      <c r="G91" t="n">
        <v>3.1</v>
      </c>
      <c r="H91" t="n">
        <v>0</v>
      </c>
      <c r="I91" t="n">
        <v>0</v>
      </c>
      <c r="J91" t="n">
        <v>1</v>
      </c>
      <c r="K91" t="n">
        <v>0</v>
      </c>
      <c r="L91" t="n">
        <v>0</v>
      </c>
      <c r="M91" t="n">
        <v>0</v>
      </c>
      <c r="N91" t="n">
        <v>0</v>
      </c>
      <c r="O91" t="n">
        <v>1</v>
      </c>
      <c r="P91" t="n">
        <v>0</v>
      </c>
      <c r="Q91" t="n">
        <v>1</v>
      </c>
      <c r="R91" s="2" t="inlineStr">
        <is>
          <t>Hårginst</t>
        </is>
      </c>
      <c r="S91">
        <f>HYPERLINK("https://klasma.github.io/Logging_1381/artfynd/A 48281-2023 artfynd.xlsx", "A 48281-2023")</f>
        <v/>
      </c>
      <c r="T91">
        <f>HYPERLINK("https://klasma.github.io/Logging_1381/kartor/A 48281-2023 karta.png", "A 48281-2023")</f>
        <v/>
      </c>
      <c r="V91">
        <f>HYPERLINK("https://klasma.github.io/Logging_1381/klagomål/A 48281-2023 FSC-klagomål.docx", "A 48281-2023")</f>
        <v/>
      </c>
      <c r="W91">
        <f>HYPERLINK("https://klasma.github.io/Logging_1381/klagomålsmail/A 48281-2023 FSC-klagomål mail.docx", "A 48281-2023")</f>
        <v/>
      </c>
      <c r="X91">
        <f>HYPERLINK("https://klasma.github.io/Logging_1381/tillsyn/A 48281-2023 tillsynsbegäran.docx", "A 48281-2023")</f>
        <v/>
      </c>
      <c r="Y91">
        <f>HYPERLINK("https://klasma.github.io/Logging_1381/tillsynsmail/A 48281-2023 tillsynsbegäran mail.docx", "A 48281-2023")</f>
        <v/>
      </c>
    </row>
    <row r="92" ht="15" customHeight="1">
      <c r="A92" t="inlineStr">
        <is>
          <t>A 55580-2023</t>
        </is>
      </c>
      <c r="B92" s="1" t="n">
        <v>45238</v>
      </c>
      <c r="C92" s="1" t="n">
        <v>45358</v>
      </c>
      <c r="D92" t="inlineStr">
        <is>
          <t>HALLANDS LÄN</t>
        </is>
      </c>
      <c r="E92" t="inlineStr">
        <is>
          <t>HALMSTAD</t>
        </is>
      </c>
      <c r="G92" t="n">
        <v>1.6</v>
      </c>
      <c r="H92" t="n">
        <v>0</v>
      </c>
      <c r="I92" t="n">
        <v>0</v>
      </c>
      <c r="J92" t="n">
        <v>1</v>
      </c>
      <c r="K92" t="n">
        <v>0</v>
      </c>
      <c r="L92" t="n">
        <v>0</v>
      </c>
      <c r="M92" t="n">
        <v>0</v>
      </c>
      <c r="N92" t="n">
        <v>0</v>
      </c>
      <c r="O92" t="n">
        <v>1</v>
      </c>
      <c r="P92" t="n">
        <v>0</v>
      </c>
      <c r="Q92" t="n">
        <v>1</v>
      </c>
      <c r="R92" s="2" t="inlineStr">
        <is>
          <t>Hårginst</t>
        </is>
      </c>
      <c r="S92">
        <f>HYPERLINK("https://klasma.github.io/Logging_1380/artfynd/A 55580-2023 artfynd.xlsx", "A 55580-2023")</f>
        <v/>
      </c>
      <c r="T92">
        <f>HYPERLINK("https://klasma.github.io/Logging_1380/kartor/A 55580-2023 karta.png", "A 55580-2023")</f>
        <v/>
      </c>
      <c r="V92">
        <f>HYPERLINK("https://klasma.github.io/Logging_1380/klagomål/A 55580-2023 FSC-klagomål.docx", "A 55580-2023")</f>
        <v/>
      </c>
      <c r="W92">
        <f>HYPERLINK("https://klasma.github.io/Logging_1380/klagomålsmail/A 55580-2023 FSC-klagomål mail.docx", "A 55580-2023")</f>
        <v/>
      </c>
      <c r="X92">
        <f>HYPERLINK("https://klasma.github.io/Logging_1380/tillsyn/A 55580-2023 tillsynsbegäran.docx", "A 55580-2023")</f>
        <v/>
      </c>
      <c r="Y92">
        <f>HYPERLINK("https://klasma.github.io/Logging_1380/tillsynsmail/A 55580-2023 tillsynsbegäran mail.docx", "A 55580-2023")</f>
        <v/>
      </c>
    </row>
    <row r="93" ht="15" customHeight="1">
      <c r="A93" t="inlineStr">
        <is>
          <t>A 55880-2023</t>
        </is>
      </c>
      <c r="B93" s="1" t="n">
        <v>45239</v>
      </c>
      <c r="C93" s="1" t="n">
        <v>45358</v>
      </c>
      <c r="D93" t="inlineStr">
        <is>
          <t>HALLANDS LÄN</t>
        </is>
      </c>
      <c r="E93" t="inlineStr">
        <is>
          <t>FALKENBERG</t>
        </is>
      </c>
      <c r="G93" t="n">
        <v>2.4</v>
      </c>
      <c r="H93" t="n">
        <v>1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1</v>
      </c>
      <c r="R93" s="2" t="inlineStr">
        <is>
          <t>Kopparödla</t>
        </is>
      </c>
      <c r="S93">
        <f>HYPERLINK("https://klasma.github.io/Logging_1382/artfynd/A 55880-2023 artfynd.xlsx", "A 55880-2023")</f>
        <v/>
      </c>
      <c r="T93">
        <f>HYPERLINK("https://klasma.github.io/Logging_1382/kartor/A 55880-2023 karta.png", "A 55880-2023")</f>
        <v/>
      </c>
      <c r="V93">
        <f>HYPERLINK("https://klasma.github.io/Logging_1382/klagomål/A 55880-2023 FSC-klagomål.docx", "A 55880-2023")</f>
        <v/>
      </c>
      <c r="W93">
        <f>HYPERLINK("https://klasma.github.io/Logging_1382/klagomålsmail/A 55880-2023 FSC-klagomål mail.docx", "A 55880-2023")</f>
        <v/>
      </c>
      <c r="X93">
        <f>HYPERLINK("https://klasma.github.io/Logging_1382/tillsyn/A 55880-2023 tillsynsbegäran.docx", "A 55880-2023")</f>
        <v/>
      </c>
      <c r="Y93">
        <f>HYPERLINK("https://klasma.github.io/Logging_1382/tillsynsmail/A 55880-2023 tillsynsbegäran mail.docx", "A 55880-2023")</f>
        <v/>
      </c>
    </row>
    <row r="94" ht="15" customHeight="1">
      <c r="A94" t="inlineStr">
        <is>
          <t>A 57230-2023</t>
        </is>
      </c>
      <c r="B94" s="1" t="n">
        <v>45245</v>
      </c>
      <c r="C94" s="1" t="n">
        <v>45358</v>
      </c>
      <c r="D94" t="inlineStr">
        <is>
          <t>HALLANDS LÄN</t>
        </is>
      </c>
      <c r="E94" t="inlineStr">
        <is>
          <t>HYLTE</t>
        </is>
      </c>
      <c r="G94" t="n">
        <v>0.5</v>
      </c>
      <c r="H94" t="n">
        <v>0</v>
      </c>
      <c r="I94" t="n">
        <v>1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1</v>
      </c>
      <c r="R94" s="2" t="inlineStr">
        <is>
          <t>Västlig hakmossa</t>
        </is>
      </c>
      <c r="S94">
        <f>HYPERLINK("https://klasma.github.io/Logging_1315/artfynd/A 57230-2023 artfynd.xlsx", "A 57230-2023")</f>
        <v/>
      </c>
      <c r="T94">
        <f>HYPERLINK("https://klasma.github.io/Logging_1315/kartor/A 57230-2023 karta.png", "A 57230-2023")</f>
        <v/>
      </c>
      <c r="V94">
        <f>HYPERLINK("https://klasma.github.io/Logging_1315/klagomål/A 57230-2023 FSC-klagomål.docx", "A 57230-2023")</f>
        <v/>
      </c>
      <c r="W94">
        <f>HYPERLINK("https://klasma.github.io/Logging_1315/klagomålsmail/A 57230-2023 FSC-klagomål mail.docx", "A 57230-2023")</f>
        <v/>
      </c>
      <c r="X94">
        <f>HYPERLINK("https://klasma.github.io/Logging_1315/tillsyn/A 57230-2023 tillsynsbegäran.docx", "A 57230-2023")</f>
        <v/>
      </c>
      <c r="Y94">
        <f>HYPERLINK("https://klasma.github.io/Logging_1315/tillsynsmail/A 57230-2023 tillsynsbegäran mail.docx", "A 57230-2023")</f>
        <v/>
      </c>
    </row>
    <row r="95" ht="15" customHeight="1">
      <c r="A95" t="inlineStr">
        <is>
          <t>A 58664-2023</t>
        </is>
      </c>
      <c r="B95" s="1" t="n">
        <v>45251</v>
      </c>
      <c r="C95" s="1" t="n">
        <v>45358</v>
      </c>
      <c r="D95" t="inlineStr">
        <is>
          <t>HALLANDS LÄN</t>
        </is>
      </c>
      <c r="E95" t="inlineStr">
        <is>
          <t>FALKENBERG</t>
        </is>
      </c>
      <c r="G95" t="n">
        <v>1.9</v>
      </c>
      <c r="H95" t="n">
        <v>1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1</v>
      </c>
      <c r="R95" s="2" t="inlineStr">
        <is>
          <t>Revlummer</t>
        </is>
      </c>
      <c r="S95">
        <f>HYPERLINK("https://klasma.github.io/Logging_1382/artfynd/A 58664-2023 artfynd.xlsx", "A 58664-2023")</f>
        <v/>
      </c>
      <c r="T95">
        <f>HYPERLINK("https://klasma.github.io/Logging_1382/kartor/A 58664-2023 karta.png", "A 58664-2023")</f>
        <v/>
      </c>
      <c r="V95">
        <f>HYPERLINK("https://klasma.github.io/Logging_1382/klagomål/A 58664-2023 FSC-klagomål.docx", "A 58664-2023")</f>
        <v/>
      </c>
      <c r="W95">
        <f>HYPERLINK("https://klasma.github.io/Logging_1382/klagomålsmail/A 58664-2023 FSC-klagomål mail.docx", "A 58664-2023")</f>
        <v/>
      </c>
      <c r="X95">
        <f>HYPERLINK("https://klasma.github.io/Logging_1382/tillsyn/A 58664-2023 tillsynsbegäran.docx", "A 58664-2023")</f>
        <v/>
      </c>
      <c r="Y95">
        <f>HYPERLINK("https://klasma.github.io/Logging_1382/tillsynsmail/A 58664-2023 tillsynsbegäran mail.docx", "A 58664-2023")</f>
        <v/>
      </c>
    </row>
    <row r="96" ht="15" customHeight="1">
      <c r="A96" t="inlineStr">
        <is>
          <t>A 60387-2023</t>
        </is>
      </c>
      <c r="B96" s="1" t="n">
        <v>45259</v>
      </c>
      <c r="C96" s="1" t="n">
        <v>45358</v>
      </c>
      <c r="D96" t="inlineStr">
        <is>
          <t>HALLANDS LÄN</t>
        </is>
      </c>
      <c r="E96" t="inlineStr">
        <is>
          <t>HALMSTAD</t>
        </is>
      </c>
      <c r="G96" t="n">
        <v>3.9</v>
      </c>
      <c r="H96" t="n">
        <v>1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1</v>
      </c>
      <c r="R96" s="2" t="inlineStr">
        <is>
          <t>Tjäder</t>
        </is>
      </c>
      <c r="S96">
        <f>HYPERLINK("https://klasma.github.io/Logging_1380/artfynd/A 60387-2023 artfynd.xlsx", "A 60387-2023")</f>
        <v/>
      </c>
      <c r="T96">
        <f>HYPERLINK("https://klasma.github.io/Logging_1380/kartor/A 60387-2023 karta.png", "A 60387-2023")</f>
        <v/>
      </c>
      <c r="V96">
        <f>HYPERLINK("https://klasma.github.io/Logging_1380/klagomål/A 60387-2023 FSC-klagomål.docx", "A 60387-2023")</f>
        <v/>
      </c>
      <c r="W96">
        <f>HYPERLINK("https://klasma.github.io/Logging_1380/klagomålsmail/A 60387-2023 FSC-klagomål mail.docx", "A 60387-2023")</f>
        <v/>
      </c>
      <c r="X96">
        <f>HYPERLINK("https://klasma.github.io/Logging_1380/tillsyn/A 60387-2023 tillsynsbegäran.docx", "A 60387-2023")</f>
        <v/>
      </c>
      <c r="Y96">
        <f>HYPERLINK("https://klasma.github.io/Logging_1380/tillsynsmail/A 60387-2023 tillsynsbegäran mail.docx", "A 60387-2023")</f>
        <v/>
      </c>
      <c r="Z96">
        <f>HYPERLINK("https://klasma.github.io/Logging_1380/fåglar/A 60387-2023 prioriterade fågelarter.docx", "A 60387-2023")</f>
        <v/>
      </c>
    </row>
    <row r="97" ht="15" customHeight="1">
      <c r="A97" t="inlineStr">
        <is>
          <t>A 2988-2024</t>
        </is>
      </c>
      <c r="B97" s="1" t="n">
        <v>45315</v>
      </c>
      <c r="C97" s="1" t="n">
        <v>45358</v>
      </c>
      <c r="D97" t="inlineStr">
        <is>
          <t>HALLANDS LÄN</t>
        </is>
      </c>
      <c r="E97" t="inlineStr">
        <is>
          <t>KUNGSBACKA</t>
        </is>
      </c>
      <c r="G97" t="n">
        <v>9.1</v>
      </c>
      <c r="H97" t="n">
        <v>0</v>
      </c>
      <c r="I97" t="n">
        <v>1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1</v>
      </c>
      <c r="R97" s="2" t="inlineStr">
        <is>
          <t>Kambräken</t>
        </is>
      </c>
      <c r="S97">
        <f>HYPERLINK("https://klasma.github.io/Logging_1384/artfynd/A 2988-2024 artfynd.xlsx", "A 2988-2024")</f>
        <v/>
      </c>
      <c r="T97">
        <f>HYPERLINK("https://klasma.github.io/Logging_1384/kartor/A 2988-2024 karta.png", "A 2988-2024")</f>
        <v/>
      </c>
      <c r="V97">
        <f>HYPERLINK("https://klasma.github.io/Logging_1384/klagomål/A 2988-2024 FSC-klagomål.docx", "A 2988-2024")</f>
        <v/>
      </c>
      <c r="W97">
        <f>HYPERLINK("https://klasma.github.io/Logging_1384/klagomålsmail/A 2988-2024 FSC-klagomål mail.docx", "A 2988-2024")</f>
        <v/>
      </c>
      <c r="X97">
        <f>HYPERLINK("https://klasma.github.io/Logging_1384/tillsyn/A 2988-2024 tillsynsbegäran.docx", "A 2988-2024")</f>
        <v/>
      </c>
      <c r="Y97">
        <f>HYPERLINK("https://klasma.github.io/Logging_1384/tillsynsmail/A 2988-2024 tillsynsbegäran mail.docx", "A 2988-2024")</f>
        <v/>
      </c>
    </row>
    <row r="98" ht="15" customHeight="1">
      <c r="A98" t="inlineStr">
        <is>
          <t>A 2994-2024</t>
        </is>
      </c>
      <c r="B98" s="1" t="n">
        <v>45315</v>
      </c>
      <c r="C98" s="1" t="n">
        <v>45358</v>
      </c>
      <c r="D98" t="inlineStr">
        <is>
          <t>HALLANDS LÄN</t>
        </is>
      </c>
      <c r="E98" t="inlineStr">
        <is>
          <t>HALMSTAD</t>
        </is>
      </c>
      <c r="G98" t="n">
        <v>7.9</v>
      </c>
      <c r="H98" t="n">
        <v>1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1</v>
      </c>
      <c r="R98" s="2" t="inlineStr">
        <is>
          <t>Grönvit nattviol</t>
        </is>
      </c>
      <c r="S98">
        <f>HYPERLINK("https://klasma.github.io/Logging_1380/artfynd/A 2994-2024 artfynd.xlsx", "A 2994-2024")</f>
        <v/>
      </c>
      <c r="T98">
        <f>HYPERLINK("https://klasma.github.io/Logging_1380/kartor/A 2994-2024 karta.png", "A 2994-2024")</f>
        <v/>
      </c>
      <c r="V98">
        <f>HYPERLINK("https://klasma.github.io/Logging_1380/klagomål/A 2994-2024 FSC-klagomål.docx", "A 2994-2024")</f>
        <v/>
      </c>
      <c r="W98">
        <f>HYPERLINK("https://klasma.github.io/Logging_1380/klagomålsmail/A 2994-2024 FSC-klagomål mail.docx", "A 2994-2024")</f>
        <v/>
      </c>
      <c r="X98">
        <f>HYPERLINK("https://klasma.github.io/Logging_1380/tillsyn/A 2994-2024 tillsynsbegäran.docx", "A 2994-2024")</f>
        <v/>
      </c>
      <c r="Y98">
        <f>HYPERLINK("https://klasma.github.io/Logging_1380/tillsynsmail/A 2994-2024 tillsynsbegäran mail.docx", "A 2994-2024")</f>
        <v/>
      </c>
    </row>
    <row r="99" ht="15" customHeight="1">
      <c r="A99" t="inlineStr">
        <is>
          <t>A 3369-2024</t>
        </is>
      </c>
      <c r="B99" s="1" t="n">
        <v>45317</v>
      </c>
      <c r="C99" s="1" t="n">
        <v>45358</v>
      </c>
      <c r="D99" t="inlineStr">
        <is>
          <t>HALLANDS LÄN</t>
        </is>
      </c>
      <c r="E99" t="inlineStr">
        <is>
          <t>VARBERG</t>
        </is>
      </c>
      <c r="G99" t="n">
        <v>4.8</v>
      </c>
      <c r="H99" t="n">
        <v>0</v>
      </c>
      <c r="I99" t="n">
        <v>0</v>
      </c>
      <c r="J99" t="n">
        <v>1</v>
      </c>
      <c r="K99" t="n">
        <v>0</v>
      </c>
      <c r="L99" t="n">
        <v>0</v>
      </c>
      <c r="M99" t="n">
        <v>0</v>
      </c>
      <c r="N99" t="n">
        <v>0</v>
      </c>
      <c r="O99" t="n">
        <v>1</v>
      </c>
      <c r="P99" t="n">
        <v>0</v>
      </c>
      <c r="Q99" t="n">
        <v>1</v>
      </c>
      <c r="R99" s="2" t="inlineStr">
        <is>
          <t>Brödmärgsticka</t>
        </is>
      </c>
      <c r="S99">
        <f>HYPERLINK("https://klasma.github.io/Logging_1383/artfynd/A 3369-2024 artfynd.xlsx", "A 3369-2024")</f>
        <v/>
      </c>
      <c r="T99">
        <f>HYPERLINK("https://klasma.github.io/Logging_1383/kartor/A 3369-2024 karta.png", "A 3369-2024")</f>
        <v/>
      </c>
      <c r="V99">
        <f>HYPERLINK("https://klasma.github.io/Logging_1383/klagomål/A 3369-2024 FSC-klagomål.docx", "A 3369-2024")</f>
        <v/>
      </c>
      <c r="W99">
        <f>HYPERLINK("https://klasma.github.io/Logging_1383/klagomålsmail/A 3369-2024 FSC-klagomål mail.docx", "A 3369-2024")</f>
        <v/>
      </c>
      <c r="X99">
        <f>HYPERLINK("https://klasma.github.io/Logging_1383/tillsyn/A 3369-2024 tillsynsbegäran.docx", "A 3369-2024")</f>
        <v/>
      </c>
      <c r="Y99">
        <f>HYPERLINK("https://klasma.github.io/Logging_1383/tillsynsmail/A 3369-2024 tillsynsbegäran mail.docx", "A 3369-2024")</f>
        <v/>
      </c>
    </row>
    <row r="100" ht="15" customHeight="1">
      <c r="A100" t="inlineStr">
        <is>
          <t>A 7006-2024</t>
        </is>
      </c>
      <c r="B100" s="1" t="n">
        <v>45343</v>
      </c>
      <c r="C100" s="1" t="n">
        <v>45358</v>
      </c>
      <c r="D100" t="inlineStr">
        <is>
          <t>HALLANDS LÄN</t>
        </is>
      </c>
      <c r="E100" t="inlineStr">
        <is>
          <t>HYLTE</t>
        </is>
      </c>
      <c r="G100" t="n">
        <v>2.2</v>
      </c>
      <c r="H100" t="n">
        <v>1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1</v>
      </c>
      <c r="R100" s="2" t="inlineStr">
        <is>
          <t>Fläcknycklar</t>
        </is>
      </c>
      <c r="S100">
        <f>HYPERLINK("https://klasma.github.io/Logging_1315/artfynd/A 7006-2024 artfynd.xlsx", "A 7006-2024")</f>
        <v/>
      </c>
      <c r="T100">
        <f>HYPERLINK("https://klasma.github.io/Logging_1315/kartor/A 7006-2024 karta.png", "A 7006-2024")</f>
        <v/>
      </c>
      <c r="V100">
        <f>HYPERLINK("https://klasma.github.io/Logging_1315/klagomål/A 7006-2024 FSC-klagomål.docx", "A 7006-2024")</f>
        <v/>
      </c>
      <c r="W100">
        <f>HYPERLINK("https://klasma.github.io/Logging_1315/klagomålsmail/A 7006-2024 FSC-klagomål mail.docx", "A 7006-2024")</f>
        <v/>
      </c>
      <c r="X100">
        <f>HYPERLINK("https://klasma.github.io/Logging_1315/tillsyn/A 7006-2024 tillsynsbegäran.docx", "A 7006-2024")</f>
        <v/>
      </c>
      <c r="Y100">
        <f>HYPERLINK("https://klasma.github.io/Logging_1315/tillsynsmail/A 7006-2024 tillsynsbegäran mail.docx", "A 7006-2024")</f>
        <v/>
      </c>
    </row>
    <row r="101" ht="15" customHeight="1">
      <c r="A101" t="inlineStr">
        <is>
          <t>A 8102-2024</t>
        </is>
      </c>
      <c r="B101" s="1" t="n">
        <v>45351</v>
      </c>
      <c r="C101" s="1" t="n">
        <v>45358</v>
      </c>
      <c r="D101" t="inlineStr">
        <is>
          <t>HALLANDS LÄN</t>
        </is>
      </c>
      <c r="E101" t="inlineStr">
        <is>
          <t>HALMSTAD</t>
        </is>
      </c>
      <c r="G101" t="n">
        <v>7.6</v>
      </c>
      <c r="H101" t="n">
        <v>1</v>
      </c>
      <c r="I101" t="n">
        <v>0</v>
      </c>
      <c r="J101" t="n">
        <v>1</v>
      </c>
      <c r="K101" t="n">
        <v>0</v>
      </c>
      <c r="L101" t="n">
        <v>0</v>
      </c>
      <c r="M101" t="n">
        <v>0</v>
      </c>
      <c r="N101" t="n">
        <v>0</v>
      </c>
      <c r="O101" t="n">
        <v>1</v>
      </c>
      <c r="P101" t="n">
        <v>0</v>
      </c>
      <c r="Q101" t="n">
        <v>1</v>
      </c>
      <c r="R101" s="2" t="inlineStr">
        <is>
          <t>Fjällvråk</t>
        </is>
      </c>
      <c r="S101">
        <f>HYPERLINK("https://klasma.github.io/Logging_1380/artfynd/A 8102-2024 artfynd.xlsx", "A 8102-2024")</f>
        <v/>
      </c>
      <c r="T101">
        <f>HYPERLINK("https://klasma.github.io/Logging_1380/kartor/A 8102-2024 karta.png", "A 8102-2024")</f>
        <v/>
      </c>
      <c r="V101">
        <f>HYPERLINK("https://klasma.github.io/Logging_1380/klagomål/A 8102-2024 FSC-klagomål.docx", "A 8102-2024")</f>
        <v/>
      </c>
      <c r="W101">
        <f>HYPERLINK("https://klasma.github.io/Logging_1380/klagomålsmail/A 8102-2024 FSC-klagomål mail.docx", "A 8102-2024")</f>
        <v/>
      </c>
      <c r="X101">
        <f>HYPERLINK("https://klasma.github.io/Logging_1380/tillsyn/A 8102-2024 tillsynsbegäran.docx", "A 8102-2024")</f>
        <v/>
      </c>
      <c r="Y101">
        <f>HYPERLINK("https://klasma.github.io/Logging_1380/tillsynsmail/A 8102-2024 tillsynsbegäran mail.docx", "A 8102-2024")</f>
        <v/>
      </c>
      <c r="Z101">
        <f>HYPERLINK("https://klasma.github.io/Logging_1380/fåglar/A 8102-2024 prioriterade fågelarter.docx", "A 8102-2024")</f>
        <v/>
      </c>
    </row>
    <row r="102" ht="15" customHeight="1">
      <c r="A102" t="inlineStr">
        <is>
          <t>A 33891-2018</t>
        </is>
      </c>
      <c r="B102" s="1" t="n">
        <v>43314</v>
      </c>
      <c r="C102" s="1" t="n">
        <v>45358</v>
      </c>
      <c r="D102" t="inlineStr">
        <is>
          <t>HALLANDS LÄN</t>
        </is>
      </c>
      <c r="E102" t="inlineStr">
        <is>
          <t>HALMSTAD</t>
        </is>
      </c>
      <c r="G102" t="n">
        <v>3.2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33905-2018</t>
        </is>
      </c>
      <c r="B103" s="1" t="n">
        <v>43314</v>
      </c>
      <c r="C103" s="1" t="n">
        <v>45358</v>
      </c>
      <c r="D103" t="inlineStr">
        <is>
          <t>HALLANDS LÄN</t>
        </is>
      </c>
      <c r="E103" t="inlineStr">
        <is>
          <t>HALMSTAD</t>
        </is>
      </c>
      <c r="G103" t="n">
        <v>2.5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34198-2018</t>
        </is>
      </c>
      <c r="B104" s="1" t="n">
        <v>43318</v>
      </c>
      <c r="C104" s="1" t="n">
        <v>45358</v>
      </c>
      <c r="D104" t="inlineStr">
        <is>
          <t>HALLANDS LÄN</t>
        </is>
      </c>
      <c r="E104" t="inlineStr">
        <is>
          <t>HALMSTAD</t>
        </is>
      </c>
      <c r="G104" t="n">
        <v>2.4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34213-2018</t>
        </is>
      </c>
      <c r="B105" s="1" t="n">
        <v>43318</v>
      </c>
      <c r="C105" s="1" t="n">
        <v>45358</v>
      </c>
      <c r="D105" t="inlineStr">
        <is>
          <t>HALLANDS LÄN</t>
        </is>
      </c>
      <c r="E105" t="inlineStr">
        <is>
          <t>HALMSTAD</t>
        </is>
      </c>
      <c r="G105" t="n">
        <v>0.3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34357-2018</t>
        </is>
      </c>
      <c r="B106" s="1" t="n">
        <v>43319</v>
      </c>
      <c r="C106" s="1" t="n">
        <v>45358</v>
      </c>
      <c r="D106" t="inlineStr">
        <is>
          <t>HALLANDS LÄN</t>
        </is>
      </c>
      <c r="E106" t="inlineStr">
        <is>
          <t>HYLTE</t>
        </is>
      </c>
      <c r="G106" t="n">
        <v>1.6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35358-2018</t>
        </is>
      </c>
      <c r="B107" s="1" t="n">
        <v>43325</v>
      </c>
      <c r="C107" s="1" t="n">
        <v>45358</v>
      </c>
      <c r="D107" t="inlineStr">
        <is>
          <t>HALLANDS LÄN</t>
        </is>
      </c>
      <c r="E107" t="inlineStr">
        <is>
          <t>LAHOLM</t>
        </is>
      </c>
      <c r="F107" t="inlineStr">
        <is>
          <t>Naturvårdsverket</t>
        </is>
      </c>
      <c r="G107" t="n">
        <v>4.9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35829-2018</t>
        </is>
      </c>
      <c r="B108" s="1" t="n">
        <v>43326</v>
      </c>
      <c r="C108" s="1" t="n">
        <v>45358</v>
      </c>
      <c r="D108" t="inlineStr">
        <is>
          <t>HALLANDS LÄN</t>
        </is>
      </c>
      <c r="E108" t="inlineStr">
        <is>
          <t>KUNGSBACKA</t>
        </is>
      </c>
      <c r="G108" t="n">
        <v>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36570-2018</t>
        </is>
      </c>
      <c r="B109" s="1" t="n">
        <v>43329</v>
      </c>
      <c r="C109" s="1" t="n">
        <v>45358</v>
      </c>
      <c r="D109" t="inlineStr">
        <is>
          <t>HALLANDS LÄN</t>
        </is>
      </c>
      <c r="E109" t="inlineStr">
        <is>
          <t>LAHOLM</t>
        </is>
      </c>
      <c r="G109" t="n">
        <v>3.2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38604-2018</t>
        </is>
      </c>
      <c r="B110" s="1" t="n">
        <v>43335</v>
      </c>
      <c r="C110" s="1" t="n">
        <v>45358</v>
      </c>
      <c r="D110" t="inlineStr">
        <is>
          <t>HALLANDS LÄN</t>
        </is>
      </c>
      <c r="E110" t="inlineStr">
        <is>
          <t>LAHOLM</t>
        </is>
      </c>
      <c r="G110" t="n">
        <v>0.4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38595-2018</t>
        </is>
      </c>
      <c r="B111" s="1" t="n">
        <v>43335</v>
      </c>
      <c r="C111" s="1" t="n">
        <v>45358</v>
      </c>
      <c r="D111" t="inlineStr">
        <is>
          <t>HALLANDS LÄN</t>
        </is>
      </c>
      <c r="E111" t="inlineStr">
        <is>
          <t>LAHOLM</t>
        </is>
      </c>
      <c r="G111" t="n">
        <v>0.3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39896-2018</t>
        </is>
      </c>
      <c r="B112" s="1" t="n">
        <v>43342</v>
      </c>
      <c r="C112" s="1" t="n">
        <v>45358</v>
      </c>
      <c r="D112" t="inlineStr">
        <is>
          <t>HALLANDS LÄN</t>
        </is>
      </c>
      <c r="E112" t="inlineStr">
        <is>
          <t>LAHOLM</t>
        </is>
      </c>
      <c r="G112" t="n">
        <v>0.7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41381-2018</t>
        </is>
      </c>
      <c r="B113" s="1" t="n">
        <v>43346</v>
      </c>
      <c r="C113" s="1" t="n">
        <v>45358</v>
      </c>
      <c r="D113" t="inlineStr">
        <is>
          <t>HALLANDS LÄN</t>
        </is>
      </c>
      <c r="E113" t="inlineStr">
        <is>
          <t>FALKENBERG</t>
        </is>
      </c>
      <c r="G113" t="n">
        <v>8.4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40906-2018</t>
        </is>
      </c>
      <c r="B114" s="1" t="n">
        <v>43347</v>
      </c>
      <c r="C114" s="1" t="n">
        <v>45358</v>
      </c>
      <c r="D114" t="inlineStr">
        <is>
          <t>HALLANDS LÄN</t>
        </is>
      </c>
      <c r="E114" t="inlineStr">
        <is>
          <t>FALKENBERG</t>
        </is>
      </c>
      <c r="G114" t="n">
        <v>1.6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41149-2018</t>
        </is>
      </c>
      <c r="B115" s="1" t="n">
        <v>43348</v>
      </c>
      <c r="C115" s="1" t="n">
        <v>45358</v>
      </c>
      <c r="D115" t="inlineStr">
        <is>
          <t>HALLANDS LÄN</t>
        </is>
      </c>
      <c r="E115" t="inlineStr">
        <is>
          <t>HYLTE</t>
        </is>
      </c>
      <c r="G115" t="n">
        <v>4.3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42783-2018</t>
        </is>
      </c>
      <c r="B116" s="1" t="n">
        <v>43353</v>
      </c>
      <c r="C116" s="1" t="n">
        <v>45358</v>
      </c>
      <c r="D116" t="inlineStr">
        <is>
          <t>HALLANDS LÄN</t>
        </is>
      </c>
      <c r="E116" t="inlineStr">
        <is>
          <t>LAHOLM</t>
        </is>
      </c>
      <c r="F116" t="inlineStr">
        <is>
          <t>Övriga statliga verk och myndigheter</t>
        </is>
      </c>
      <c r="G116" t="n">
        <v>3.8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45260-2018</t>
        </is>
      </c>
      <c r="B117" s="1" t="n">
        <v>43361</v>
      </c>
      <c r="C117" s="1" t="n">
        <v>45358</v>
      </c>
      <c r="D117" t="inlineStr">
        <is>
          <t>HALLANDS LÄN</t>
        </is>
      </c>
      <c r="E117" t="inlineStr">
        <is>
          <t>VARBERG</t>
        </is>
      </c>
      <c r="G117" t="n">
        <v>1.5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49291-2018</t>
        </is>
      </c>
      <c r="B118" s="1" t="n">
        <v>43374</v>
      </c>
      <c r="C118" s="1" t="n">
        <v>45358</v>
      </c>
      <c r="D118" t="inlineStr">
        <is>
          <t>HALLANDS LÄN</t>
        </is>
      </c>
      <c r="E118" t="inlineStr">
        <is>
          <t>HYLTE</t>
        </is>
      </c>
      <c r="G118" t="n">
        <v>4.9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50770-2018</t>
        </is>
      </c>
      <c r="B119" s="1" t="n">
        <v>43381</v>
      </c>
      <c r="C119" s="1" t="n">
        <v>45358</v>
      </c>
      <c r="D119" t="inlineStr">
        <is>
          <t>HALLANDS LÄN</t>
        </is>
      </c>
      <c r="E119" t="inlineStr">
        <is>
          <t>VARBERG</t>
        </is>
      </c>
      <c r="G119" t="n">
        <v>1.3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51704-2018</t>
        </is>
      </c>
      <c r="B120" s="1" t="n">
        <v>43384</v>
      </c>
      <c r="C120" s="1" t="n">
        <v>45358</v>
      </c>
      <c r="D120" t="inlineStr">
        <is>
          <t>HALLANDS LÄN</t>
        </is>
      </c>
      <c r="E120" t="inlineStr">
        <is>
          <t>LAHOLM</t>
        </is>
      </c>
      <c r="G120" t="n">
        <v>0.3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51715-2018</t>
        </is>
      </c>
      <c r="B121" s="1" t="n">
        <v>43384</v>
      </c>
      <c r="C121" s="1" t="n">
        <v>45358</v>
      </c>
      <c r="D121" t="inlineStr">
        <is>
          <t>HALLANDS LÄN</t>
        </is>
      </c>
      <c r="E121" t="inlineStr">
        <is>
          <t>LAHOLM</t>
        </is>
      </c>
      <c r="F121" t="inlineStr">
        <is>
          <t>Kommuner</t>
        </is>
      </c>
      <c r="G121" t="n">
        <v>15.7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53685-2018</t>
        </is>
      </c>
      <c r="B122" s="1" t="n">
        <v>43385</v>
      </c>
      <c r="C122" s="1" t="n">
        <v>45358</v>
      </c>
      <c r="D122" t="inlineStr">
        <is>
          <t>HALLANDS LÄN</t>
        </is>
      </c>
      <c r="E122" t="inlineStr">
        <is>
          <t>LAHOLM</t>
        </is>
      </c>
      <c r="G122" t="n">
        <v>6.7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53797-2018</t>
        </is>
      </c>
      <c r="B123" s="1" t="n">
        <v>43385</v>
      </c>
      <c r="C123" s="1" t="n">
        <v>45358</v>
      </c>
      <c r="D123" t="inlineStr">
        <is>
          <t>HALLANDS LÄN</t>
        </is>
      </c>
      <c r="E123" t="inlineStr">
        <is>
          <t>LAHOLM</t>
        </is>
      </c>
      <c r="G123" t="n">
        <v>1.3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53729-2018</t>
        </is>
      </c>
      <c r="B124" s="1" t="n">
        <v>43385</v>
      </c>
      <c r="C124" s="1" t="n">
        <v>45358</v>
      </c>
      <c r="D124" t="inlineStr">
        <is>
          <t>HALLANDS LÄN</t>
        </is>
      </c>
      <c r="E124" t="inlineStr">
        <is>
          <t>LAHOLM</t>
        </is>
      </c>
      <c r="G124" t="n">
        <v>5.5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53686-2018</t>
        </is>
      </c>
      <c r="B125" s="1" t="n">
        <v>43388</v>
      </c>
      <c r="C125" s="1" t="n">
        <v>45358</v>
      </c>
      <c r="D125" t="inlineStr">
        <is>
          <t>HALLANDS LÄN</t>
        </is>
      </c>
      <c r="E125" t="inlineStr">
        <is>
          <t>FALKENBERG</t>
        </is>
      </c>
      <c r="G125" t="n">
        <v>6.6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53684-2018</t>
        </is>
      </c>
      <c r="B126" s="1" t="n">
        <v>43391</v>
      </c>
      <c r="C126" s="1" t="n">
        <v>45358</v>
      </c>
      <c r="D126" t="inlineStr">
        <is>
          <t>HALLANDS LÄN</t>
        </is>
      </c>
      <c r="E126" t="inlineStr">
        <is>
          <t>KUNGSBACKA</t>
        </is>
      </c>
      <c r="G126" t="n">
        <v>5.9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56389-2018</t>
        </is>
      </c>
      <c r="B127" s="1" t="n">
        <v>43395</v>
      </c>
      <c r="C127" s="1" t="n">
        <v>45358</v>
      </c>
      <c r="D127" t="inlineStr">
        <is>
          <t>HALLANDS LÄN</t>
        </is>
      </c>
      <c r="E127" t="inlineStr">
        <is>
          <t>VARBERG</t>
        </is>
      </c>
      <c r="G127" t="n">
        <v>0.9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58320-2018</t>
        </is>
      </c>
      <c r="B128" s="1" t="n">
        <v>43398</v>
      </c>
      <c r="C128" s="1" t="n">
        <v>45358</v>
      </c>
      <c r="D128" t="inlineStr">
        <is>
          <t>HALLANDS LÄN</t>
        </is>
      </c>
      <c r="E128" t="inlineStr">
        <is>
          <t>KUNGSBACKA</t>
        </is>
      </c>
      <c r="G128" t="n">
        <v>6.8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57860-2018</t>
        </is>
      </c>
      <c r="B129" s="1" t="n">
        <v>43398</v>
      </c>
      <c r="C129" s="1" t="n">
        <v>45358</v>
      </c>
      <c r="D129" t="inlineStr">
        <is>
          <t>HALLANDS LÄN</t>
        </is>
      </c>
      <c r="E129" t="inlineStr">
        <is>
          <t>FALKENBERG</t>
        </is>
      </c>
      <c r="F129" t="inlineStr">
        <is>
          <t>Kyrkan</t>
        </is>
      </c>
      <c r="G129" t="n">
        <v>1.2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58310-2018</t>
        </is>
      </c>
      <c r="B130" s="1" t="n">
        <v>43398</v>
      </c>
      <c r="C130" s="1" t="n">
        <v>45358</v>
      </c>
      <c r="D130" t="inlineStr">
        <is>
          <t>HALLANDS LÄN</t>
        </is>
      </c>
      <c r="E130" t="inlineStr">
        <is>
          <t>KUNGSBACKA</t>
        </is>
      </c>
      <c r="G130" t="n">
        <v>3.5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58322-2018</t>
        </is>
      </c>
      <c r="B131" s="1" t="n">
        <v>43398</v>
      </c>
      <c r="C131" s="1" t="n">
        <v>45358</v>
      </c>
      <c r="D131" t="inlineStr">
        <is>
          <t>HALLANDS LÄN</t>
        </is>
      </c>
      <c r="E131" t="inlineStr">
        <is>
          <t>KUNGSBACKA</t>
        </is>
      </c>
      <c r="G131" t="n">
        <v>3.8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64958-2018</t>
        </is>
      </c>
      <c r="B132" s="1" t="n">
        <v>43404</v>
      </c>
      <c r="C132" s="1" t="n">
        <v>45358</v>
      </c>
      <c r="D132" t="inlineStr">
        <is>
          <t>HALLANDS LÄN</t>
        </is>
      </c>
      <c r="E132" t="inlineStr">
        <is>
          <t>LAHOLM</t>
        </is>
      </c>
      <c r="G132" t="n">
        <v>0.7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59265-2018</t>
        </is>
      </c>
      <c r="B133" s="1" t="n">
        <v>43404</v>
      </c>
      <c r="C133" s="1" t="n">
        <v>45358</v>
      </c>
      <c r="D133" t="inlineStr">
        <is>
          <t>HALLANDS LÄN</t>
        </is>
      </c>
      <c r="E133" t="inlineStr">
        <is>
          <t>LAHOLM</t>
        </is>
      </c>
      <c r="G133" t="n">
        <v>5.8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58182-2018</t>
        </is>
      </c>
      <c r="B134" s="1" t="n">
        <v>43407</v>
      </c>
      <c r="C134" s="1" t="n">
        <v>45358</v>
      </c>
      <c r="D134" t="inlineStr">
        <is>
          <t>HALLANDS LÄN</t>
        </is>
      </c>
      <c r="E134" t="inlineStr">
        <is>
          <t>VARBERG</t>
        </is>
      </c>
      <c r="G134" t="n">
        <v>2.5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58308-2018</t>
        </is>
      </c>
      <c r="B135" s="1" t="n">
        <v>43409</v>
      </c>
      <c r="C135" s="1" t="n">
        <v>45358</v>
      </c>
      <c r="D135" t="inlineStr">
        <is>
          <t>HALLANDS LÄN</t>
        </is>
      </c>
      <c r="E135" t="inlineStr">
        <is>
          <t>HYLTE</t>
        </is>
      </c>
      <c r="G135" t="n">
        <v>2.1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60696-2018</t>
        </is>
      </c>
      <c r="B136" s="1" t="n">
        <v>43409</v>
      </c>
      <c r="C136" s="1" t="n">
        <v>45358</v>
      </c>
      <c r="D136" t="inlineStr">
        <is>
          <t>HALLANDS LÄN</t>
        </is>
      </c>
      <c r="E136" t="inlineStr">
        <is>
          <t>KUNGSBACKA</t>
        </is>
      </c>
      <c r="G136" t="n">
        <v>0.5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58960-2018</t>
        </is>
      </c>
      <c r="B137" s="1" t="n">
        <v>43411</v>
      </c>
      <c r="C137" s="1" t="n">
        <v>45358</v>
      </c>
      <c r="D137" t="inlineStr">
        <is>
          <t>HALLANDS LÄN</t>
        </is>
      </c>
      <c r="E137" t="inlineStr">
        <is>
          <t>HALMSTAD</t>
        </is>
      </c>
      <c r="G137" t="n">
        <v>0.9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60923-2018</t>
        </is>
      </c>
      <c r="B138" s="1" t="n">
        <v>43411</v>
      </c>
      <c r="C138" s="1" t="n">
        <v>45358</v>
      </c>
      <c r="D138" t="inlineStr">
        <is>
          <t>HALLANDS LÄN</t>
        </is>
      </c>
      <c r="E138" t="inlineStr">
        <is>
          <t>LAHOLM</t>
        </is>
      </c>
      <c r="G138" t="n">
        <v>0.9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60921-2018</t>
        </is>
      </c>
      <c r="B139" s="1" t="n">
        <v>43411</v>
      </c>
      <c r="C139" s="1" t="n">
        <v>45358</v>
      </c>
      <c r="D139" t="inlineStr">
        <is>
          <t>HALLANDS LÄN</t>
        </is>
      </c>
      <c r="E139" t="inlineStr">
        <is>
          <t>LAHOLM</t>
        </is>
      </c>
      <c r="G139" t="n">
        <v>0.9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61870-2018</t>
        </is>
      </c>
      <c r="B140" s="1" t="n">
        <v>43413</v>
      </c>
      <c r="C140" s="1" t="n">
        <v>45358</v>
      </c>
      <c r="D140" t="inlineStr">
        <is>
          <t>HALLANDS LÄN</t>
        </is>
      </c>
      <c r="E140" t="inlineStr">
        <is>
          <t>HYLTE</t>
        </is>
      </c>
      <c r="G140" t="n">
        <v>1.9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62666-2018</t>
        </is>
      </c>
      <c r="B141" s="1" t="n">
        <v>43413</v>
      </c>
      <c r="C141" s="1" t="n">
        <v>45358</v>
      </c>
      <c r="D141" t="inlineStr">
        <is>
          <t>HALLANDS LÄN</t>
        </is>
      </c>
      <c r="E141" t="inlineStr">
        <is>
          <t>HALMSTAD</t>
        </is>
      </c>
      <c r="G141" t="n">
        <v>1.7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61402-2018</t>
        </is>
      </c>
      <c r="B142" s="1" t="n">
        <v>43413</v>
      </c>
      <c r="C142" s="1" t="n">
        <v>45358</v>
      </c>
      <c r="D142" t="inlineStr">
        <is>
          <t>HALLANDS LÄN</t>
        </is>
      </c>
      <c r="E142" t="inlineStr">
        <is>
          <t>HALMSTAD</t>
        </is>
      </c>
      <c r="G142" t="n">
        <v>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61386-2018</t>
        </is>
      </c>
      <c r="B143" s="1" t="n">
        <v>43413</v>
      </c>
      <c r="C143" s="1" t="n">
        <v>45358</v>
      </c>
      <c r="D143" t="inlineStr">
        <is>
          <t>HALLANDS LÄN</t>
        </is>
      </c>
      <c r="E143" t="inlineStr">
        <is>
          <t>HALMSTAD</t>
        </is>
      </c>
      <c r="G143" t="n">
        <v>2.9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61863-2018</t>
        </is>
      </c>
      <c r="B144" s="1" t="n">
        <v>43413</v>
      </c>
      <c r="C144" s="1" t="n">
        <v>45358</v>
      </c>
      <c r="D144" t="inlineStr">
        <is>
          <t>HALLANDS LÄN</t>
        </is>
      </c>
      <c r="E144" t="inlineStr">
        <is>
          <t>HYLTE</t>
        </is>
      </c>
      <c r="G144" t="n">
        <v>1.9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61876-2018</t>
        </is>
      </c>
      <c r="B145" s="1" t="n">
        <v>43413</v>
      </c>
      <c r="C145" s="1" t="n">
        <v>45358</v>
      </c>
      <c r="D145" t="inlineStr">
        <is>
          <t>HALLANDS LÄN</t>
        </is>
      </c>
      <c r="E145" t="inlineStr">
        <is>
          <t>HYLTE</t>
        </is>
      </c>
      <c r="G145" t="n">
        <v>1.2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62457-2018</t>
        </is>
      </c>
      <c r="B146" s="1" t="n">
        <v>43415</v>
      </c>
      <c r="C146" s="1" t="n">
        <v>45358</v>
      </c>
      <c r="D146" t="inlineStr">
        <is>
          <t>HALLANDS LÄN</t>
        </is>
      </c>
      <c r="E146" t="inlineStr">
        <is>
          <t>HYLTE</t>
        </is>
      </c>
      <c r="G146" t="n">
        <v>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62459-2018</t>
        </is>
      </c>
      <c r="B147" s="1" t="n">
        <v>43415</v>
      </c>
      <c r="C147" s="1" t="n">
        <v>45358</v>
      </c>
      <c r="D147" t="inlineStr">
        <is>
          <t>HALLANDS LÄN</t>
        </is>
      </c>
      <c r="E147" t="inlineStr">
        <is>
          <t>HYLTE</t>
        </is>
      </c>
      <c r="G147" t="n">
        <v>1.9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62487-2018</t>
        </is>
      </c>
      <c r="B148" s="1" t="n">
        <v>43415</v>
      </c>
      <c r="C148" s="1" t="n">
        <v>45358</v>
      </c>
      <c r="D148" t="inlineStr">
        <is>
          <t>HALLANDS LÄN</t>
        </is>
      </c>
      <c r="E148" t="inlineStr">
        <is>
          <t>FALKENBERG</t>
        </is>
      </c>
      <c r="G148" t="n">
        <v>7.5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62456-2018</t>
        </is>
      </c>
      <c r="B149" s="1" t="n">
        <v>43415</v>
      </c>
      <c r="C149" s="1" t="n">
        <v>45358</v>
      </c>
      <c r="D149" t="inlineStr">
        <is>
          <t>HALLANDS LÄN</t>
        </is>
      </c>
      <c r="E149" t="inlineStr">
        <is>
          <t>HYLTE</t>
        </is>
      </c>
      <c r="G149" t="n">
        <v>0.8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62339-2018</t>
        </is>
      </c>
      <c r="B150" s="1" t="n">
        <v>43416</v>
      </c>
      <c r="C150" s="1" t="n">
        <v>45358</v>
      </c>
      <c r="D150" t="inlineStr">
        <is>
          <t>HALLANDS LÄN</t>
        </is>
      </c>
      <c r="E150" t="inlineStr">
        <is>
          <t>HALMSTAD</t>
        </is>
      </c>
      <c r="G150" t="n">
        <v>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62381-2018</t>
        </is>
      </c>
      <c r="B151" s="1" t="n">
        <v>43416</v>
      </c>
      <c r="C151" s="1" t="n">
        <v>45358</v>
      </c>
      <c r="D151" t="inlineStr">
        <is>
          <t>HALLANDS LÄN</t>
        </is>
      </c>
      <c r="E151" t="inlineStr">
        <is>
          <t>LAHOLM</t>
        </is>
      </c>
      <c r="G151" t="n">
        <v>1.3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63178-2018</t>
        </is>
      </c>
      <c r="B152" s="1" t="n">
        <v>43418</v>
      </c>
      <c r="C152" s="1" t="n">
        <v>45358</v>
      </c>
      <c r="D152" t="inlineStr">
        <is>
          <t>HALLANDS LÄN</t>
        </is>
      </c>
      <c r="E152" t="inlineStr">
        <is>
          <t>HYLTE</t>
        </is>
      </c>
      <c r="G152" t="n">
        <v>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63900-2018</t>
        </is>
      </c>
      <c r="B153" s="1" t="n">
        <v>43418</v>
      </c>
      <c r="C153" s="1" t="n">
        <v>45358</v>
      </c>
      <c r="D153" t="inlineStr">
        <is>
          <t>HALLANDS LÄN</t>
        </is>
      </c>
      <c r="E153" t="inlineStr">
        <is>
          <t>FALKENBERG</t>
        </is>
      </c>
      <c r="G153" t="n">
        <v>0.7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63883-2018</t>
        </is>
      </c>
      <c r="B154" s="1" t="n">
        <v>43418</v>
      </c>
      <c r="C154" s="1" t="n">
        <v>45358</v>
      </c>
      <c r="D154" t="inlineStr">
        <is>
          <t>HALLANDS LÄN</t>
        </is>
      </c>
      <c r="E154" t="inlineStr">
        <is>
          <t>FALKENBERG</t>
        </is>
      </c>
      <c r="G154" t="n">
        <v>1.1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63993-2018</t>
        </is>
      </c>
      <c r="B155" s="1" t="n">
        <v>43418</v>
      </c>
      <c r="C155" s="1" t="n">
        <v>45358</v>
      </c>
      <c r="D155" t="inlineStr">
        <is>
          <t>HALLANDS LÄN</t>
        </is>
      </c>
      <c r="E155" t="inlineStr">
        <is>
          <t>FALKENBERG</t>
        </is>
      </c>
      <c r="G155" t="n">
        <v>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64021-2018</t>
        </is>
      </c>
      <c r="B156" s="1" t="n">
        <v>43418</v>
      </c>
      <c r="C156" s="1" t="n">
        <v>45358</v>
      </c>
      <c r="D156" t="inlineStr">
        <is>
          <t>HALLANDS LÄN</t>
        </is>
      </c>
      <c r="E156" t="inlineStr">
        <is>
          <t>HALMSTAD</t>
        </is>
      </c>
      <c r="G156" t="n">
        <v>0.4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59599-2018</t>
        </is>
      </c>
      <c r="B157" s="1" t="n">
        <v>43419</v>
      </c>
      <c r="C157" s="1" t="n">
        <v>45358</v>
      </c>
      <c r="D157" t="inlineStr">
        <is>
          <t>HALLANDS LÄN</t>
        </is>
      </c>
      <c r="E157" t="inlineStr">
        <is>
          <t>HALMSTAD</t>
        </is>
      </c>
      <c r="G157" t="n">
        <v>1.6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64333-2018</t>
        </is>
      </c>
      <c r="B158" s="1" t="n">
        <v>43419</v>
      </c>
      <c r="C158" s="1" t="n">
        <v>45358</v>
      </c>
      <c r="D158" t="inlineStr">
        <is>
          <t>HALLANDS LÄN</t>
        </is>
      </c>
      <c r="E158" t="inlineStr">
        <is>
          <t>HYLTE</t>
        </is>
      </c>
      <c r="G158" t="n">
        <v>2.3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60322-2018</t>
        </is>
      </c>
      <c r="B159" s="1" t="n">
        <v>43420</v>
      </c>
      <c r="C159" s="1" t="n">
        <v>45358</v>
      </c>
      <c r="D159" t="inlineStr">
        <is>
          <t>HALLANDS LÄN</t>
        </is>
      </c>
      <c r="E159" t="inlineStr">
        <is>
          <t>HYLTE</t>
        </is>
      </c>
      <c r="G159" t="n">
        <v>0.7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60320-2018</t>
        </is>
      </c>
      <c r="B160" s="1" t="n">
        <v>43420</v>
      </c>
      <c r="C160" s="1" t="n">
        <v>45358</v>
      </c>
      <c r="D160" t="inlineStr">
        <is>
          <t>HALLANDS LÄN</t>
        </is>
      </c>
      <c r="E160" t="inlineStr">
        <is>
          <t>HYLTE</t>
        </is>
      </c>
      <c r="G160" t="n">
        <v>0.5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60633-2018</t>
        </is>
      </c>
      <c r="B161" s="1" t="n">
        <v>43420</v>
      </c>
      <c r="C161" s="1" t="n">
        <v>45358</v>
      </c>
      <c r="D161" t="inlineStr">
        <is>
          <t>HALLANDS LÄN</t>
        </is>
      </c>
      <c r="E161" t="inlineStr">
        <is>
          <t>HALMSTAD</t>
        </is>
      </c>
      <c r="G161" t="n">
        <v>2.4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60872-2018</t>
        </is>
      </c>
      <c r="B162" s="1" t="n">
        <v>43422</v>
      </c>
      <c r="C162" s="1" t="n">
        <v>45358</v>
      </c>
      <c r="D162" t="inlineStr">
        <is>
          <t>HALLANDS LÄN</t>
        </is>
      </c>
      <c r="E162" t="inlineStr">
        <is>
          <t>FALKENBERG</t>
        </is>
      </c>
      <c r="G162" t="n">
        <v>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60868-2018</t>
        </is>
      </c>
      <c r="B163" s="1" t="n">
        <v>43422</v>
      </c>
      <c r="C163" s="1" t="n">
        <v>45358</v>
      </c>
      <c r="D163" t="inlineStr">
        <is>
          <t>HALLANDS LÄN</t>
        </is>
      </c>
      <c r="E163" t="inlineStr">
        <is>
          <t>FALKENBERG</t>
        </is>
      </c>
      <c r="G163" t="n">
        <v>1.8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60966-2018</t>
        </is>
      </c>
      <c r="B164" s="1" t="n">
        <v>43423</v>
      </c>
      <c r="C164" s="1" t="n">
        <v>45358</v>
      </c>
      <c r="D164" t="inlineStr">
        <is>
          <t>HALLANDS LÄN</t>
        </is>
      </c>
      <c r="E164" t="inlineStr">
        <is>
          <t>FALKENBERG</t>
        </is>
      </c>
      <c r="G164" t="n">
        <v>0.5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61258-2018</t>
        </is>
      </c>
      <c r="B165" s="1" t="n">
        <v>43423</v>
      </c>
      <c r="C165" s="1" t="n">
        <v>45358</v>
      </c>
      <c r="D165" t="inlineStr">
        <is>
          <t>HALLANDS LÄN</t>
        </is>
      </c>
      <c r="E165" t="inlineStr">
        <is>
          <t>HALMSTAD</t>
        </is>
      </c>
      <c r="G165" t="n">
        <v>6.6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60902-2018</t>
        </is>
      </c>
      <c r="B166" s="1" t="n">
        <v>43423</v>
      </c>
      <c r="C166" s="1" t="n">
        <v>45358</v>
      </c>
      <c r="D166" t="inlineStr">
        <is>
          <t>HALLANDS LÄN</t>
        </is>
      </c>
      <c r="E166" t="inlineStr">
        <is>
          <t>HYLTE</t>
        </is>
      </c>
      <c r="G166" t="n">
        <v>1.6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61157-2018</t>
        </is>
      </c>
      <c r="B167" s="1" t="n">
        <v>43423</v>
      </c>
      <c r="C167" s="1" t="n">
        <v>45358</v>
      </c>
      <c r="D167" t="inlineStr">
        <is>
          <t>HALLANDS LÄN</t>
        </is>
      </c>
      <c r="E167" t="inlineStr">
        <is>
          <t>FALKENBERG</t>
        </is>
      </c>
      <c r="G167" t="n">
        <v>5.8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65014-2018</t>
        </is>
      </c>
      <c r="B168" s="1" t="n">
        <v>43423</v>
      </c>
      <c r="C168" s="1" t="n">
        <v>45358</v>
      </c>
      <c r="D168" t="inlineStr">
        <is>
          <t>HALLANDS LÄN</t>
        </is>
      </c>
      <c r="E168" t="inlineStr">
        <is>
          <t>HYLTE</t>
        </is>
      </c>
      <c r="G168" t="n">
        <v>4.7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60975-2018</t>
        </is>
      </c>
      <c r="B169" s="1" t="n">
        <v>43423</v>
      </c>
      <c r="C169" s="1" t="n">
        <v>45358</v>
      </c>
      <c r="D169" t="inlineStr">
        <is>
          <t>HALLANDS LÄN</t>
        </is>
      </c>
      <c r="E169" t="inlineStr">
        <is>
          <t>FALKENBERG</t>
        </is>
      </c>
      <c r="G169" t="n">
        <v>0.5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62170-2018</t>
        </is>
      </c>
      <c r="B170" s="1" t="n">
        <v>43425</v>
      </c>
      <c r="C170" s="1" t="n">
        <v>45358</v>
      </c>
      <c r="D170" t="inlineStr">
        <is>
          <t>HALLANDS LÄN</t>
        </is>
      </c>
      <c r="E170" t="inlineStr">
        <is>
          <t>HYLTE</t>
        </is>
      </c>
      <c r="G170" t="n">
        <v>1.9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61740-2018</t>
        </is>
      </c>
      <c r="B171" s="1" t="n">
        <v>43425</v>
      </c>
      <c r="C171" s="1" t="n">
        <v>45358</v>
      </c>
      <c r="D171" t="inlineStr">
        <is>
          <t>HALLANDS LÄN</t>
        </is>
      </c>
      <c r="E171" t="inlineStr">
        <is>
          <t>LAHOLM</t>
        </is>
      </c>
      <c r="G171" t="n">
        <v>0.9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62294-2018</t>
        </is>
      </c>
      <c r="B172" s="1" t="n">
        <v>43426</v>
      </c>
      <c r="C172" s="1" t="n">
        <v>45358</v>
      </c>
      <c r="D172" t="inlineStr">
        <is>
          <t>HALLANDS LÄN</t>
        </is>
      </c>
      <c r="E172" t="inlineStr">
        <is>
          <t>KUNGSBACKA</t>
        </is>
      </c>
      <c r="G172" t="n">
        <v>1.2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62579-2018</t>
        </is>
      </c>
      <c r="B173" s="1" t="n">
        <v>43426</v>
      </c>
      <c r="C173" s="1" t="n">
        <v>45358</v>
      </c>
      <c r="D173" t="inlineStr">
        <is>
          <t>HALLANDS LÄN</t>
        </is>
      </c>
      <c r="E173" t="inlineStr">
        <is>
          <t>KUNGSBACKA</t>
        </is>
      </c>
      <c r="G173" t="n">
        <v>0.5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62295-2018</t>
        </is>
      </c>
      <c r="B174" s="1" t="n">
        <v>43426</v>
      </c>
      <c r="C174" s="1" t="n">
        <v>45358</v>
      </c>
      <c r="D174" t="inlineStr">
        <is>
          <t>HALLANDS LÄN</t>
        </is>
      </c>
      <c r="E174" t="inlineStr">
        <is>
          <t>KUNGSBACKA</t>
        </is>
      </c>
      <c r="G174" t="n">
        <v>0.9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64216-2018</t>
        </is>
      </c>
      <c r="B175" s="1" t="n">
        <v>43430</v>
      </c>
      <c r="C175" s="1" t="n">
        <v>45358</v>
      </c>
      <c r="D175" t="inlineStr">
        <is>
          <t>HALLANDS LÄN</t>
        </is>
      </c>
      <c r="E175" t="inlineStr">
        <is>
          <t>LAHOLM</t>
        </is>
      </c>
      <c r="G175" t="n">
        <v>2.7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64002-2018</t>
        </is>
      </c>
      <c r="B176" s="1" t="n">
        <v>43430</v>
      </c>
      <c r="C176" s="1" t="n">
        <v>45358</v>
      </c>
      <c r="D176" t="inlineStr">
        <is>
          <t>HALLANDS LÄN</t>
        </is>
      </c>
      <c r="E176" t="inlineStr">
        <is>
          <t>FALKENBERG</t>
        </is>
      </c>
      <c r="G176" t="n">
        <v>2.2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64275-2018</t>
        </is>
      </c>
      <c r="B177" s="1" t="n">
        <v>43430</v>
      </c>
      <c r="C177" s="1" t="n">
        <v>45358</v>
      </c>
      <c r="D177" t="inlineStr">
        <is>
          <t>HALLANDS LÄN</t>
        </is>
      </c>
      <c r="E177" t="inlineStr">
        <is>
          <t>LAHOLM</t>
        </is>
      </c>
      <c r="G177" t="n">
        <v>1.7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64257-2018</t>
        </is>
      </c>
      <c r="B178" s="1" t="n">
        <v>43430</v>
      </c>
      <c r="C178" s="1" t="n">
        <v>45358</v>
      </c>
      <c r="D178" t="inlineStr">
        <is>
          <t>HALLANDS LÄN</t>
        </is>
      </c>
      <c r="E178" t="inlineStr">
        <is>
          <t>LAHOLM</t>
        </is>
      </c>
      <c r="G178" t="n">
        <v>3.4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64475-2018</t>
        </is>
      </c>
      <c r="B179" s="1" t="n">
        <v>43431</v>
      </c>
      <c r="C179" s="1" t="n">
        <v>45358</v>
      </c>
      <c r="D179" t="inlineStr">
        <is>
          <t>HALLANDS LÄN</t>
        </is>
      </c>
      <c r="E179" t="inlineStr">
        <is>
          <t>HALMSTAD</t>
        </is>
      </c>
      <c r="G179" t="n">
        <v>4.3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64583-2018</t>
        </is>
      </c>
      <c r="B180" s="1" t="n">
        <v>43431</v>
      </c>
      <c r="C180" s="1" t="n">
        <v>45358</v>
      </c>
      <c r="D180" t="inlineStr">
        <is>
          <t>HALLANDS LÄN</t>
        </is>
      </c>
      <c r="E180" t="inlineStr">
        <is>
          <t>FALKENBERG</t>
        </is>
      </c>
      <c r="G180" t="n">
        <v>1.7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64587-2018</t>
        </is>
      </c>
      <c r="B181" s="1" t="n">
        <v>43431</v>
      </c>
      <c r="C181" s="1" t="n">
        <v>45358</v>
      </c>
      <c r="D181" t="inlineStr">
        <is>
          <t>HALLANDS LÄN</t>
        </is>
      </c>
      <c r="E181" t="inlineStr">
        <is>
          <t>FALKENBERG</t>
        </is>
      </c>
      <c r="G181" t="n">
        <v>1.6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64819-2018</t>
        </is>
      </c>
      <c r="B182" s="1" t="n">
        <v>43431</v>
      </c>
      <c r="C182" s="1" t="n">
        <v>45358</v>
      </c>
      <c r="D182" t="inlineStr">
        <is>
          <t>HALLANDS LÄN</t>
        </is>
      </c>
      <c r="E182" t="inlineStr">
        <is>
          <t>HALMSTAD</t>
        </is>
      </c>
      <c r="G182" t="n">
        <v>0.6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64750-2018</t>
        </is>
      </c>
      <c r="B183" s="1" t="n">
        <v>43431</v>
      </c>
      <c r="C183" s="1" t="n">
        <v>45358</v>
      </c>
      <c r="D183" t="inlineStr">
        <is>
          <t>HALLANDS LÄN</t>
        </is>
      </c>
      <c r="E183" t="inlineStr">
        <is>
          <t>HYLTE</t>
        </is>
      </c>
      <c r="G183" t="n">
        <v>0.5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67299-2018</t>
        </is>
      </c>
      <c r="B184" s="1" t="n">
        <v>43432</v>
      </c>
      <c r="C184" s="1" t="n">
        <v>45358</v>
      </c>
      <c r="D184" t="inlineStr">
        <is>
          <t>HALLANDS LÄN</t>
        </is>
      </c>
      <c r="E184" t="inlineStr">
        <is>
          <t>HYLTE</t>
        </is>
      </c>
      <c r="G184" t="n">
        <v>1.3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67251-2018</t>
        </is>
      </c>
      <c r="B185" s="1" t="n">
        <v>43432</v>
      </c>
      <c r="C185" s="1" t="n">
        <v>45358</v>
      </c>
      <c r="D185" t="inlineStr">
        <is>
          <t>HALLANDS LÄN</t>
        </is>
      </c>
      <c r="E185" t="inlineStr">
        <is>
          <t>HYLTE</t>
        </is>
      </c>
      <c r="G185" t="n">
        <v>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65307-2018</t>
        </is>
      </c>
      <c r="B186" s="1" t="n">
        <v>43432</v>
      </c>
      <c r="C186" s="1" t="n">
        <v>45358</v>
      </c>
      <c r="D186" t="inlineStr">
        <is>
          <t>HALLANDS LÄN</t>
        </is>
      </c>
      <c r="E186" t="inlineStr">
        <is>
          <t>HYLTE</t>
        </is>
      </c>
      <c r="G186" t="n">
        <v>1.3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65190-2018</t>
        </is>
      </c>
      <c r="B187" s="1" t="n">
        <v>43432</v>
      </c>
      <c r="C187" s="1" t="n">
        <v>45358</v>
      </c>
      <c r="D187" t="inlineStr">
        <is>
          <t>HALLANDS LÄN</t>
        </is>
      </c>
      <c r="E187" t="inlineStr">
        <is>
          <t>KUNGSBACKA</t>
        </is>
      </c>
      <c r="G187" t="n">
        <v>1.7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65308-2018</t>
        </is>
      </c>
      <c r="B188" s="1" t="n">
        <v>43432</v>
      </c>
      <c r="C188" s="1" t="n">
        <v>45358</v>
      </c>
      <c r="D188" t="inlineStr">
        <is>
          <t>HALLANDS LÄN</t>
        </is>
      </c>
      <c r="E188" t="inlineStr">
        <is>
          <t>HYLTE</t>
        </is>
      </c>
      <c r="G188" t="n">
        <v>1.4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67306-2018</t>
        </is>
      </c>
      <c r="B189" s="1" t="n">
        <v>43432</v>
      </c>
      <c r="C189" s="1" t="n">
        <v>45358</v>
      </c>
      <c r="D189" t="inlineStr">
        <is>
          <t>HALLANDS LÄN</t>
        </is>
      </c>
      <c r="E189" t="inlineStr">
        <is>
          <t>HYLTE</t>
        </is>
      </c>
      <c r="G189" t="n">
        <v>1.1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65814-2018</t>
        </is>
      </c>
      <c r="B190" s="1" t="n">
        <v>43433</v>
      </c>
      <c r="C190" s="1" t="n">
        <v>45358</v>
      </c>
      <c r="D190" t="inlineStr">
        <is>
          <t>HALLANDS LÄN</t>
        </is>
      </c>
      <c r="E190" t="inlineStr">
        <is>
          <t>HYLTE</t>
        </is>
      </c>
      <c r="G190" t="n">
        <v>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65586-2018</t>
        </is>
      </c>
      <c r="B191" s="1" t="n">
        <v>43433</v>
      </c>
      <c r="C191" s="1" t="n">
        <v>45358</v>
      </c>
      <c r="D191" t="inlineStr">
        <is>
          <t>HALLANDS LÄN</t>
        </is>
      </c>
      <c r="E191" t="inlineStr">
        <is>
          <t>KUNGSBACKA</t>
        </is>
      </c>
      <c r="G191" t="n">
        <v>0.7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67631-2018</t>
        </is>
      </c>
      <c r="B192" s="1" t="n">
        <v>43433</v>
      </c>
      <c r="C192" s="1" t="n">
        <v>45358</v>
      </c>
      <c r="D192" t="inlineStr">
        <is>
          <t>HALLANDS LÄN</t>
        </is>
      </c>
      <c r="E192" t="inlineStr">
        <is>
          <t>HYLTE</t>
        </is>
      </c>
      <c r="G192" t="n">
        <v>8.5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67501-2018</t>
        </is>
      </c>
      <c r="B193" s="1" t="n">
        <v>43433</v>
      </c>
      <c r="C193" s="1" t="n">
        <v>45358</v>
      </c>
      <c r="D193" t="inlineStr">
        <is>
          <t>HALLANDS LÄN</t>
        </is>
      </c>
      <c r="E193" t="inlineStr">
        <is>
          <t>HYLTE</t>
        </is>
      </c>
      <c r="G193" t="n">
        <v>4.4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65624-2018</t>
        </is>
      </c>
      <c r="B194" s="1" t="n">
        <v>43433</v>
      </c>
      <c r="C194" s="1" t="n">
        <v>45358</v>
      </c>
      <c r="D194" t="inlineStr">
        <is>
          <t>HALLANDS LÄN</t>
        </is>
      </c>
      <c r="E194" t="inlineStr">
        <is>
          <t>HYLTE</t>
        </is>
      </c>
      <c r="G194" t="n">
        <v>2.6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65572-2018</t>
        </is>
      </c>
      <c r="B195" s="1" t="n">
        <v>43433</v>
      </c>
      <c r="C195" s="1" t="n">
        <v>45358</v>
      </c>
      <c r="D195" t="inlineStr">
        <is>
          <t>HALLANDS LÄN</t>
        </is>
      </c>
      <c r="E195" t="inlineStr">
        <is>
          <t>FALKENBERG</t>
        </is>
      </c>
      <c r="G195" t="n">
        <v>1.3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65367-2018</t>
        </is>
      </c>
      <c r="B196" s="1" t="n">
        <v>43433</v>
      </c>
      <c r="C196" s="1" t="n">
        <v>45358</v>
      </c>
      <c r="D196" t="inlineStr">
        <is>
          <t>HALLANDS LÄN</t>
        </is>
      </c>
      <c r="E196" t="inlineStr">
        <is>
          <t>LAHOLM</t>
        </is>
      </c>
      <c r="G196" t="n">
        <v>6.6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65928-2018</t>
        </is>
      </c>
      <c r="B197" s="1" t="n">
        <v>43434</v>
      </c>
      <c r="C197" s="1" t="n">
        <v>45358</v>
      </c>
      <c r="D197" t="inlineStr">
        <is>
          <t>HALLANDS LÄN</t>
        </is>
      </c>
      <c r="E197" t="inlineStr">
        <is>
          <t>VARBERG</t>
        </is>
      </c>
      <c r="G197" t="n">
        <v>1.4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66398-2018</t>
        </is>
      </c>
      <c r="B198" s="1" t="n">
        <v>43436</v>
      </c>
      <c r="C198" s="1" t="n">
        <v>45358</v>
      </c>
      <c r="D198" t="inlineStr">
        <is>
          <t>HALLANDS LÄN</t>
        </is>
      </c>
      <c r="E198" t="inlineStr">
        <is>
          <t>FALKENBERG</t>
        </is>
      </c>
      <c r="G198" t="n">
        <v>2.2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66397-2018</t>
        </is>
      </c>
      <c r="B199" s="1" t="n">
        <v>43436</v>
      </c>
      <c r="C199" s="1" t="n">
        <v>45358</v>
      </c>
      <c r="D199" t="inlineStr">
        <is>
          <t>HALLANDS LÄN</t>
        </is>
      </c>
      <c r="E199" t="inlineStr">
        <is>
          <t>FALKENBERG</t>
        </is>
      </c>
      <c r="G199" t="n">
        <v>5.9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66523-2018</t>
        </is>
      </c>
      <c r="B200" s="1" t="n">
        <v>43437</v>
      </c>
      <c r="C200" s="1" t="n">
        <v>45358</v>
      </c>
      <c r="D200" t="inlineStr">
        <is>
          <t>HALLANDS LÄN</t>
        </is>
      </c>
      <c r="E200" t="inlineStr">
        <is>
          <t>FALKENBERG</t>
        </is>
      </c>
      <c r="G200" t="n">
        <v>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66474-2018</t>
        </is>
      </c>
      <c r="B201" s="1" t="n">
        <v>43437</v>
      </c>
      <c r="C201" s="1" t="n">
        <v>45358</v>
      </c>
      <c r="D201" t="inlineStr">
        <is>
          <t>HALLANDS LÄN</t>
        </is>
      </c>
      <c r="E201" t="inlineStr">
        <is>
          <t>HYLTE</t>
        </is>
      </c>
      <c r="G201" t="n">
        <v>4.6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66520-2018</t>
        </is>
      </c>
      <c r="B202" s="1" t="n">
        <v>43437</v>
      </c>
      <c r="C202" s="1" t="n">
        <v>45358</v>
      </c>
      <c r="D202" t="inlineStr">
        <is>
          <t>HALLANDS LÄN</t>
        </is>
      </c>
      <c r="E202" t="inlineStr">
        <is>
          <t>HYLTE</t>
        </is>
      </c>
      <c r="G202" t="n">
        <v>2.1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66687-2018</t>
        </is>
      </c>
      <c r="B203" s="1" t="n">
        <v>43437</v>
      </c>
      <c r="C203" s="1" t="n">
        <v>45358</v>
      </c>
      <c r="D203" t="inlineStr">
        <is>
          <t>HALLANDS LÄN</t>
        </is>
      </c>
      <c r="E203" t="inlineStr">
        <is>
          <t>HYLTE</t>
        </is>
      </c>
      <c r="G203" t="n">
        <v>1.5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66418-2018</t>
        </is>
      </c>
      <c r="B204" s="1" t="n">
        <v>43437</v>
      </c>
      <c r="C204" s="1" t="n">
        <v>45358</v>
      </c>
      <c r="D204" t="inlineStr">
        <is>
          <t>HALLANDS LÄN</t>
        </is>
      </c>
      <c r="E204" t="inlineStr">
        <is>
          <t>KUNGSBACKA</t>
        </is>
      </c>
      <c r="G204" t="n">
        <v>0.9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66668-2018</t>
        </is>
      </c>
      <c r="B205" s="1" t="n">
        <v>43437</v>
      </c>
      <c r="C205" s="1" t="n">
        <v>45358</v>
      </c>
      <c r="D205" t="inlineStr">
        <is>
          <t>HALLANDS LÄN</t>
        </is>
      </c>
      <c r="E205" t="inlineStr">
        <is>
          <t>HYLTE</t>
        </is>
      </c>
      <c r="G205" t="n">
        <v>2.4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66518-2018</t>
        </is>
      </c>
      <c r="B206" s="1" t="n">
        <v>43437</v>
      </c>
      <c r="C206" s="1" t="n">
        <v>45358</v>
      </c>
      <c r="D206" t="inlineStr">
        <is>
          <t>HALLANDS LÄN</t>
        </is>
      </c>
      <c r="E206" t="inlineStr">
        <is>
          <t>HYLTE</t>
        </is>
      </c>
      <c r="G206" t="n">
        <v>0.6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67898-2018</t>
        </is>
      </c>
      <c r="B207" s="1" t="n">
        <v>43437</v>
      </c>
      <c r="C207" s="1" t="n">
        <v>45358</v>
      </c>
      <c r="D207" t="inlineStr">
        <is>
          <t>HALLANDS LÄN</t>
        </is>
      </c>
      <c r="E207" t="inlineStr">
        <is>
          <t>HYLTE</t>
        </is>
      </c>
      <c r="G207" t="n">
        <v>1.5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66968-2018</t>
        </is>
      </c>
      <c r="B208" s="1" t="n">
        <v>43438</v>
      </c>
      <c r="C208" s="1" t="n">
        <v>45358</v>
      </c>
      <c r="D208" t="inlineStr">
        <is>
          <t>HALLANDS LÄN</t>
        </is>
      </c>
      <c r="E208" t="inlineStr">
        <is>
          <t>VARBERG</t>
        </is>
      </c>
      <c r="G208" t="n">
        <v>3.9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68725-2018</t>
        </is>
      </c>
      <c r="B209" s="1" t="n">
        <v>43439</v>
      </c>
      <c r="C209" s="1" t="n">
        <v>45358</v>
      </c>
      <c r="D209" t="inlineStr">
        <is>
          <t>HALLANDS LÄN</t>
        </is>
      </c>
      <c r="E209" t="inlineStr">
        <is>
          <t>VARBERG</t>
        </is>
      </c>
      <c r="G209" t="n">
        <v>10.6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69504-2018</t>
        </is>
      </c>
      <c r="B210" s="1" t="n">
        <v>43440</v>
      </c>
      <c r="C210" s="1" t="n">
        <v>45358</v>
      </c>
      <c r="D210" t="inlineStr">
        <is>
          <t>HALLANDS LÄN</t>
        </is>
      </c>
      <c r="E210" t="inlineStr">
        <is>
          <t>LAHOLM</t>
        </is>
      </c>
      <c r="G210" t="n">
        <v>1.8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67824-2018</t>
        </is>
      </c>
      <c r="B211" s="1" t="n">
        <v>43440</v>
      </c>
      <c r="C211" s="1" t="n">
        <v>45358</v>
      </c>
      <c r="D211" t="inlineStr">
        <is>
          <t>HALLANDS LÄN</t>
        </is>
      </c>
      <c r="E211" t="inlineStr">
        <is>
          <t>LAHOLM</t>
        </is>
      </c>
      <c r="G211" t="n">
        <v>2.1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69457-2018</t>
        </is>
      </c>
      <c r="B212" s="1" t="n">
        <v>43440</v>
      </c>
      <c r="C212" s="1" t="n">
        <v>45358</v>
      </c>
      <c r="D212" t="inlineStr">
        <is>
          <t>HALLANDS LÄN</t>
        </is>
      </c>
      <c r="E212" t="inlineStr">
        <is>
          <t>LAHOLM</t>
        </is>
      </c>
      <c r="G212" t="n">
        <v>2.4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69008-2018</t>
        </is>
      </c>
      <c r="B213" s="1" t="n">
        <v>43441</v>
      </c>
      <c r="C213" s="1" t="n">
        <v>45358</v>
      </c>
      <c r="D213" t="inlineStr">
        <is>
          <t>HALLANDS LÄN</t>
        </is>
      </c>
      <c r="E213" t="inlineStr">
        <is>
          <t>HYLTE</t>
        </is>
      </c>
      <c r="G213" t="n">
        <v>1.9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69005-2018</t>
        </is>
      </c>
      <c r="B214" s="1" t="n">
        <v>43441</v>
      </c>
      <c r="C214" s="1" t="n">
        <v>45358</v>
      </c>
      <c r="D214" t="inlineStr">
        <is>
          <t>HALLANDS LÄN</t>
        </is>
      </c>
      <c r="E214" t="inlineStr">
        <is>
          <t>HYLTE</t>
        </is>
      </c>
      <c r="G214" t="n">
        <v>0.9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69699-2018</t>
        </is>
      </c>
      <c r="B215" s="1" t="n">
        <v>43444</v>
      </c>
      <c r="C215" s="1" t="n">
        <v>45358</v>
      </c>
      <c r="D215" t="inlineStr">
        <is>
          <t>HALLANDS LÄN</t>
        </is>
      </c>
      <c r="E215" t="inlineStr">
        <is>
          <t>HALMSTAD</t>
        </is>
      </c>
      <c r="G215" t="n">
        <v>0.7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69170-2018</t>
        </is>
      </c>
      <c r="B216" s="1" t="n">
        <v>43445</v>
      </c>
      <c r="C216" s="1" t="n">
        <v>45358</v>
      </c>
      <c r="D216" t="inlineStr">
        <is>
          <t>HALLANDS LÄN</t>
        </is>
      </c>
      <c r="E216" t="inlineStr">
        <is>
          <t>VARBERG</t>
        </is>
      </c>
      <c r="G216" t="n">
        <v>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69183-2018</t>
        </is>
      </c>
      <c r="B217" s="1" t="n">
        <v>43445</v>
      </c>
      <c r="C217" s="1" t="n">
        <v>45358</v>
      </c>
      <c r="D217" t="inlineStr">
        <is>
          <t>HALLANDS LÄN</t>
        </is>
      </c>
      <c r="E217" t="inlineStr">
        <is>
          <t>FALKENBERG</t>
        </is>
      </c>
      <c r="G217" t="n">
        <v>11.3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17034-2019</t>
        </is>
      </c>
      <c r="B218" s="1" t="n">
        <v>43445</v>
      </c>
      <c r="C218" s="1" t="n">
        <v>45358</v>
      </c>
      <c r="D218" t="inlineStr">
        <is>
          <t>HALLANDS LÄN</t>
        </is>
      </c>
      <c r="E218" t="inlineStr">
        <is>
          <t>HYLTE</t>
        </is>
      </c>
      <c r="G218" t="n">
        <v>1.1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70343-2018</t>
        </is>
      </c>
      <c r="B219" s="1" t="n">
        <v>43446</v>
      </c>
      <c r="C219" s="1" t="n">
        <v>45358</v>
      </c>
      <c r="D219" t="inlineStr">
        <is>
          <t>HALLANDS LÄN</t>
        </is>
      </c>
      <c r="E219" t="inlineStr">
        <is>
          <t>LAHOLM</t>
        </is>
      </c>
      <c r="G219" t="n">
        <v>0.4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69795-2018</t>
        </is>
      </c>
      <c r="B220" s="1" t="n">
        <v>43447</v>
      </c>
      <c r="C220" s="1" t="n">
        <v>45358</v>
      </c>
      <c r="D220" t="inlineStr">
        <is>
          <t>HALLANDS LÄN</t>
        </is>
      </c>
      <c r="E220" t="inlineStr">
        <is>
          <t>VARBERG</t>
        </is>
      </c>
      <c r="G220" t="n">
        <v>1.6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69628-2018</t>
        </is>
      </c>
      <c r="B221" s="1" t="n">
        <v>43447</v>
      </c>
      <c r="C221" s="1" t="n">
        <v>45358</v>
      </c>
      <c r="D221" t="inlineStr">
        <is>
          <t>HALLANDS LÄN</t>
        </is>
      </c>
      <c r="E221" t="inlineStr">
        <is>
          <t>HYLTE</t>
        </is>
      </c>
      <c r="G221" t="n">
        <v>5.2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69928-2018</t>
        </is>
      </c>
      <c r="B222" s="1" t="n">
        <v>43447</v>
      </c>
      <c r="C222" s="1" t="n">
        <v>45358</v>
      </c>
      <c r="D222" t="inlineStr">
        <is>
          <t>HALLANDS LÄN</t>
        </is>
      </c>
      <c r="E222" t="inlineStr">
        <is>
          <t>HYLTE</t>
        </is>
      </c>
      <c r="G222" t="n">
        <v>3.1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69756-2018</t>
        </is>
      </c>
      <c r="B223" s="1" t="n">
        <v>43447</v>
      </c>
      <c r="C223" s="1" t="n">
        <v>45358</v>
      </c>
      <c r="D223" t="inlineStr">
        <is>
          <t>HALLANDS LÄN</t>
        </is>
      </c>
      <c r="E223" t="inlineStr">
        <is>
          <t>HYLTE</t>
        </is>
      </c>
      <c r="G223" t="n">
        <v>1.7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69793-2018</t>
        </is>
      </c>
      <c r="B224" s="1" t="n">
        <v>43447</v>
      </c>
      <c r="C224" s="1" t="n">
        <v>45358</v>
      </c>
      <c r="D224" t="inlineStr">
        <is>
          <t>HALLANDS LÄN</t>
        </is>
      </c>
      <c r="E224" t="inlineStr">
        <is>
          <t>LAHOLM</t>
        </is>
      </c>
      <c r="G224" t="n">
        <v>2.8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70133-2018</t>
        </is>
      </c>
      <c r="B225" s="1" t="n">
        <v>43448</v>
      </c>
      <c r="C225" s="1" t="n">
        <v>45358</v>
      </c>
      <c r="D225" t="inlineStr">
        <is>
          <t>HALLANDS LÄN</t>
        </is>
      </c>
      <c r="E225" t="inlineStr">
        <is>
          <t>HALMSTAD</t>
        </is>
      </c>
      <c r="G225" t="n">
        <v>0.8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70632-2018</t>
        </is>
      </c>
      <c r="B226" s="1" t="n">
        <v>43451</v>
      </c>
      <c r="C226" s="1" t="n">
        <v>45358</v>
      </c>
      <c r="D226" t="inlineStr">
        <is>
          <t>HALLANDS LÄN</t>
        </is>
      </c>
      <c r="E226" t="inlineStr">
        <is>
          <t>VARBERG</t>
        </is>
      </c>
      <c r="G226" t="n">
        <v>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70740-2018</t>
        </is>
      </c>
      <c r="B227" s="1" t="n">
        <v>43451</v>
      </c>
      <c r="C227" s="1" t="n">
        <v>45358</v>
      </c>
      <c r="D227" t="inlineStr">
        <is>
          <t>HALLANDS LÄN</t>
        </is>
      </c>
      <c r="E227" t="inlineStr">
        <is>
          <t>VARBERG</t>
        </is>
      </c>
      <c r="G227" t="n">
        <v>2.7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70596-2018</t>
        </is>
      </c>
      <c r="B228" s="1" t="n">
        <v>43451</v>
      </c>
      <c r="C228" s="1" t="n">
        <v>45358</v>
      </c>
      <c r="D228" t="inlineStr">
        <is>
          <t>HALLANDS LÄN</t>
        </is>
      </c>
      <c r="E228" t="inlineStr">
        <is>
          <t>VARBERG</t>
        </is>
      </c>
      <c r="G228" t="n">
        <v>1.6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70501-2018</t>
        </is>
      </c>
      <c r="B229" s="1" t="n">
        <v>43451</v>
      </c>
      <c r="C229" s="1" t="n">
        <v>45358</v>
      </c>
      <c r="D229" t="inlineStr">
        <is>
          <t>HALLANDS LÄN</t>
        </is>
      </c>
      <c r="E229" t="inlineStr">
        <is>
          <t>VARBERG</t>
        </is>
      </c>
      <c r="G229" t="n">
        <v>0.9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71125-2018</t>
        </is>
      </c>
      <c r="B230" s="1" t="n">
        <v>43452</v>
      </c>
      <c r="C230" s="1" t="n">
        <v>45358</v>
      </c>
      <c r="D230" t="inlineStr">
        <is>
          <t>HALLANDS LÄN</t>
        </is>
      </c>
      <c r="E230" t="inlineStr">
        <is>
          <t>KUNGSBACKA</t>
        </is>
      </c>
      <c r="G230" t="n">
        <v>0.8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71130-2018</t>
        </is>
      </c>
      <c r="B231" s="1" t="n">
        <v>43452</v>
      </c>
      <c r="C231" s="1" t="n">
        <v>45358</v>
      </c>
      <c r="D231" t="inlineStr">
        <is>
          <t>HALLANDS LÄN</t>
        </is>
      </c>
      <c r="E231" t="inlineStr">
        <is>
          <t>VARBERG</t>
        </is>
      </c>
      <c r="G231" t="n">
        <v>1.5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71585-2018</t>
        </is>
      </c>
      <c r="B232" s="1" t="n">
        <v>43452</v>
      </c>
      <c r="C232" s="1" t="n">
        <v>45358</v>
      </c>
      <c r="D232" t="inlineStr">
        <is>
          <t>HALLANDS LÄN</t>
        </is>
      </c>
      <c r="E232" t="inlineStr">
        <is>
          <t>FALKENBERG</t>
        </is>
      </c>
      <c r="G232" t="n">
        <v>4.7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71644-2018</t>
        </is>
      </c>
      <c r="B233" s="1" t="n">
        <v>43452</v>
      </c>
      <c r="C233" s="1" t="n">
        <v>45358</v>
      </c>
      <c r="D233" t="inlineStr">
        <is>
          <t>HALLANDS LÄN</t>
        </is>
      </c>
      <c r="E233" t="inlineStr">
        <is>
          <t>FALKENBERG</t>
        </is>
      </c>
      <c r="G233" t="n">
        <v>16.8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71129-2018</t>
        </is>
      </c>
      <c r="B234" s="1" t="n">
        <v>43452</v>
      </c>
      <c r="C234" s="1" t="n">
        <v>45358</v>
      </c>
      <c r="D234" t="inlineStr">
        <is>
          <t>HALLANDS LÄN</t>
        </is>
      </c>
      <c r="E234" t="inlineStr">
        <is>
          <t>VARBERG</t>
        </is>
      </c>
      <c r="G234" t="n">
        <v>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71126-2018</t>
        </is>
      </c>
      <c r="B235" s="1" t="n">
        <v>43452</v>
      </c>
      <c r="C235" s="1" t="n">
        <v>45358</v>
      </c>
      <c r="D235" t="inlineStr">
        <is>
          <t>HALLANDS LÄN</t>
        </is>
      </c>
      <c r="E235" t="inlineStr">
        <is>
          <t>KUNGSBACKA</t>
        </is>
      </c>
      <c r="G235" t="n">
        <v>4.7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70934-2018</t>
        </is>
      </c>
      <c r="B236" s="1" t="n">
        <v>43452</v>
      </c>
      <c r="C236" s="1" t="n">
        <v>45358</v>
      </c>
      <c r="D236" t="inlineStr">
        <is>
          <t>HALLANDS LÄN</t>
        </is>
      </c>
      <c r="E236" t="inlineStr">
        <is>
          <t>FALKENBERG</t>
        </is>
      </c>
      <c r="G236" t="n">
        <v>1.8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71607-2018</t>
        </is>
      </c>
      <c r="B237" s="1" t="n">
        <v>43452</v>
      </c>
      <c r="C237" s="1" t="n">
        <v>45358</v>
      </c>
      <c r="D237" t="inlineStr">
        <is>
          <t>HALLANDS LÄN</t>
        </is>
      </c>
      <c r="E237" t="inlineStr">
        <is>
          <t>FALKENBERG</t>
        </is>
      </c>
      <c r="G237" t="n">
        <v>6.1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71339-2018</t>
        </is>
      </c>
      <c r="B238" s="1" t="n">
        <v>43453</v>
      </c>
      <c r="C238" s="1" t="n">
        <v>45358</v>
      </c>
      <c r="D238" t="inlineStr">
        <is>
          <t>HALLANDS LÄN</t>
        </is>
      </c>
      <c r="E238" t="inlineStr">
        <is>
          <t>HALMSTAD</t>
        </is>
      </c>
      <c r="G238" t="n">
        <v>0.8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71431-2018</t>
        </is>
      </c>
      <c r="B239" s="1" t="n">
        <v>43453</v>
      </c>
      <c r="C239" s="1" t="n">
        <v>45358</v>
      </c>
      <c r="D239" t="inlineStr">
        <is>
          <t>HALLANDS LÄN</t>
        </is>
      </c>
      <c r="E239" t="inlineStr">
        <is>
          <t>VARBERG</t>
        </is>
      </c>
      <c r="G239" t="n">
        <v>0.6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71438-2018</t>
        </is>
      </c>
      <c r="B240" s="1" t="n">
        <v>43453</v>
      </c>
      <c r="C240" s="1" t="n">
        <v>45358</v>
      </c>
      <c r="D240" t="inlineStr">
        <is>
          <t>HALLANDS LÄN</t>
        </is>
      </c>
      <c r="E240" t="inlineStr">
        <is>
          <t>KUNGSBACKA</t>
        </is>
      </c>
      <c r="G240" t="n">
        <v>0.3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71435-2018</t>
        </is>
      </c>
      <c r="B241" s="1" t="n">
        <v>43453</v>
      </c>
      <c r="C241" s="1" t="n">
        <v>45358</v>
      </c>
      <c r="D241" t="inlineStr">
        <is>
          <t>HALLANDS LÄN</t>
        </is>
      </c>
      <c r="E241" t="inlineStr">
        <is>
          <t>VARBERG</t>
        </is>
      </c>
      <c r="G241" t="n">
        <v>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71618-2018</t>
        </is>
      </c>
      <c r="B242" s="1" t="n">
        <v>43454</v>
      </c>
      <c r="C242" s="1" t="n">
        <v>45358</v>
      </c>
      <c r="D242" t="inlineStr">
        <is>
          <t>HALLANDS LÄN</t>
        </is>
      </c>
      <c r="E242" t="inlineStr">
        <is>
          <t>HYLTE</t>
        </is>
      </c>
      <c r="G242" t="n">
        <v>0.5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72051-2018</t>
        </is>
      </c>
      <c r="B243" s="1" t="n">
        <v>43455</v>
      </c>
      <c r="C243" s="1" t="n">
        <v>45358</v>
      </c>
      <c r="D243" t="inlineStr">
        <is>
          <t>HALLANDS LÄN</t>
        </is>
      </c>
      <c r="E243" t="inlineStr">
        <is>
          <t>KUNGSBACKA</t>
        </is>
      </c>
      <c r="F243" t="inlineStr">
        <is>
          <t>Kommuner</t>
        </is>
      </c>
      <c r="G243" t="n">
        <v>2.8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71933-2018</t>
        </is>
      </c>
      <c r="B244" s="1" t="n">
        <v>43455</v>
      </c>
      <c r="C244" s="1" t="n">
        <v>45358</v>
      </c>
      <c r="D244" t="inlineStr">
        <is>
          <t>HALLANDS LÄN</t>
        </is>
      </c>
      <c r="E244" t="inlineStr">
        <is>
          <t>FALKENBERG</t>
        </is>
      </c>
      <c r="G244" t="n">
        <v>0.5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72097-2018</t>
        </is>
      </c>
      <c r="B245" s="1" t="n">
        <v>43455</v>
      </c>
      <c r="C245" s="1" t="n">
        <v>45358</v>
      </c>
      <c r="D245" t="inlineStr">
        <is>
          <t>HALLANDS LÄN</t>
        </is>
      </c>
      <c r="E245" t="inlineStr">
        <is>
          <t>VARBERG</t>
        </is>
      </c>
      <c r="G245" t="n">
        <v>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71921-2018</t>
        </is>
      </c>
      <c r="B246" s="1" t="n">
        <v>43455</v>
      </c>
      <c r="C246" s="1" t="n">
        <v>45358</v>
      </c>
      <c r="D246" t="inlineStr">
        <is>
          <t>HALLANDS LÄN</t>
        </is>
      </c>
      <c r="E246" t="inlineStr">
        <is>
          <t>FALKENBERG</t>
        </is>
      </c>
      <c r="G246" t="n">
        <v>2.2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71919-2018</t>
        </is>
      </c>
      <c r="B247" s="1" t="n">
        <v>43455</v>
      </c>
      <c r="C247" s="1" t="n">
        <v>45358</v>
      </c>
      <c r="D247" t="inlineStr">
        <is>
          <t>HALLANDS LÄN</t>
        </is>
      </c>
      <c r="E247" t="inlineStr">
        <is>
          <t>FALKENBERG</t>
        </is>
      </c>
      <c r="G247" t="n">
        <v>13.9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1807-2019</t>
        </is>
      </c>
      <c r="B248" s="1" t="n">
        <v>43462</v>
      </c>
      <c r="C248" s="1" t="n">
        <v>45358</v>
      </c>
      <c r="D248" t="inlineStr">
        <is>
          <t>HALLANDS LÄN</t>
        </is>
      </c>
      <c r="E248" t="inlineStr">
        <is>
          <t>FALKENBERG</t>
        </is>
      </c>
      <c r="G248" t="n">
        <v>4.3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72491-2018</t>
        </is>
      </c>
      <c r="B249" s="1" t="n">
        <v>43462</v>
      </c>
      <c r="C249" s="1" t="n">
        <v>45358</v>
      </c>
      <c r="D249" t="inlineStr">
        <is>
          <t>HALLANDS LÄN</t>
        </is>
      </c>
      <c r="E249" t="inlineStr">
        <is>
          <t>VARBERG</t>
        </is>
      </c>
      <c r="G249" t="n">
        <v>1.2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104-2019</t>
        </is>
      </c>
      <c r="B250" s="1" t="n">
        <v>43467</v>
      </c>
      <c r="C250" s="1" t="n">
        <v>45358</v>
      </c>
      <c r="D250" t="inlineStr">
        <is>
          <t>HALLANDS LÄN</t>
        </is>
      </c>
      <c r="E250" t="inlineStr">
        <is>
          <t>HYLTE</t>
        </is>
      </c>
      <c r="G250" t="n">
        <v>0.6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63-2019</t>
        </is>
      </c>
      <c r="B251" s="1" t="n">
        <v>43467</v>
      </c>
      <c r="C251" s="1" t="n">
        <v>45358</v>
      </c>
      <c r="D251" t="inlineStr">
        <is>
          <t>HALLANDS LÄN</t>
        </is>
      </c>
      <c r="E251" t="inlineStr">
        <is>
          <t>HYLTE</t>
        </is>
      </c>
      <c r="G251" t="n">
        <v>0.5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189-2019</t>
        </is>
      </c>
      <c r="B252" s="1" t="n">
        <v>43467</v>
      </c>
      <c r="C252" s="1" t="n">
        <v>45358</v>
      </c>
      <c r="D252" t="inlineStr">
        <is>
          <t>HALLANDS LÄN</t>
        </is>
      </c>
      <c r="E252" t="inlineStr">
        <is>
          <t>HYLTE</t>
        </is>
      </c>
      <c r="G252" t="n">
        <v>0.5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69-2019</t>
        </is>
      </c>
      <c r="B253" s="1" t="n">
        <v>43467</v>
      </c>
      <c r="C253" s="1" t="n">
        <v>45358</v>
      </c>
      <c r="D253" t="inlineStr">
        <is>
          <t>HALLANDS LÄN</t>
        </is>
      </c>
      <c r="E253" t="inlineStr">
        <is>
          <t>HYLTE</t>
        </is>
      </c>
      <c r="G253" t="n">
        <v>3.4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446-2019</t>
        </is>
      </c>
      <c r="B254" s="1" t="n">
        <v>43468</v>
      </c>
      <c r="C254" s="1" t="n">
        <v>45358</v>
      </c>
      <c r="D254" t="inlineStr">
        <is>
          <t>HALLANDS LÄN</t>
        </is>
      </c>
      <c r="E254" t="inlineStr">
        <is>
          <t>HYLTE</t>
        </is>
      </c>
      <c r="G254" t="n">
        <v>3.8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450-2019</t>
        </is>
      </c>
      <c r="B255" s="1" t="n">
        <v>43468</v>
      </c>
      <c r="C255" s="1" t="n">
        <v>45358</v>
      </c>
      <c r="D255" t="inlineStr">
        <is>
          <t>HALLANDS LÄN</t>
        </is>
      </c>
      <c r="E255" t="inlineStr">
        <is>
          <t>HYLTE</t>
        </is>
      </c>
      <c r="G255" t="n">
        <v>0.6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312-2019</t>
        </is>
      </c>
      <c r="B256" s="1" t="n">
        <v>43468</v>
      </c>
      <c r="C256" s="1" t="n">
        <v>45358</v>
      </c>
      <c r="D256" t="inlineStr">
        <is>
          <t>HALLANDS LÄN</t>
        </is>
      </c>
      <c r="E256" t="inlineStr">
        <is>
          <t>VARBERG</t>
        </is>
      </c>
      <c r="G256" t="n">
        <v>1.2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300-2019</t>
        </is>
      </c>
      <c r="B257" s="1" t="n">
        <v>43468</v>
      </c>
      <c r="C257" s="1" t="n">
        <v>45358</v>
      </c>
      <c r="D257" t="inlineStr">
        <is>
          <t>HALLANDS LÄN</t>
        </is>
      </c>
      <c r="E257" t="inlineStr">
        <is>
          <t>VARBERG</t>
        </is>
      </c>
      <c r="G257" t="n">
        <v>0.8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442-2019</t>
        </is>
      </c>
      <c r="B258" s="1" t="n">
        <v>43468</v>
      </c>
      <c r="C258" s="1" t="n">
        <v>45358</v>
      </c>
      <c r="D258" t="inlineStr">
        <is>
          <t>HALLANDS LÄN</t>
        </is>
      </c>
      <c r="E258" t="inlineStr">
        <is>
          <t>VARBERG</t>
        </is>
      </c>
      <c r="G258" t="n">
        <v>3.2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449-2019</t>
        </is>
      </c>
      <c r="B259" s="1" t="n">
        <v>43468</v>
      </c>
      <c r="C259" s="1" t="n">
        <v>45358</v>
      </c>
      <c r="D259" t="inlineStr">
        <is>
          <t>HALLANDS LÄN</t>
        </is>
      </c>
      <c r="E259" t="inlineStr">
        <is>
          <t>HYLTE</t>
        </is>
      </c>
      <c r="G259" t="n">
        <v>0.5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275-2019</t>
        </is>
      </c>
      <c r="B260" s="1" t="n">
        <v>43468</v>
      </c>
      <c r="C260" s="1" t="n">
        <v>45358</v>
      </c>
      <c r="D260" t="inlineStr">
        <is>
          <t>HALLANDS LÄN</t>
        </is>
      </c>
      <c r="E260" t="inlineStr">
        <is>
          <t>HALMSTAD</t>
        </is>
      </c>
      <c r="G260" t="n">
        <v>1.4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613-2019</t>
        </is>
      </c>
      <c r="B261" s="1" t="n">
        <v>43469</v>
      </c>
      <c r="C261" s="1" t="n">
        <v>45358</v>
      </c>
      <c r="D261" t="inlineStr">
        <is>
          <t>HALLANDS LÄN</t>
        </is>
      </c>
      <c r="E261" t="inlineStr">
        <is>
          <t>VARBERG</t>
        </is>
      </c>
      <c r="G261" t="n">
        <v>0.8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771-2019</t>
        </is>
      </c>
      <c r="B262" s="1" t="n">
        <v>43472</v>
      </c>
      <c r="C262" s="1" t="n">
        <v>45358</v>
      </c>
      <c r="D262" t="inlineStr">
        <is>
          <t>HALLANDS LÄN</t>
        </is>
      </c>
      <c r="E262" t="inlineStr">
        <is>
          <t>HYLTE</t>
        </is>
      </c>
      <c r="G262" t="n">
        <v>4.2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772-2019</t>
        </is>
      </c>
      <c r="B263" s="1" t="n">
        <v>43472</v>
      </c>
      <c r="C263" s="1" t="n">
        <v>45358</v>
      </c>
      <c r="D263" t="inlineStr">
        <is>
          <t>HALLANDS LÄN</t>
        </is>
      </c>
      <c r="E263" t="inlineStr">
        <is>
          <t>HYLTE</t>
        </is>
      </c>
      <c r="G263" t="n">
        <v>2.9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779-2019</t>
        </is>
      </c>
      <c r="B264" s="1" t="n">
        <v>43472</v>
      </c>
      <c r="C264" s="1" t="n">
        <v>45358</v>
      </c>
      <c r="D264" t="inlineStr">
        <is>
          <t>HALLANDS LÄN</t>
        </is>
      </c>
      <c r="E264" t="inlineStr">
        <is>
          <t>HYLTE</t>
        </is>
      </c>
      <c r="G264" t="n">
        <v>1.7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921-2019</t>
        </is>
      </c>
      <c r="B265" s="1" t="n">
        <v>43472</v>
      </c>
      <c r="C265" s="1" t="n">
        <v>45358</v>
      </c>
      <c r="D265" t="inlineStr">
        <is>
          <t>HALLANDS LÄN</t>
        </is>
      </c>
      <c r="E265" t="inlineStr">
        <is>
          <t>KUNGSBACKA</t>
        </is>
      </c>
      <c r="G265" t="n">
        <v>2.9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982-2019</t>
        </is>
      </c>
      <c r="B266" s="1" t="n">
        <v>43472</v>
      </c>
      <c r="C266" s="1" t="n">
        <v>45358</v>
      </c>
      <c r="D266" t="inlineStr">
        <is>
          <t>HALLANDS LÄN</t>
        </is>
      </c>
      <c r="E266" t="inlineStr">
        <is>
          <t>VARBERG</t>
        </is>
      </c>
      <c r="G266" t="n">
        <v>3.8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1004-2019</t>
        </is>
      </c>
      <c r="B267" s="1" t="n">
        <v>43472</v>
      </c>
      <c r="C267" s="1" t="n">
        <v>45358</v>
      </c>
      <c r="D267" t="inlineStr">
        <is>
          <t>HALLANDS LÄN</t>
        </is>
      </c>
      <c r="E267" t="inlineStr">
        <is>
          <t>VARBERG</t>
        </is>
      </c>
      <c r="G267" t="n">
        <v>5.4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2778-2019</t>
        </is>
      </c>
      <c r="B268" s="1" t="n">
        <v>43472</v>
      </c>
      <c r="C268" s="1" t="n">
        <v>45358</v>
      </c>
      <c r="D268" t="inlineStr">
        <is>
          <t>HALLANDS LÄN</t>
        </is>
      </c>
      <c r="E268" t="inlineStr">
        <is>
          <t>HALMSTAD</t>
        </is>
      </c>
      <c r="G268" t="n">
        <v>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2852-2019</t>
        </is>
      </c>
      <c r="B269" s="1" t="n">
        <v>43472</v>
      </c>
      <c r="C269" s="1" t="n">
        <v>45358</v>
      </c>
      <c r="D269" t="inlineStr">
        <is>
          <t>HALLANDS LÄN</t>
        </is>
      </c>
      <c r="E269" t="inlineStr">
        <is>
          <t>KUNGSBACKA</t>
        </is>
      </c>
      <c r="G269" t="n">
        <v>1.6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1087-2019</t>
        </is>
      </c>
      <c r="B270" s="1" t="n">
        <v>43472</v>
      </c>
      <c r="C270" s="1" t="n">
        <v>45358</v>
      </c>
      <c r="D270" t="inlineStr">
        <is>
          <t>HALLANDS LÄN</t>
        </is>
      </c>
      <c r="E270" t="inlineStr">
        <is>
          <t>VARBERG</t>
        </is>
      </c>
      <c r="G270" t="n">
        <v>7.4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999-2019</t>
        </is>
      </c>
      <c r="B271" s="1" t="n">
        <v>43472</v>
      </c>
      <c r="C271" s="1" t="n">
        <v>45358</v>
      </c>
      <c r="D271" t="inlineStr">
        <is>
          <t>HALLANDS LÄN</t>
        </is>
      </c>
      <c r="E271" t="inlineStr">
        <is>
          <t>VARBERG</t>
        </is>
      </c>
      <c r="G271" t="n">
        <v>8.6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2942-2019</t>
        </is>
      </c>
      <c r="B272" s="1" t="n">
        <v>43472</v>
      </c>
      <c r="C272" s="1" t="n">
        <v>45358</v>
      </c>
      <c r="D272" t="inlineStr">
        <is>
          <t>HALLANDS LÄN</t>
        </is>
      </c>
      <c r="E272" t="inlineStr">
        <is>
          <t>HALMSTAD</t>
        </is>
      </c>
      <c r="F272" t="inlineStr">
        <is>
          <t>Sveaskog</t>
        </is>
      </c>
      <c r="G272" t="n">
        <v>7.4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769-2019</t>
        </is>
      </c>
      <c r="B273" s="1" t="n">
        <v>43472</v>
      </c>
      <c r="C273" s="1" t="n">
        <v>45358</v>
      </c>
      <c r="D273" t="inlineStr">
        <is>
          <t>HALLANDS LÄN</t>
        </is>
      </c>
      <c r="E273" t="inlineStr">
        <is>
          <t>HYLTE</t>
        </is>
      </c>
      <c r="G273" t="n">
        <v>3.3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990-2019</t>
        </is>
      </c>
      <c r="B274" s="1" t="n">
        <v>43472</v>
      </c>
      <c r="C274" s="1" t="n">
        <v>45358</v>
      </c>
      <c r="D274" t="inlineStr">
        <is>
          <t>HALLANDS LÄN</t>
        </is>
      </c>
      <c r="E274" t="inlineStr">
        <is>
          <t>VARBERG</t>
        </is>
      </c>
      <c r="G274" t="n">
        <v>6.4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2774-2019</t>
        </is>
      </c>
      <c r="B275" s="1" t="n">
        <v>43472</v>
      </c>
      <c r="C275" s="1" t="n">
        <v>45358</v>
      </c>
      <c r="D275" t="inlineStr">
        <is>
          <t>HALLANDS LÄN</t>
        </is>
      </c>
      <c r="E275" t="inlineStr">
        <is>
          <t>KUNGSBACKA</t>
        </is>
      </c>
      <c r="G275" t="n">
        <v>0.5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2172-2019</t>
        </is>
      </c>
      <c r="B276" s="1" t="n">
        <v>43472</v>
      </c>
      <c r="C276" s="1" t="n">
        <v>45358</v>
      </c>
      <c r="D276" t="inlineStr">
        <is>
          <t>HALLANDS LÄN</t>
        </is>
      </c>
      <c r="E276" t="inlineStr">
        <is>
          <t>KUNGSBACKA</t>
        </is>
      </c>
      <c r="G276" t="n">
        <v>0.9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782-2019</t>
        </is>
      </c>
      <c r="B277" s="1" t="n">
        <v>43472</v>
      </c>
      <c r="C277" s="1" t="n">
        <v>45358</v>
      </c>
      <c r="D277" t="inlineStr">
        <is>
          <t>HALLANDS LÄN</t>
        </is>
      </c>
      <c r="E277" t="inlineStr">
        <is>
          <t>HYLTE</t>
        </is>
      </c>
      <c r="G277" t="n">
        <v>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1281-2019</t>
        </is>
      </c>
      <c r="B278" s="1" t="n">
        <v>43473</v>
      </c>
      <c r="C278" s="1" t="n">
        <v>45358</v>
      </c>
      <c r="D278" t="inlineStr">
        <is>
          <t>HALLANDS LÄN</t>
        </is>
      </c>
      <c r="E278" t="inlineStr">
        <is>
          <t>HYLTE</t>
        </is>
      </c>
      <c r="G278" t="n">
        <v>3.2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1387-2019</t>
        </is>
      </c>
      <c r="B279" s="1" t="n">
        <v>43473</v>
      </c>
      <c r="C279" s="1" t="n">
        <v>45358</v>
      </c>
      <c r="D279" t="inlineStr">
        <is>
          <t>HALLANDS LÄN</t>
        </is>
      </c>
      <c r="E279" t="inlineStr">
        <is>
          <t>HYLTE</t>
        </is>
      </c>
      <c r="G279" t="n">
        <v>3.5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1168-2019</t>
        </is>
      </c>
      <c r="B280" s="1" t="n">
        <v>43473</v>
      </c>
      <c r="C280" s="1" t="n">
        <v>45358</v>
      </c>
      <c r="D280" t="inlineStr">
        <is>
          <t>HALLANDS LÄN</t>
        </is>
      </c>
      <c r="E280" t="inlineStr">
        <is>
          <t>FALKENBERG</t>
        </is>
      </c>
      <c r="G280" t="n">
        <v>0.7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1422-2019</t>
        </is>
      </c>
      <c r="B281" s="1" t="n">
        <v>43473</v>
      </c>
      <c r="C281" s="1" t="n">
        <v>45358</v>
      </c>
      <c r="D281" t="inlineStr">
        <is>
          <t>HALLANDS LÄN</t>
        </is>
      </c>
      <c r="E281" t="inlineStr">
        <is>
          <t>HYLTE</t>
        </is>
      </c>
      <c r="G281" t="n">
        <v>2.4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1287-2019</t>
        </is>
      </c>
      <c r="B282" s="1" t="n">
        <v>43473</v>
      </c>
      <c r="C282" s="1" t="n">
        <v>45358</v>
      </c>
      <c r="D282" t="inlineStr">
        <is>
          <t>HALLANDS LÄN</t>
        </is>
      </c>
      <c r="E282" t="inlineStr">
        <is>
          <t>HYLTE</t>
        </is>
      </c>
      <c r="G282" t="n">
        <v>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2094-2019</t>
        </is>
      </c>
      <c r="B283" s="1" t="n">
        <v>43475</v>
      </c>
      <c r="C283" s="1" t="n">
        <v>45358</v>
      </c>
      <c r="D283" t="inlineStr">
        <is>
          <t>HALLANDS LÄN</t>
        </is>
      </c>
      <c r="E283" t="inlineStr">
        <is>
          <t>HYLTE</t>
        </is>
      </c>
      <c r="G283" t="n">
        <v>0.5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1903-2019</t>
        </is>
      </c>
      <c r="B284" s="1" t="n">
        <v>43475</v>
      </c>
      <c r="C284" s="1" t="n">
        <v>45358</v>
      </c>
      <c r="D284" t="inlineStr">
        <is>
          <t>HALLANDS LÄN</t>
        </is>
      </c>
      <c r="E284" t="inlineStr">
        <is>
          <t>FALKENBERG</t>
        </is>
      </c>
      <c r="G284" t="n">
        <v>7.9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2103-2019</t>
        </is>
      </c>
      <c r="B285" s="1" t="n">
        <v>43475</v>
      </c>
      <c r="C285" s="1" t="n">
        <v>45358</v>
      </c>
      <c r="D285" t="inlineStr">
        <is>
          <t>HALLANDS LÄN</t>
        </is>
      </c>
      <c r="E285" t="inlineStr">
        <is>
          <t>HYLTE</t>
        </is>
      </c>
      <c r="G285" t="n">
        <v>0.3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2167-2019</t>
        </is>
      </c>
      <c r="B286" s="1" t="n">
        <v>43475</v>
      </c>
      <c r="C286" s="1" t="n">
        <v>45358</v>
      </c>
      <c r="D286" t="inlineStr">
        <is>
          <t>HALLANDS LÄN</t>
        </is>
      </c>
      <c r="E286" t="inlineStr">
        <is>
          <t>VARBERG</t>
        </is>
      </c>
      <c r="G286" t="n">
        <v>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2166-2019</t>
        </is>
      </c>
      <c r="B287" s="1" t="n">
        <v>43475</v>
      </c>
      <c r="C287" s="1" t="n">
        <v>45358</v>
      </c>
      <c r="D287" t="inlineStr">
        <is>
          <t>HALLANDS LÄN</t>
        </is>
      </c>
      <c r="E287" t="inlineStr">
        <is>
          <t>VARBERG</t>
        </is>
      </c>
      <c r="G287" t="n">
        <v>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2099-2019</t>
        </is>
      </c>
      <c r="B288" s="1" t="n">
        <v>43475</v>
      </c>
      <c r="C288" s="1" t="n">
        <v>45358</v>
      </c>
      <c r="D288" t="inlineStr">
        <is>
          <t>HALLANDS LÄN</t>
        </is>
      </c>
      <c r="E288" t="inlineStr">
        <is>
          <t>HYLTE</t>
        </is>
      </c>
      <c r="G288" t="n">
        <v>1.2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1995-2019</t>
        </is>
      </c>
      <c r="B289" s="1" t="n">
        <v>43475</v>
      </c>
      <c r="C289" s="1" t="n">
        <v>45358</v>
      </c>
      <c r="D289" t="inlineStr">
        <is>
          <t>HALLANDS LÄN</t>
        </is>
      </c>
      <c r="E289" t="inlineStr">
        <is>
          <t>LAHOLM</t>
        </is>
      </c>
      <c r="G289" t="n">
        <v>1.9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2475-2019</t>
        </is>
      </c>
      <c r="B290" s="1" t="n">
        <v>43476</v>
      </c>
      <c r="C290" s="1" t="n">
        <v>45358</v>
      </c>
      <c r="D290" t="inlineStr">
        <is>
          <t>HALLANDS LÄN</t>
        </is>
      </c>
      <c r="E290" t="inlineStr">
        <is>
          <t>VARBERG</t>
        </is>
      </c>
      <c r="G290" t="n">
        <v>2.1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2499-2019</t>
        </is>
      </c>
      <c r="B291" s="1" t="n">
        <v>43476</v>
      </c>
      <c r="C291" s="1" t="n">
        <v>45358</v>
      </c>
      <c r="D291" t="inlineStr">
        <is>
          <t>HALLANDS LÄN</t>
        </is>
      </c>
      <c r="E291" t="inlineStr">
        <is>
          <t>KUNGSBACKA</t>
        </is>
      </c>
      <c r="G291" t="n">
        <v>1.2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2539-2019</t>
        </is>
      </c>
      <c r="B292" s="1" t="n">
        <v>43476</v>
      </c>
      <c r="C292" s="1" t="n">
        <v>45358</v>
      </c>
      <c r="D292" t="inlineStr">
        <is>
          <t>HALLANDS LÄN</t>
        </is>
      </c>
      <c r="E292" t="inlineStr">
        <is>
          <t>HYLTE</t>
        </is>
      </c>
      <c r="G292" t="n">
        <v>3.4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2630-2019</t>
        </is>
      </c>
      <c r="B293" s="1" t="n">
        <v>43478</v>
      </c>
      <c r="C293" s="1" t="n">
        <v>45358</v>
      </c>
      <c r="D293" t="inlineStr">
        <is>
          <t>HALLANDS LÄN</t>
        </is>
      </c>
      <c r="E293" t="inlineStr">
        <is>
          <t>VARBERG</t>
        </is>
      </c>
      <c r="G293" t="n">
        <v>2.9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2858-2019</t>
        </is>
      </c>
      <c r="B294" s="1" t="n">
        <v>43479</v>
      </c>
      <c r="C294" s="1" t="n">
        <v>45358</v>
      </c>
      <c r="D294" t="inlineStr">
        <is>
          <t>HALLANDS LÄN</t>
        </is>
      </c>
      <c r="E294" t="inlineStr">
        <is>
          <t>HYLTE</t>
        </is>
      </c>
      <c r="G294" t="n">
        <v>0.5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2828-2019</t>
        </is>
      </c>
      <c r="B295" s="1" t="n">
        <v>43479</v>
      </c>
      <c r="C295" s="1" t="n">
        <v>45358</v>
      </c>
      <c r="D295" t="inlineStr">
        <is>
          <t>HALLANDS LÄN</t>
        </is>
      </c>
      <c r="E295" t="inlineStr">
        <is>
          <t>FALKENBERG</t>
        </is>
      </c>
      <c r="G295" t="n">
        <v>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2861-2019</t>
        </is>
      </c>
      <c r="B296" s="1" t="n">
        <v>43479</v>
      </c>
      <c r="C296" s="1" t="n">
        <v>45358</v>
      </c>
      <c r="D296" t="inlineStr">
        <is>
          <t>HALLANDS LÄN</t>
        </is>
      </c>
      <c r="E296" t="inlineStr">
        <is>
          <t>HYLTE</t>
        </is>
      </c>
      <c r="G296" t="n">
        <v>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2907-2019</t>
        </is>
      </c>
      <c r="B297" s="1" t="n">
        <v>43479</v>
      </c>
      <c r="C297" s="1" t="n">
        <v>45358</v>
      </c>
      <c r="D297" t="inlineStr">
        <is>
          <t>HALLANDS LÄN</t>
        </is>
      </c>
      <c r="E297" t="inlineStr">
        <is>
          <t>FALKENBERG</t>
        </is>
      </c>
      <c r="G297" t="n">
        <v>1.6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3750-2019</t>
        </is>
      </c>
      <c r="B298" s="1" t="n">
        <v>43481</v>
      </c>
      <c r="C298" s="1" t="n">
        <v>45358</v>
      </c>
      <c r="D298" t="inlineStr">
        <is>
          <t>HALLANDS LÄN</t>
        </is>
      </c>
      <c r="E298" t="inlineStr">
        <is>
          <t>VARBERG</t>
        </is>
      </c>
      <c r="G298" t="n">
        <v>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3676-2019</t>
        </is>
      </c>
      <c r="B299" s="1" t="n">
        <v>43481</v>
      </c>
      <c r="C299" s="1" t="n">
        <v>45358</v>
      </c>
      <c r="D299" t="inlineStr">
        <is>
          <t>HALLANDS LÄN</t>
        </is>
      </c>
      <c r="E299" t="inlineStr">
        <is>
          <t>VARBERG</t>
        </is>
      </c>
      <c r="G299" t="n">
        <v>5.3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5659-2019</t>
        </is>
      </c>
      <c r="B300" s="1" t="n">
        <v>43482</v>
      </c>
      <c r="C300" s="1" t="n">
        <v>45358</v>
      </c>
      <c r="D300" t="inlineStr">
        <is>
          <t>HALLANDS LÄN</t>
        </is>
      </c>
      <c r="E300" t="inlineStr">
        <is>
          <t>HYLTE</t>
        </is>
      </c>
      <c r="G300" t="n">
        <v>1.2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3953-2019</t>
        </is>
      </c>
      <c r="B301" s="1" t="n">
        <v>43482</v>
      </c>
      <c r="C301" s="1" t="n">
        <v>45358</v>
      </c>
      <c r="D301" t="inlineStr">
        <is>
          <t>HALLANDS LÄN</t>
        </is>
      </c>
      <c r="E301" t="inlineStr">
        <is>
          <t>VARBERG</t>
        </is>
      </c>
      <c r="G301" t="n">
        <v>0.9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4333-2019</t>
        </is>
      </c>
      <c r="B302" s="1" t="n">
        <v>43483</v>
      </c>
      <c r="C302" s="1" t="n">
        <v>45358</v>
      </c>
      <c r="D302" t="inlineStr">
        <is>
          <t>HALLANDS LÄN</t>
        </is>
      </c>
      <c r="E302" t="inlineStr">
        <is>
          <t>VARBERG</t>
        </is>
      </c>
      <c r="F302" t="inlineStr">
        <is>
          <t>Övriga statliga verk och myndigheter</t>
        </is>
      </c>
      <c r="G302" t="n">
        <v>2.7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4343-2019</t>
        </is>
      </c>
      <c r="B303" s="1" t="n">
        <v>43483</v>
      </c>
      <c r="C303" s="1" t="n">
        <v>45358</v>
      </c>
      <c r="D303" t="inlineStr">
        <is>
          <t>HALLANDS LÄN</t>
        </is>
      </c>
      <c r="E303" t="inlineStr">
        <is>
          <t>VARBERG</t>
        </is>
      </c>
      <c r="F303" t="inlineStr">
        <is>
          <t>Övriga statliga verk och myndigheter</t>
        </is>
      </c>
      <c r="G303" t="n">
        <v>1.6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4215-2019</t>
        </is>
      </c>
      <c r="B304" s="1" t="n">
        <v>43483</v>
      </c>
      <c r="C304" s="1" t="n">
        <v>45358</v>
      </c>
      <c r="D304" t="inlineStr">
        <is>
          <t>HALLANDS LÄN</t>
        </is>
      </c>
      <c r="E304" t="inlineStr">
        <is>
          <t>HYLTE</t>
        </is>
      </c>
      <c r="G304" t="n">
        <v>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4464-2019</t>
        </is>
      </c>
      <c r="B305" s="1" t="n">
        <v>43485</v>
      </c>
      <c r="C305" s="1" t="n">
        <v>45358</v>
      </c>
      <c r="D305" t="inlineStr">
        <is>
          <t>HALLANDS LÄN</t>
        </is>
      </c>
      <c r="E305" t="inlineStr">
        <is>
          <t>VARBERG</t>
        </is>
      </c>
      <c r="G305" t="n">
        <v>0.9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4424-2019</t>
        </is>
      </c>
      <c r="B306" s="1" t="n">
        <v>43485</v>
      </c>
      <c r="C306" s="1" t="n">
        <v>45358</v>
      </c>
      <c r="D306" t="inlineStr">
        <is>
          <t>HALLANDS LÄN</t>
        </is>
      </c>
      <c r="E306" t="inlineStr">
        <is>
          <t>FALKENBERG</t>
        </is>
      </c>
      <c r="G306" t="n">
        <v>2.6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4717-2019</t>
        </is>
      </c>
      <c r="B307" s="1" t="n">
        <v>43486</v>
      </c>
      <c r="C307" s="1" t="n">
        <v>45358</v>
      </c>
      <c r="D307" t="inlineStr">
        <is>
          <t>HALLANDS LÄN</t>
        </is>
      </c>
      <c r="E307" t="inlineStr">
        <is>
          <t>VARBERG</t>
        </is>
      </c>
      <c r="G307" t="n">
        <v>1.9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4683-2019</t>
        </is>
      </c>
      <c r="B308" s="1" t="n">
        <v>43486</v>
      </c>
      <c r="C308" s="1" t="n">
        <v>45358</v>
      </c>
      <c r="D308" t="inlineStr">
        <is>
          <t>HALLANDS LÄN</t>
        </is>
      </c>
      <c r="E308" t="inlineStr">
        <is>
          <t>VARBERG</t>
        </is>
      </c>
      <c r="G308" t="n">
        <v>0.9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5062-2019</t>
        </is>
      </c>
      <c r="B309" s="1" t="n">
        <v>43487</v>
      </c>
      <c r="C309" s="1" t="n">
        <v>45358</v>
      </c>
      <c r="D309" t="inlineStr">
        <is>
          <t>HALLANDS LÄN</t>
        </is>
      </c>
      <c r="E309" t="inlineStr">
        <is>
          <t>FALKENBERG</t>
        </is>
      </c>
      <c r="G309" t="n">
        <v>1.5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5266-2019</t>
        </is>
      </c>
      <c r="B310" s="1" t="n">
        <v>43488</v>
      </c>
      <c r="C310" s="1" t="n">
        <v>45358</v>
      </c>
      <c r="D310" t="inlineStr">
        <is>
          <t>HALLANDS LÄN</t>
        </is>
      </c>
      <c r="E310" t="inlineStr">
        <is>
          <t>KUNGSBACKA</t>
        </is>
      </c>
      <c r="G310" t="n">
        <v>0.6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5336-2019</t>
        </is>
      </c>
      <c r="B311" s="1" t="n">
        <v>43488</v>
      </c>
      <c r="C311" s="1" t="n">
        <v>45358</v>
      </c>
      <c r="D311" t="inlineStr">
        <is>
          <t>HALLANDS LÄN</t>
        </is>
      </c>
      <c r="E311" t="inlineStr">
        <is>
          <t>KUNGSBACKA</t>
        </is>
      </c>
      <c r="G311" t="n">
        <v>1.7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5278-2019</t>
        </is>
      </c>
      <c r="B312" s="1" t="n">
        <v>43488</v>
      </c>
      <c r="C312" s="1" t="n">
        <v>45358</v>
      </c>
      <c r="D312" t="inlineStr">
        <is>
          <t>HALLANDS LÄN</t>
        </is>
      </c>
      <c r="E312" t="inlineStr">
        <is>
          <t>KUNGSBACKA</t>
        </is>
      </c>
      <c r="G312" t="n">
        <v>0.8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5263-2019</t>
        </is>
      </c>
      <c r="B313" s="1" t="n">
        <v>43488</v>
      </c>
      <c r="C313" s="1" t="n">
        <v>45358</v>
      </c>
      <c r="D313" t="inlineStr">
        <is>
          <t>HALLANDS LÄN</t>
        </is>
      </c>
      <c r="E313" t="inlineStr">
        <is>
          <t>KUNGSBACKA</t>
        </is>
      </c>
      <c r="G313" t="n">
        <v>0.8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5543-2019</t>
        </is>
      </c>
      <c r="B314" s="1" t="n">
        <v>43489</v>
      </c>
      <c r="C314" s="1" t="n">
        <v>45358</v>
      </c>
      <c r="D314" t="inlineStr">
        <is>
          <t>HALLANDS LÄN</t>
        </is>
      </c>
      <c r="E314" t="inlineStr">
        <is>
          <t>LAHOLM</t>
        </is>
      </c>
      <c r="F314" t="inlineStr">
        <is>
          <t>Övriga Aktiebolag</t>
        </is>
      </c>
      <c r="G314" t="n">
        <v>6.7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6019-2019</t>
        </is>
      </c>
      <c r="B315" s="1" t="n">
        <v>43493</v>
      </c>
      <c r="C315" s="1" t="n">
        <v>45358</v>
      </c>
      <c r="D315" t="inlineStr">
        <is>
          <t>HALLANDS LÄN</t>
        </is>
      </c>
      <c r="E315" t="inlineStr">
        <is>
          <t>FALKENBERG</t>
        </is>
      </c>
      <c r="G315" t="n">
        <v>1.6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6016-2019</t>
        </is>
      </c>
      <c r="B316" s="1" t="n">
        <v>43493</v>
      </c>
      <c r="C316" s="1" t="n">
        <v>45358</v>
      </c>
      <c r="D316" t="inlineStr">
        <is>
          <t>HALLANDS LÄN</t>
        </is>
      </c>
      <c r="E316" t="inlineStr">
        <is>
          <t>LAHOLM</t>
        </is>
      </c>
      <c r="G316" t="n">
        <v>2.9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6023-2019</t>
        </is>
      </c>
      <c r="B317" s="1" t="n">
        <v>43493</v>
      </c>
      <c r="C317" s="1" t="n">
        <v>45358</v>
      </c>
      <c r="D317" t="inlineStr">
        <is>
          <t>HALLANDS LÄN</t>
        </is>
      </c>
      <c r="E317" t="inlineStr">
        <is>
          <t>HYLTE</t>
        </is>
      </c>
      <c r="G317" t="n">
        <v>0.6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6447-2019</t>
        </is>
      </c>
      <c r="B318" s="1" t="n">
        <v>43494</v>
      </c>
      <c r="C318" s="1" t="n">
        <v>45358</v>
      </c>
      <c r="D318" t="inlineStr">
        <is>
          <t>HALLANDS LÄN</t>
        </is>
      </c>
      <c r="E318" t="inlineStr">
        <is>
          <t>HALMSTAD</t>
        </is>
      </c>
      <c r="G318" t="n">
        <v>2.3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6482-2019</t>
        </is>
      </c>
      <c r="B319" s="1" t="n">
        <v>43494</v>
      </c>
      <c r="C319" s="1" t="n">
        <v>45358</v>
      </c>
      <c r="D319" t="inlineStr">
        <is>
          <t>HALLANDS LÄN</t>
        </is>
      </c>
      <c r="E319" t="inlineStr">
        <is>
          <t>HALMSTAD</t>
        </is>
      </c>
      <c r="G319" t="n">
        <v>1.3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6487-2019</t>
        </is>
      </c>
      <c r="B320" s="1" t="n">
        <v>43494</v>
      </c>
      <c r="C320" s="1" t="n">
        <v>45358</v>
      </c>
      <c r="D320" t="inlineStr">
        <is>
          <t>HALLANDS LÄN</t>
        </is>
      </c>
      <c r="E320" t="inlineStr">
        <is>
          <t>HALMSTAD</t>
        </is>
      </c>
      <c r="G320" t="n">
        <v>2.5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6806-2019</t>
        </is>
      </c>
      <c r="B321" s="1" t="n">
        <v>43495</v>
      </c>
      <c r="C321" s="1" t="n">
        <v>45358</v>
      </c>
      <c r="D321" t="inlineStr">
        <is>
          <t>HALLANDS LÄN</t>
        </is>
      </c>
      <c r="E321" t="inlineStr">
        <is>
          <t>VARBERG</t>
        </is>
      </c>
      <c r="G321" t="n">
        <v>1.5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6865-2019</t>
        </is>
      </c>
      <c r="B322" s="1" t="n">
        <v>43495</v>
      </c>
      <c r="C322" s="1" t="n">
        <v>45358</v>
      </c>
      <c r="D322" t="inlineStr">
        <is>
          <t>HALLANDS LÄN</t>
        </is>
      </c>
      <c r="E322" t="inlineStr">
        <is>
          <t>FALKENBERG</t>
        </is>
      </c>
      <c r="G322" t="n">
        <v>4.3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6960-2019</t>
        </is>
      </c>
      <c r="B323" s="1" t="n">
        <v>43495</v>
      </c>
      <c r="C323" s="1" t="n">
        <v>45358</v>
      </c>
      <c r="D323" t="inlineStr">
        <is>
          <t>HALLANDS LÄN</t>
        </is>
      </c>
      <c r="E323" t="inlineStr">
        <is>
          <t>VARBERG</t>
        </is>
      </c>
      <c r="G323" t="n">
        <v>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6993-2019</t>
        </is>
      </c>
      <c r="B324" s="1" t="n">
        <v>43495</v>
      </c>
      <c r="C324" s="1" t="n">
        <v>45358</v>
      </c>
      <c r="D324" t="inlineStr">
        <is>
          <t>HALLANDS LÄN</t>
        </is>
      </c>
      <c r="E324" t="inlineStr">
        <is>
          <t>HALMSTAD</t>
        </is>
      </c>
      <c r="G324" t="n">
        <v>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6782-2019</t>
        </is>
      </c>
      <c r="B325" s="1" t="n">
        <v>43495</v>
      </c>
      <c r="C325" s="1" t="n">
        <v>45358</v>
      </c>
      <c r="D325" t="inlineStr">
        <is>
          <t>HALLANDS LÄN</t>
        </is>
      </c>
      <c r="E325" t="inlineStr">
        <is>
          <t>VARBERG</t>
        </is>
      </c>
      <c r="G325" t="n">
        <v>0.7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6888-2019</t>
        </is>
      </c>
      <c r="B326" s="1" t="n">
        <v>43495</v>
      </c>
      <c r="C326" s="1" t="n">
        <v>45358</v>
      </c>
      <c r="D326" t="inlineStr">
        <is>
          <t>HALLANDS LÄN</t>
        </is>
      </c>
      <c r="E326" t="inlineStr">
        <is>
          <t>KUNGSBACKA</t>
        </is>
      </c>
      <c r="G326" t="n">
        <v>2.3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8175-2019</t>
        </is>
      </c>
      <c r="B327" s="1" t="n">
        <v>43495</v>
      </c>
      <c r="C327" s="1" t="n">
        <v>45358</v>
      </c>
      <c r="D327" t="inlineStr">
        <is>
          <t>HALLANDS LÄN</t>
        </is>
      </c>
      <c r="E327" t="inlineStr">
        <is>
          <t>LAHOLM</t>
        </is>
      </c>
      <c r="G327" t="n">
        <v>1.6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7641-2019</t>
        </is>
      </c>
      <c r="B328" s="1" t="n">
        <v>43500</v>
      </c>
      <c r="C328" s="1" t="n">
        <v>45358</v>
      </c>
      <c r="D328" t="inlineStr">
        <is>
          <t>HALLANDS LÄN</t>
        </is>
      </c>
      <c r="E328" t="inlineStr">
        <is>
          <t>HALMSTAD</t>
        </is>
      </c>
      <c r="G328" t="n">
        <v>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7636-2019</t>
        </is>
      </c>
      <c r="B329" s="1" t="n">
        <v>43500</v>
      </c>
      <c r="C329" s="1" t="n">
        <v>45358</v>
      </c>
      <c r="D329" t="inlineStr">
        <is>
          <t>HALLANDS LÄN</t>
        </is>
      </c>
      <c r="E329" t="inlineStr">
        <is>
          <t>HALMSTAD</t>
        </is>
      </c>
      <c r="G329" t="n">
        <v>1.7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7646-2019</t>
        </is>
      </c>
      <c r="B330" s="1" t="n">
        <v>43500</v>
      </c>
      <c r="C330" s="1" t="n">
        <v>45358</v>
      </c>
      <c r="D330" t="inlineStr">
        <is>
          <t>HALLANDS LÄN</t>
        </is>
      </c>
      <c r="E330" t="inlineStr">
        <is>
          <t>HALMSTAD</t>
        </is>
      </c>
      <c r="G330" t="n">
        <v>1.7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7637-2019</t>
        </is>
      </c>
      <c r="B331" s="1" t="n">
        <v>43500</v>
      </c>
      <c r="C331" s="1" t="n">
        <v>45358</v>
      </c>
      <c r="D331" t="inlineStr">
        <is>
          <t>HALLANDS LÄN</t>
        </is>
      </c>
      <c r="E331" t="inlineStr">
        <is>
          <t>HALMSTAD</t>
        </is>
      </c>
      <c r="G331" t="n">
        <v>2.7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7634-2019</t>
        </is>
      </c>
      <c r="B332" s="1" t="n">
        <v>43500</v>
      </c>
      <c r="C332" s="1" t="n">
        <v>45358</v>
      </c>
      <c r="D332" t="inlineStr">
        <is>
          <t>HALLANDS LÄN</t>
        </is>
      </c>
      <c r="E332" t="inlineStr">
        <is>
          <t>HALMSTAD</t>
        </is>
      </c>
      <c r="G332" t="n">
        <v>2.1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7916-2019</t>
        </is>
      </c>
      <c r="B333" s="1" t="n">
        <v>43501</v>
      </c>
      <c r="C333" s="1" t="n">
        <v>45358</v>
      </c>
      <c r="D333" t="inlineStr">
        <is>
          <t>HALLANDS LÄN</t>
        </is>
      </c>
      <c r="E333" t="inlineStr">
        <is>
          <t>LAHOLM</t>
        </is>
      </c>
      <c r="G333" t="n">
        <v>3.1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8793-2019</t>
        </is>
      </c>
      <c r="B334" s="1" t="n">
        <v>43502</v>
      </c>
      <c r="C334" s="1" t="n">
        <v>45358</v>
      </c>
      <c r="D334" t="inlineStr">
        <is>
          <t>HALLANDS LÄN</t>
        </is>
      </c>
      <c r="E334" t="inlineStr">
        <is>
          <t>FALKENBERG</t>
        </is>
      </c>
      <c r="G334" t="n">
        <v>4.1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8626-2019</t>
        </is>
      </c>
      <c r="B335" s="1" t="n">
        <v>43503</v>
      </c>
      <c r="C335" s="1" t="n">
        <v>45358</v>
      </c>
      <c r="D335" t="inlineStr">
        <is>
          <t>HALLANDS LÄN</t>
        </is>
      </c>
      <c r="E335" t="inlineStr">
        <is>
          <t>HYLTE</t>
        </is>
      </c>
      <c r="G335" t="n">
        <v>3.5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8770-2019</t>
        </is>
      </c>
      <c r="B336" s="1" t="n">
        <v>43503</v>
      </c>
      <c r="C336" s="1" t="n">
        <v>45358</v>
      </c>
      <c r="D336" t="inlineStr">
        <is>
          <t>HALLANDS LÄN</t>
        </is>
      </c>
      <c r="E336" t="inlineStr">
        <is>
          <t>HALMSTAD</t>
        </is>
      </c>
      <c r="G336" t="n">
        <v>2.6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8668-2019</t>
        </is>
      </c>
      <c r="B337" s="1" t="n">
        <v>43503</v>
      </c>
      <c r="C337" s="1" t="n">
        <v>45358</v>
      </c>
      <c r="D337" t="inlineStr">
        <is>
          <t>HALLANDS LÄN</t>
        </is>
      </c>
      <c r="E337" t="inlineStr">
        <is>
          <t>HYLTE</t>
        </is>
      </c>
      <c r="G337" t="n">
        <v>2.1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9042-2019</t>
        </is>
      </c>
      <c r="B338" s="1" t="n">
        <v>43504</v>
      </c>
      <c r="C338" s="1" t="n">
        <v>45358</v>
      </c>
      <c r="D338" t="inlineStr">
        <is>
          <t>HALLANDS LÄN</t>
        </is>
      </c>
      <c r="E338" t="inlineStr">
        <is>
          <t>FALKENBERG</t>
        </is>
      </c>
      <c r="G338" t="n">
        <v>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9196-2019</t>
        </is>
      </c>
      <c r="B339" s="1" t="n">
        <v>43505</v>
      </c>
      <c r="C339" s="1" t="n">
        <v>45358</v>
      </c>
      <c r="D339" t="inlineStr">
        <is>
          <t>HALLANDS LÄN</t>
        </is>
      </c>
      <c r="E339" t="inlineStr">
        <is>
          <t>HYLTE</t>
        </is>
      </c>
      <c r="G339" t="n">
        <v>0.4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9272-2019</t>
        </is>
      </c>
      <c r="B340" s="1" t="n">
        <v>43507</v>
      </c>
      <c r="C340" s="1" t="n">
        <v>45358</v>
      </c>
      <c r="D340" t="inlineStr">
        <is>
          <t>HALLANDS LÄN</t>
        </is>
      </c>
      <c r="E340" t="inlineStr">
        <is>
          <t>FALKENBERG</t>
        </is>
      </c>
      <c r="G340" t="n">
        <v>2.7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9328-2019</t>
        </is>
      </c>
      <c r="B341" s="1" t="n">
        <v>43507</v>
      </c>
      <c r="C341" s="1" t="n">
        <v>45358</v>
      </c>
      <c r="D341" t="inlineStr">
        <is>
          <t>HALLANDS LÄN</t>
        </is>
      </c>
      <c r="E341" t="inlineStr">
        <is>
          <t>HALMSTAD</t>
        </is>
      </c>
      <c r="G341" t="n">
        <v>2.1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9271-2019</t>
        </is>
      </c>
      <c r="B342" s="1" t="n">
        <v>43507</v>
      </c>
      <c r="C342" s="1" t="n">
        <v>45358</v>
      </c>
      <c r="D342" t="inlineStr">
        <is>
          <t>HALLANDS LÄN</t>
        </is>
      </c>
      <c r="E342" t="inlineStr">
        <is>
          <t>FALKENBERG</t>
        </is>
      </c>
      <c r="G342" t="n">
        <v>0.8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9789-2019</t>
        </is>
      </c>
      <c r="B343" s="1" t="n">
        <v>43509</v>
      </c>
      <c r="C343" s="1" t="n">
        <v>45358</v>
      </c>
      <c r="D343" t="inlineStr">
        <is>
          <t>HALLANDS LÄN</t>
        </is>
      </c>
      <c r="E343" t="inlineStr">
        <is>
          <t>VARBERG</t>
        </is>
      </c>
      <c r="G343" t="n">
        <v>1.5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9836-2019</t>
        </is>
      </c>
      <c r="B344" s="1" t="n">
        <v>43509</v>
      </c>
      <c r="C344" s="1" t="n">
        <v>45358</v>
      </c>
      <c r="D344" t="inlineStr">
        <is>
          <t>HALLANDS LÄN</t>
        </is>
      </c>
      <c r="E344" t="inlineStr">
        <is>
          <t>VARBERG</t>
        </is>
      </c>
      <c r="G344" t="n">
        <v>0.7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10325-2019</t>
        </is>
      </c>
      <c r="B345" s="1" t="n">
        <v>43511</v>
      </c>
      <c r="C345" s="1" t="n">
        <v>45358</v>
      </c>
      <c r="D345" t="inlineStr">
        <is>
          <t>HALLANDS LÄN</t>
        </is>
      </c>
      <c r="E345" t="inlineStr">
        <is>
          <t>HALMSTAD</t>
        </is>
      </c>
      <c r="G345" t="n">
        <v>1.3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10553-2019</t>
        </is>
      </c>
      <c r="B346" s="1" t="n">
        <v>43514</v>
      </c>
      <c r="C346" s="1" t="n">
        <v>45358</v>
      </c>
      <c r="D346" t="inlineStr">
        <is>
          <t>HALLANDS LÄN</t>
        </is>
      </c>
      <c r="E346" t="inlineStr">
        <is>
          <t>HALMSTAD</t>
        </is>
      </c>
      <c r="G346" t="n">
        <v>1.7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10541-2019</t>
        </is>
      </c>
      <c r="B347" s="1" t="n">
        <v>43514</v>
      </c>
      <c r="C347" s="1" t="n">
        <v>45358</v>
      </c>
      <c r="D347" t="inlineStr">
        <is>
          <t>HALLANDS LÄN</t>
        </is>
      </c>
      <c r="E347" t="inlineStr">
        <is>
          <t>HALMSTAD</t>
        </is>
      </c>
      <c r="G347" t="n">
        <v>2.1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10909-2019</t>
        </is>
      </c>
      <c r="B348" s="1" t="n">
        <v>43515</v>
      </c>
      <c r="C348" s="1" t="n">
        <v>45358</v>
      </c>
      <c r="D348" t="inlineStr">
        <is>
          <t>HALLANDS LÄN</t>
        </is>
      </c>
      <c r="E348" t="inlineStr">
        <is>
          <t>VARBERG</t>
        </is>
      </c>
      <c r="G348" t="n">
        <v>2.2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10927-2019</t>
        </is>
      </c>
      <c r="B349" s="1" t="n">
        <v>43515</v>
      </c>
      <c r="C349" s="1" t="n">
        <v>45358</v>
      </c>
      <c r="D349" t="inlineStr">
        <is>
          <t>HALLANDS LÄN</t>
        </is>
      </c>
      <c r="E349" t="inlineStr">
        <is>
          <t>VARBERG</t>
        </is>
      </c>
      <c r="G349" t="n">
        <v>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10925-2019</t>
        </is>
      </c>
      <c r="B350" s="1" t="n">
        <v>43515</v>
      </c>
      <c r="C350" s="1" t="n">
        <v>45358</v>
      </c>
      <c r="D350" t="inlineStr">
        <is>
          <t>HALLANDS LÄN</t>
        </is>
      </c>
      <c r="E350" t="inlineStr">
        <is>
          <t>VARBERG</t>
        </is>
      </c>
      <c r="G350" t="n">
        <v>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11094-2019</t>
        </is>
      </c>
      <c r="B351" s="1" t="n">
        <v>43516</v>
      </c>
      <c r="C351" s="1" t="n">
        <v>45358</v>
      </c>
      <c r="D351" t="inlineStr">
        <is>
          <t>HALLANDS LÄN</t>
        </is>
      </c>
      <c r="E351" t="inlineStr">
        <is>
          <t>FALKENBERG</t>
        </is>
      </c>
      <c r="G351" t="n">
        <v>0.9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11270-2019</t>
        </is>
      </c>
      <c r="B352" s="1" t="n">
        <v>43516</v>
      </c>
      <c r="C352" s="1" t="n">
        <v>45358</v>
      </c>
      <c r="D352" t="inlineStr">
        <is>
          <t>HALLANDS LÄN</t>
        </is>
      </c>
      <c r="E352" t="inlineStr">
        <is>
          <t>HYLTE</t>
        </is>
      </c>
      <c r="G352" t="n">
        <v>2.4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11091-2019</t>
        </is>
      </c>
      <c r="B353" s="1" t="n">
        <v>43516</v>
      </c>
      <c r="C353" s="1" t="n">
        <v>45358</v>
      </c>
      <c r="D353" t="inlineStr">
        <is>
          <t>HALLANDS LÄN</t>
        </is>
      </c>
      <c r="E353" t="inlineStr">
        <is>
          <t>FALKENBERG</t>
        </is>
      </c>
      <c r="G353" t="n">
        <v>1.3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11272-2019</t>
        </is>
      </c>
      <c r="B354" s="1" t="n">
        <v>43516</v>
      </c>
      <c r="C354" s="1" t="n">
        <v>45358</v>
      </c>
      <c r="D354" t="inlineStr">
        <is>
          <t>HALLANDS LÄN</t>
        </is>
      </c>
      <c r="E354" t="inlineStr">
        <is>
          <t>HYLTE</t>
        </is>
      </c>
      <c r="G354" t="n">
        <v>1.5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11316-2019</t>
        </is>
      </c>
      <c r="B355" s="1" t="n">
        <v>43516</v>
      </c>
      <c r="C355" s="1" t="n">
        <v>45358</v>
      </c>
      <c r="D355" t="inlineStr">
        <is>
          <t>HALLANDS LÄN</t>
        </is>
      </c>
      <c r="E355" t="inlineStr">
        <is>
          <t>FALKENBERG</t>
        </is>
      </c>
      <c r="G355" t="n">
        <v>14.4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11330-2019</t>
        </is>
      </c>
      <c r="B356" s="1" t="n">
        <v>43516</v>
      </c>
      <c r="C356" s="1" t="n">
        <v>45358</v>
      </c>
      <c r="D356" t="inlineStr">
        <is>
          <t>HALLANDS LÄN</t>
        </is>
      </c>
      <c r="E356" t="inlineStr">
        <is>
          <t>HYLTE</t>
        </is>
      </c>
      <c r="G356" t="n">
        <v>0.8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11276-2019</t>
        </is>
      </c>
      <c r="B357" s="1" t="n">
        <v>43516</v>
      </c>
      <c r="C357" s="1" t="n">
        <v>45358</v>
      </c>
      <c r="D357" t="inlineStr">
        <is>
          <t>HALLANDS LÄN</t>
        </is>
      </c>
      <c r="E357" t="inlineStr">
        <is>
          <t>HYLTE</t>
        </is>
      </c>
      <c r="G357" t="n">
        <v>1.2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11327-2019</t>
        </is>
      </c>
      <c r="B358" s="1" t="n">
        <v>43516</v>
      </c>
      <c r="C358" s="1" t="n">
        <v>45358</v>
      </c>
      <c r="D358" t="inlineStr">
        <is>
          <t>HALLANDS LÄN</t>
        </is>
      </c>
      <c r="E358" t="inlineStr">
        <is>
          <t>HYLTE</t>
        </is>
      </c>
      <c r="G358" t="n">
        <v>2.1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11349-2019</t>
        </is>
      </c>
      <c r="B359" s="1" t="n">
        <v>43517</v>
      </c>
      <c r="C359" s="1" t="n">
        <v>45358</v>
      </c>
      <c r="D359" t="inlineStr">
        <is>
          <t>HALLANDS LÄN</t>
        </is>
      </c>
      <c r="E359" t="inlineStr">
        <is>
          <t>VARBERG</t>
        </is>
      </c>
      <c r="G359" t="n">
        <v>2.9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11380-2019</t>
        </is>
      </c>
      <c r="B360" s="1" t="n">
        <v>43517</v>
      </c>
      <c r="C360" s="1" t="n">
        <v>45358</v>
      </c>
      <c r="D360" t="inlineStr">
        <is>
          <t>HALLANDS LÄN</t>
        </is>
      </c>
      <c r="E360" t="inlineStr">
        <is>
          <t>LAHOLM</t>
        </is>
      </c>
      <c r="G360" t="n">
        <v>0.1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11389-2019</t>
        </is>
      </c>
      <c r="B361" s="1" t="n">
        <v>43517</v>
      </c>
      <c r="C361" s="1" t="n">
        <v>45358</v>
      </c>
      <c r="D361" t="inlineStr">
        <is>
          <t>HALLANDS LÄN</t>
        </is>
      </c>
      <c r="E361" t="inlineStr">
        <is>
          <t>LAHOLM</t>
        </is>
      </c>
      <c r="G361" t="n">
        <v>0.2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11365-2019</t>
        </is>
      </c>
      <c r="B362" s="1" t="n">
        <v>43517</v>
      </c>
      <c r="C362" s="1" t="n">
        <v>45358</v>
      </c>
      <c r="D362" t="inlineStr">
        <is>
          <t>HALLANDS LÄN</t>
        </is>
      </c>
      <c r="E362" t="inlineStr">
        <is>
          <t>KUNGSBACKA</t>
        </is>
      </c>
      <c r="G362" t="n">
        <v>14.2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11661-2019</t>
        </is>
      </c>
      <c r="B363" s="1" t="n">
        <v>43518</v>
      </c>
      <c r="C363" s="1" t="n">
        <v>45358</v>
      </c>
      <c r="D363" t="inlineStr">
        <is>
          <t>HALLANDS LÄN</t>
        </is>
      </c>
      <c r="E363" t="inlineStr">
        <is>
          <t>FALKENBERG</t>
        </is>
      </c>
      <c r="F363" t="inlineStr">
        <is>
          <t>Kyrkan</t>
        </is>
      </c>
      <c r="G363" t="n">
        <v>1.4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11835-2019</t>
        </is>
      </c>
      <c r="B364" s="1" t="n">
        <v>43521</v>
      </c>
      <c r="C364" s="1" t="n">
        <v>45358</v>
      </c>
      <c r="D364" t="inlineStr">
        <is>
          <t>HALLANDS LÄN</t>
        </is>
      </c>
      <c r="E364" t="inlineStr">
        <is>
          <t>LAHOLM</t>
        </is>
      </c>
      <c r="G364" t="n">
        <v>0.7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11975-2019</t>
        </is>
      </c>
      <c r="B365" s="1" t="n">
        <v>43521</v>
      </c>
      <c r="C365" s="1" t="n">
        <v>45358</v>
      </c>
      <c r="D365" t="inlineStr">
        <is>
          <t>HALLANDS LÄN</t>
        </is>
      </c>
      <c r="E365" t="inlineStr">
        <is>
          <t>HALMSTAD</t>
        </is>
      </c>
      <c r="G365" t="n">
        <v>1.2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11925-2019</t>
        </is>
      </c>
      <c r="B366" s="1" t="n">
        <v>43521</v>
      </c>
      <c r="C366" s="1" t="n">
        <v>45358</v>
      </c>
      <c r="D366" t="inlineStr">
        <is>
          <t>HALLANDS LÄN</t>
        </is>
      </c>
      <c r="E366" t="inlineStr">
        <is>
          <t>HYLTE</t>
        </is>
      </c>
      <c r="G366" t="n">
        <v>1.6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11806-2019</t>
        </is>
      </c>
      <c r="B367" s="1" t="n">
        <v>43521</v>
      </c>
      <c r="C367" s="1" t="n">
        <v>45358</v>
      </c>
      <c r="D367" t="inlineStr">
        <is>
          <t>HALLANDS LÄN</t>
        </is>
      </c>
      <c r="E367" t="inlineStr">
        <is>
          <t>LAHOLM</t>
        </is>
      </c>
      <c r="G367" t="n">
        <v>17.8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11831-2019</t>
        </is>
      </c>
      <c r="B368" s="1" t="n">
        <v>43521</v>
      </c>
      <c r="C368" s="1" t="n">
        <v>45358</v>
      </c>
      <c r="D368" t="inlineStr">
        <is>
          <t>HALLANDS LÄN</t>
        </is>
      </c>
      <c r="E368" t="inlineStr">
        <is>
          <t>LAHOLM</t>
        </is>
      </c>
      <c r="G368" t="n">
        <v>0.6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12123-2019</t>
        </is>
      </c>
      <c r="B369" s="1" t="n">
        <v>43522</v>
      </c>
      <c r="C369" s="1" t="n">
        <v>45358</v>
      </c>
      <c r="D369" t="inlineStr">
        <is>
          <t>HALLANDS LÄN</t>
        </is>
      </c>
      <c r="E369" t="inlineStr">
        <is>
          <t>HALMSTAD</t>
        </is>
      </c>
      <c r="G369" t="n">
        <v>0.6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12100-2019</t>
        </is>
      </c>
      <c r="B370" s="1" t="n">
        <v>43522</v>
      </c>
      <c r="C370" s="1" t="n">
        <v>45358</v>
      </c>
      <c r="D370" t="inlineStr">
        <is>
          <t>HALLANDS LÄN</t>
        </is>
      </c>
      <c r="E370" t="inlineStr">
        <is>
          <t>KUNGSBACKA</t>
        </is>
      </c>
      <c r="G370" t="n">
        <v>2.7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12373-2019</t>
        </is>
      </c>
      <c r="B371" s="1" t="n">
        <v>43523</v>
      </c>
      <c r="C371" s="1" t="n">
        <v>45358</v>
      </c>
      <c r="D371" t="inlineStr">
        <is>
          <t>HALLANDS LÄN</t>
        </is>
      </c>
      <c r="E371" t="inlineStr">
        <is>
          <t>HYLTE</t>
        </is>
      </c>
      <c r="G371" t="n">
        <v>1.2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12293-2019</t>
        </is>
      </c>
      <c r="B372" s="1" t="n">
        <v>43523</v>
      </c>
      <c r="C372" s="1" t="n">
        <v>45358</v>
      </c>
      <c r="D372" t="inlineStr">
        <is>
          <t>HALLANDS LÄN</t>
        </is>
      </c>
      <c r="E372" t="inlineStr">
        <is>
          <t>KUNGSBACKA</t>
        </is>
      </c>
      <c r="G372" t="n">
        <v>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12294-2019</t>
        </is>
      </c>
      <c r="B373" s="1" t="n">
        <v>43523</v>
      </c>
      <c r="C373" s="1" t="n">
        <v>45358</v>
      </c>
      <c r="D373" t="inlineStr">
        <is>
          <t>HALLANDS LÄN</t>
        </is>
      </c>
      <c r="E373" t="inlineStr">
        <is>
          <t>HALMSTAD</t>
        </is>
      </c>
      <c r="G373" t="n">
        <v>5.9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12598-2019</t>
        </is>
      </c>
      <c r="B374" s="1" t="n">
        <v>43524</v>
      </c>
      <c r="C374" s="1" t="n">
        <v>45358</v>
      </c>
      <c r="D374" t="inlineStr">
        <is>
          <t>HALLANDS LÄN</t>
        </is>
      </c>
      <c r="E374" t="inlineStr">
        <is>
          <t>KUNGSBACKA</t>
        </is>
      </c>
      <c r="G374" t="n">
        <v>1.7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12629-2019</t>
        </is>
      </c>
      <c r="B375" s="1" t="n">
        <v>43524</v>
      </c>
      <c r="C375" s="1" t="n">
        <v>45358</v>
      </c>
      <c r="D375" t="inlineStr">
        <is>
          <t>HALLANDS LÄN</t>
        </is>
      </c>
      <c r="E375" t="inlineStr">
        <is>
          <t>FALKENBERG</t>
        </is>
      </c>
      <c r="G375" t="n">
        <v>4.1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12646-2019</t>
        </is>
      </c>
      <c r="B376" s="1" t="n">
        <v>43524</v>
      </c>
      <c r="C376" s="1" t="n">
        <v>45358</v>
      </c>
      <c r="D376" t="inlineStr">
        <is>
          <t>HALLANDS LÄN</t>
        </is>
      </c>
      <c r="E376" t="inlineStr">
        <is>
          <t>VARBERG</t>
        </is>
      </c>
      <c r="G376" t="n">
        <v>1.5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12717-2019</t>
        </is>
      </c>
      <c r="B377" s="1" t="n">
        <v>43524</v>
      </c>
      <c r="C377" s="1" t="n">
        <v>45358</v>
      </c>
      <c r="D377" t="inlineStr">
        <is>
          <t>HALLANDS LÄN</t>
        </is>
      </c>
      <c r="E377" t="inlineStr">
        <is>
          <t>HALMSTAD</t>
        </is>
      </c>
      <c r="G377" t="n">
        <v>4.5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12670-2019</t>
        </is>
      </c>
      <c r="B378" s="1" t="n">
        <v>43524</v>
      </c>
      <c r="C378" s="1" t="n">
        <v>45358</v>
      </c>
      <c r="D378" t="inlineStr">
        <is>
          <t>HALLANDS LÄN</t>
        </is>
      </c>
      <c r="E378" t="inlineStr">
        <is>
          <t>HYLTE</t>
        </is>
      </c>
      <c r="G378" t="n">
        <v>2.1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12809-2019</t>
        </is>
      </c>
      <c r="B379" s="1" t="n">
        <v>43525</v>
      </c>
      <c r="C379" s="1" t="n">
        <v>45358</v>
      </c>
      <c r="D379" t="inlineStr">
        <is>
          <t>HALLANDS LÄN</t>
        </is>
      </c>
      <c r="E379" t="inlineStr">
        <is>
          <t>VARBERG</t>
        </is>
      </c>
      <c r="G379" t="n">
        <v>1.4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12775-2019</t>
        </is>
      </c>
      <c r="B380" s="1" t="n">
        <v>43525</v>
      </c>
      <c r="C380" s="1" t="n">
        <v>45358</v>
      </c>
      <c r="D380" t="inlineStr">
        <is>
          <t>HALLANDS LÄN</t>
        </is>
      </c>
      <c r="E380" t="inlineStr">
        <is>
          <t>HALMSTAD</t>
        </is>
      </c>
      <c r="G380" t="n">
        <v>1.3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12758-2019</t>
        </is>
      </c>
      <c r="B381" s="1" t="n">
        <v>43525</v>
      </c>
      <c r="C381" s="1" t="n">
        <v>45358</v>
      </c>
      <c r="D381" t="inlineStr">
        <is>
          <t>HALLANDS LÄN</t>
        </is>
      </c>
      <c r="E381" t="inlineStr">
        <is>
          <t>LAHOLM</t>
        </is>
      </c>
      <c r="G381" t="n">
        <v>0.7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12773-2019</t>
        </is>
      </c>
      <c r="B382" s="1" t="n">
        <v>43525</v>
      </c>
      <c r="C382" s="1" t="n">
        <v>45358</v>
      </c>
      <c r="D382" t="inlineStr">
        <is>
          <t>HALLANDS LÄN</t>
        </is>
      </c>
      <c r="E382" t="inlineStr">
        <is>
          <t>HALMSTAD</t>
        </is>
      </c>
      <c r="G382" t="n">
        <v>2.5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13049-2019</t>
        </is>
      </c>
      <c r="B383" s="1" t="n">
        <v>43528</v>
      </c>
      <c r="C383" s="1" t="n">
        <v>45358</v>
      </c>
      <c r="D383" t="inlineStr">
        <is>
          <t>HALLANDS LÄN</t>
        </is>
      </c>
      <c r="E383" t="inlineStr">
        <is>
          <t>LAHOLM</t>
        </is>
      </c>
      <c r="G383" t="n">
        <v>0.6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13108-2019</t>
        </is>
      </c>
      <c r="B384" s="1" t="n">
        <v>43528</v>
      </c>
      <c r="C384" s="1" t="n">
        <v>45358</v>
      </c>
      <c r="D384" t="inlineStr">
        <is>
          <t>HALLANDS LÄN</t>
        </is>
      </c>
      <c r="E384" t="inlineStr">
        <is>
          <t>VARBERG</t>
        </is>
      </c>
      <c r="G384" t="n">
        <v>1.4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13076-2019</t>
        </is>
      </c>
      <c r="B385" s="1" t="n">
        <v>43528</v>
      </c>
      <c r="C385" s="1" t="n">
        <v>45358</v>
      </c>
      <c r="D385" t="inlineStr">
        <is>
          <t>HALLANDS LÄN</t>
        </is>
      </c>
      <c r="E385" t="inlineStr">
        <is>
          <t>HYLTE</t>
        </is>
      </c>
      <c r="F385" t="inlineStr">
        <is>
          <t>Bergvik skog väst AB</t>
        </is>
      </c>
      <c r="G385" t="n">
        <v>2.1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13219-2019</t>
        </is>
      </c>
      <c r="B386" s="1" t="n">
        <v>43528</v>
      </c>
      <c r="C386" s="1" t="n">
        <v>45358</v>
      </c>
      <c r="D386" t="inlineStr">
        <is>
          <t>HALLANDS LÄN</t>
        </is>
      </c>
      <c r="E386" t="inlineStr">
        <is>
          <t>HALMSTAD</t>
        </is>
      </c>
      <c r="G386" t="n">
        <v>2.4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13187-2019</t>
        </is>
      </c>
      <c r="B387" s="1" t="n">
        <v>43528</v>
      </c>
      <c r="C387" s="1" t="n">
        <v>45358</v>
      </c>
      <c r="D387" t="inlineStr">
        <is>
          <t>HALLANDS LÄN</t>
        </is>
      </c>
      <c r="E387" t="inlineStr">
        <is>
          <t>HALMSTAD</t>
        </is>
      </c>
      <c r="G387" t="n">
        <v>1.4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13267-2019</t>
        </is>
      </c>
      <c r="B388" s="1" t="n">
        <v>43529</v>
      </c>
      <c r="C388" s="1" t="n">
        <v>45358</v>
      </c>
      <c r="D388" t="inlineStr">
        <is>
          <t>HALLANDS LÄN</t>
        </is>
      </c>
      <c r="E388" t="inlineStr">
        <is>
          <t>HALMSTAD</t>
        </is>
      </c>
      <c r="G388" t="n">
        <v>1.6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13513-2019</t>
        </is>
      </c>
      <c r="B389" s="1" t="n">
        <v>43530</v>
      </c>
      <c r="C389" s="1" t="n">
        <v>45358</v>
      </c>
      <c r="D389" t="inlineStr">
        <is>
          <t>HALLANDS LÄN</t>
        </is>
      </c>
      <c r="E389" t="inlineStr">
        <is>
          <t>VARBERG</t>
        </is>
      </c>
      <c r="G389" t="n">
        <v>3.4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13602-2019</t>
        </is>
      </c>
      <c r="B390" s="1" t="n">
        <v>43530</v>
      </c>
      <c r="C390" s="1" t="n">
        <v>45358</v>
      </c>
      <c r="D390" t="inlineStr">
        <is>
          <t>HALLANDS LÄN</t>
        </is>
      </c>
      <c r="E390" t="inlineStr">
        <is>
          <t>FALKENBERG</t>
        </is>
      </c>
      <c r="G390" t="n">
        <v>0.9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13507-2019</t>
        </is>
      </c>
      <c r="B391" s="1" t="n">
        <v>43530</v>
      </c>
      <c r="C391" s="1" t="n">
        <v>45358</v>
      </c>
      <c r="D391" t="inlineStr">
        <is>
          <t>HALLANDS LÄN</t>
        </is>
      </c>
      <c r="E391" t="inlineStr">
        <is>
          <t>VARBERG</t>
        </is>
      </c>
      <c r="G391" t="n">
        <v>5.2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13729-2019</t>
        </is>
      </c>
      <c r="B392" s="1" t="n">
        <v>43531</v>
      </c>
      <c r="C392" s="1" t="n">
        <v>45358</v>
      </c>
      <c r="D392" t="inlineStr">
        <is>
          <t>HALLANDS LÄN</t>
        </is>
      </c>
      <c r="E392" t="inlineStr">
        <is>
          <t>HYLTE</t>
        </is>
      </c>
      <c r="G392" t="n">
        <v>1.6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14157-2019</t>
        </is>
      </c>
      <c r="B393" s="1" t="n">
        <v>43533</v>
      </c>
      <c r="C393" s="1" t="n">
        <v>45358</v>
      </c>
      <c r="D393" t="inlineStr">
        <is>
          <t>HALLANDS LÄN</t>
        </is>
      </c>
      <c r="E393" t="inlineStr">
        <is>
          <t>FALKENBERG</t>
        </is>
      </c>
      <c r="F393" t="inlineStr">
        <is>
          <t>Kyrkan</t>
        </is>
      </c>
      <c r="G393" t="n">
        <v>4.2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14551-2019</t>
        </is>
      </c>
      <c r="B394" s="1" t="n">
        <v>43535</v>
      </c>
      <c r="C394" s="1" t="n">
        <v>45358</v>
      </c>
      <c r="D394" t="inlineStr">
        <is>
          <t>HALLANDS LÄN</t>
        </is>
      </c>
      <c r="E394" t="inlineStr">
        <is>
          <t>HYLTE</t>
        </is>
      </c>
      <c r="G394" t="n">
        <v>1.5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14576-2019</t>
        </is>
      </c>
      <c r="B395" s="1" t="n">
        <v>43536</v>
      </c>
      <c r="C395" s="1" t="n">
        <v>45358</v>
      </c>
      <c r="D395" t="inlineStr">
        <is>
          <t>HALLANDS LÄN</t>
        </is>
      </c>
      <c r="E395" t="inlineStr">
        <is>
          <t>KUNGSBACKA</t>
        </is>
      </c>
      <c r="G395" t="n">
        <v>0.8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14466-2019</t>
        </is>
      </c>
      <c r="B396" s="1" t="n">
        <v>43536</v>
      </c>
      <c r="C396" s="1" t="n">
        <v>45358</v>
      </c>
      <c r="D396" t="inlineStr">
        <is>
          <t>HALLANDS LÄN</t>
        </is>
      </c>
      <c r="E396" t="inlineStr">
        <is>
          <t>HYLTE</t>
        </is>
      </c>
      <c r="G396" t="n">
        <v>1.9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14739-2019</t>
        </is>
      </c>
      <c r="B397" s="1" t="n">
        <v>43536</v>
      </c>
      <c r="C397" s="1" t="n">
        <v>45358</v>
      </c>
      <c r="D397" t="inlineStr">
        <is>
          <t>HALLANDS LÄN</t>
        </is>
      </c>
      <c r="E397" t="inlineStr">
        <is>
          <t>FALKENBERG</t>
        </is>
      </c>
      <c r="G397" t="n">
        <v>1.4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14468-2019</t>
        </is>
      </c>
      <c r="B398" s="1" t="n">
        <v>43536</v>
      </c>
      <c r="C398" s="1" t="n">
        <v>45358</v>
      </c>
      <c r="D398" t="inlineStr">
        <is>
          <t>HALLANDS LÄN</t>
        </is>
      </c>
      <c r="E398" t="inlineStr">
        <is>
          <t>HYLTE</t>
        </is>
      </c>
      <c r="G398" t="n">
        <v>2.2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14741-2019</t>
        </is>
      </c>
      <c r="B399" s="1" t="n">
        <v>43536</v>
      </c>
      <c r="C399" s="1" t="n">
        <v>45358</v>
      </c>
      <c r="D399" t="inlineStr">
        <is>
          <t>HALLANDS LÄN</t>
        </is>
      </c>
      <c r="E399" t="inlineStr">
        <is>
          <t>FALKENBERG</t>
        </is>
      </c>
      <c r="G399" t="n">
        <v>0.8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15071-2019</t>
        </is>
      </c>
      <c r="B400" s="1" t="n">
        <v>43538</v>
      </c>
      <c r="C400" s="1" t="n">
        <v>45358</v>
      </c>
      <c r="D400" t="inlineStr">
        <is>
          <t>HALLANDS LÄN</t>
        </is>
      </c>
      <c r="E400" t="inlineStr">
        <is>
          <t>VARBERG</t>
        </is>
      </c>
      <c r="G400" t="n">
        <v>2.3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15257-2019</t>
        </is>
      </c>
      <c r="B401" s="1" t="n">
        <v>43539</v>
      </c>
      <c r="C401" s="1" t="n">
        <v>45358</v>
      </c>
      <c r="D401" t="inlineStr">
        <is>
          <t>HALLANDS LÄN</t>
        </is>
      </c>
      <c r="E401" t="inlineStr">
        <is>
          <t>LAHOLM</t>
        </is>
      </c>
      <c r="G401" t="n">
        <v>1.7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15432-2019</t>
        </is>
      </c>
      <c r="B402" s="1" t="n">
        <v>43542</v>
      </c>
      <c r="C402" s="1" t="n">
        <v>45358</v>
      </c>
      <c r="D402" t="inlineStr">
        <is>
          <t>HALLANDS LÄN</t>
        </is>
      </c>
      <c r="E402" t="inlineStr">
        <is>
          <t>HYLTE</t>
        </is>
      </c>
      <c r="G402" t="n">
        <v>0.5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15534-2019</t>
        </is>
      </c>
      <c r="B403" s="1" t="n">
        <v>43542</v>
      </c>
      <c r="C403" s="1" t="n">
        <v>45358</v>
      </c>
      <c r="D403" t="inlineStr">
        <is>
          <t>HALLANDS LÄN</t>
        </is>
      </c>
      <c r="E403" t="inlineStr">
        <is>
          <t>HYLTE</t>
        </is>
      </c>
      <c r="G403" t="n">
        <v>1.7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15436-2019</t>
        </is>
      </c>
      <c r="B404" s="1" t="n">
        <v>43542</v>
      </c>
      <c r="C404" s="1" t="n">
        <v>45358</v>
      </c>
      <c r="D404" t="inlineStr">
        <is>
          <t>HALLANDS LÄN</t>
        </is>
      </c>
      <c r="E404" t="inlineStr">
        <is>
          <t>HYLTE</t>
        </is>
      </c>
      <c r="G404" t="n">
        <v>1.5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15435-2019</t>
        </is>
      </c>
      <c r="B405" s="1" t="n">
        <v>43542</v>
      </c>
      <c r="C405" s="1" t="n">
        <v>45358</v>
      </c>
      <c r="D405" t="inlineStr">
        <is>
          <t>HALLANDS LÄN</t>
        </is>
      </c>
      <c r="E405" t="inlineStr">
        <is>
          <t>HYLTE</t>
        </is>
      </c>
      <c r="G405" t="n">
        <v>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15707-2019</t>
        </is>
      </c>
      <c r="B406" s="1" t="n">
        <v>43543</v>
      </c>
      <c r="C406" s="1" t="n">
        <v>45358</v>
      </c>
      <c r="D406" t="inlineStr">
        <is>
          <t>HALLANDS LÄN</t>
        </is>
      </c>
      <c r="E406" t="inlineStr">
        <is>
          <t>VARBERG</t>
        </is>
      </c>
      <c r="F406" t="inlineStr">
        <is>
          <t>Övriga statliga verk och myndigheter</t>
        </is>
      </c>
      <c r="G406" t="n">
        <v>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15640-2019</t>
        </is>
      </c>
      <c r="B407" s="1" t="n">
        <v>43543</v>
      </c>
      <c r="C407" s="1" t="n">
        <v>45358</v>
      </c>
      <c r="D407" t="inlineStr">
        <is>
          <t>HALLANDS LÄN</t>
        </is>
      </c>
      <c r="E407" t="inlineStr">
        <is>
          <t>VARBERG</t>
        </is>
      </c>
      <c r="G407" t="n">
        <v>3.1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15591-2019</t>
        </is>
      </c>
      <c r="B408" s="1" t="n">
        <v>43543</v>
      </c>
      <c r="C408" s="1" t="n">
        <v>45358</v>
      </c>
      <c r="D408" t="inlineStr">
        <is>
          <t>HALLANDS LÄN</t>
        </is>
      </c>
      <c r="E408" t="inlineStr">
        <is>
          <t>HALMSTAD</t>
        </is>
      </c>
      <c r="G408" t="n">
        <v>1.4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15921-2019</t>
        </is>
      </c>
      <c r="B409" s="1" t="n">
        <v>43543</v>
      </c>
      <c r="C409" s="1" t="n">
        <v>45358</v>
      </c>
      <c r="D409" t="inlineStr">
        <is>
          <t>HALLANDS LÄN</t>
        </is>
      </c>
      <c r="E409" t="inlineStr">
        <is>
          <t>LAHOLM</t>
        </is>
      </c>
      <c r="G409" t="n">
        <v>1.6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15910-2019</t>
        </is>
      </c>
      <c r="B410" s="1" t="n">
        <v>43544</v>
      </c>
      <c r="C410" s="1" t="n">
        <v>45358</v>
      </c>
      <c r="D410" t="inlineStr">
        <is>
          <t>HALLANDS LÄN</t>
        </is>
      </c>
      <c r="E410" t="inlineStr">
        <is>
          <t>KUNGSBACKA</t>
        </is>
      </c>
      <c r="G410" t="n">
        <v>1.4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15914-2019</t>
        </is>
      </c>
      <c r="B411" s="1" t="n">
        <v>43544</v>
      </c>
      <c r="C411" s="1" t="n">
        <v>45358</v>
      </c>
      <c r="D411" t="inlineStr">
        <is>
          <t>HALLANDS LÄN</t>
        </is>
      </c>
      <c r="E411" t="inlineStr">
        <is>
          <t>KUNGSBACKA</t>
        </is>
      </c>
      <c r="G411" t="n">
        <v>2.4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15975-2019</t>
        </is>
      </c>
      <c r="B412" s="1" t="n">
        <v>43544</v>
      </c>
      <c r="C412" s="1" t="n">
        <v>45358</v>
      </c>
      <c r="D412" t="inlineStr">
        <is>
          <t>HALLANDS LÄN</t>
        </is>
      </c>
      <c r="E412" t="inlineStr">
        <is>
          <t>KUNGSBACKA</t>
        </is>
      </c>
      <c r="G412" t="n">
        <v>1.8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16054-2019</t>
        </is>
      </c>
      <c r="B413" s="1" t="n">
        <v>43544</v>
      </c>
      <c r="C413" s="1" t="n">
        <v>45358</v>
      </c>
      <c r="D413" t="inlineStr">
        <is>
          <t>HALLANDS LÄN</t>
        </is>
      </c>
      <c r="E413" t="inlineStr">
        <is>
          <t>HYLTE</t>
        </is>
      </c>
      <c r="G413" t="n">
        <v>0.6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15912-2019</t>
        </is>
      </c>
      <c r="B414" s="1" t="n">
        <v>43544</v>
      </c>
      <c r="C414" s="1" t="n">
        <v>45358</v>
      </c>
      <c r="D414" t="inlineStr">
        <is>
          <t>HALLANDS LÄN</t>
        </is>
      </c>
      <c r="E414" t="inlineStr">
        <is>
          <t>KUNGSBACKA</t>
        </is>
      </c>
      <c r="G414" t="n">
        <v>0.6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16164-2019</t>
        </is>
      </c>
      <c r="B415" s="1" t="n">
        <v>43545</v>
      </c>
      <c r="C415" s="1" t="n">
        <v>45358</v>
      </c>
      <c r="D415" t="inlineStr">
        <is>
          <t>HALLANDS LÄN</t>
        </is>
      </c>
      <c r="E415" t="inlineStr">
        <is>
          <t>VARBERG</t>
        </is>
      </c>
      <c r="G415" t="n">
        <v>9.1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16271-2019</t>
        </is>
      </c>
      <c r="B416" s="1" t="n">
        <v>43545</v>
      </c>
      <c r="C416" s="1" t="n">
        <v>45358</v>
      </c>
      <c r="D416" t="inlineStr">
        <is>
          <t>HALLANDS LÄN</t>
        </is>
      </c>
      <c r="E416" t="inlineStr">
        <is>
          <t>HYLTE</t>
        </is>
      </c>
      <c r="G416" t="n">
        <v>2.9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16297-2019</t>
        </is>
      </c>
      <c r="B417" s="1" t="n">
        <v>43545</v>
      </c>
      <c r="C417" s="1" t="n">
        <v>45358</v>
      </c>
      <c r="D417" t="inlineStr">
        <is>
          <t>HALLANDS LÄN</t>
        </is>
      </c>
      <c r="E417" t="inlineStr">
        <is>
          <t>HYLTE</t>
        </is>
      </c>
      <c r="G417" t="n">
        <v>0.7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16475-2019</t>
        </is>
      </c>
      <c r="B418" s="1" t="n">
        <v>43546</v>
      </c>
      <c r="C418" s="1" t="n">
        <v>45358</v>
      </c>
      <c r="D418" t="inlineStr">
        <is>
          <t>HALLANDS LÄN</t>
        </is>
      </c>
      <c r="E418" t="inlineStr">
        <is>
          <t>VARBERG</t>
        </is>
      </c>
      <c r="G418" t="n">
        <v>1.8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16760-2019</t>
        </is>
      </c>
      <c r="B419" s="1" t="n">
        <v>43549</v>
      </c>
      <c r="C419" s="1" t="n">
        <v>45358</v>
      </c>
      <c r="D419" t="inlineStr">
        <is>
          <t>HALLANDS LÄN</t>
        </is>
      </c>
      <c r="E419" t="inlineStr">
        <is>
          <t>FALKENBERG</t>
        </is>
      </c>
      <c r="G419" t="n">
        <v>2.3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16818-2019</t>
        </is>
      </c>
      <c r="B420" s="1" t="n">
        <v>43549</v>
      </c>
      <c r="C420" s="1" t="n">
        <v>45358</v>
      </c>
      <c r="D420" t="inlineStr">
        <is>
          <t>HALLANDS LÄN</t>
        </is>
      </c>
      <c r="E420" t="inlineStr">
        <is>
          <t>FALKENBERG</t>
        </is>
      </c>
      <c r="G420" t="n">
        <v>4.3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16828-2019</t>
        </is>
      </c>
      <c r="B421" s="1" t="n">
        <v>43549</v>
      </c>
      <c r="C421" s="1" t="n">
        <v>45358</v>
      </c>
      <c r="D421" t="inlineStr">
        <is>
          <t>HALLANDS LÄN</t>
        </is>
      </c>
      <c r="E421" t="inlineStr">
        <is>
          <t>HYLTE</t>
        </is>
      </c>
      <c r="G421" t="n">
        <v>0.4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16829-2019</t>
        </is>
      </c>
      <c r="B422" s="1" t="n">
        <v>43549</v>
      </c>
      <c r="C422" s="1" t="n">
        <v>45358</v>
      </c>
      <c r="D422" t="inlineStr">
        <is>
          <t>HALLANDS LÄN</t>
        </is>
      </c>
      <c r="E422" t="inlineStr">
        <is>
          <t>HYLTE</t>
        </is>
      </c>
      <c r="G422" t="n">
        <v>0.7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16915-2019</t>
        </is>
      </c>
      <c r="B423" s="1" t="n">
        <v>43550</v>
      </c>
      <c r="C423" s="1" t="n">
        <v>45358</v>
      </c>
      <c r="D423" t="inlineStr">
        <is>
          <t>HALLANDS LÄN</t>
        </is>
      </c>
      <c r="E423" t="inlineStr">
        <is>
          <t>HYLTE</t>
        </is>
      </c>
      <c r="G423" t="n">
        <v>4.2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16996-2019</t>
        </is>
      </c>
      <c r="B424" s="1" t="n">
        <v>43550</v>
      </c>
      <c r="C424" s="1" t="n">
        <v>45358</v>
      </c>
      <c r="D424" t="inlineStr">
        <is>
          <t>HALLANDS LÄN</t>
        </is>
      </c>
      <c r="E424" t="inlineStr">
        <is>
          <t>FALKENBERG</t>
        </is>
      </c>
      <c r="G424" t="n">
        <v>3.8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16930-2019</t>
        </is>
      </c>
      <c r="B425" s="1" t="n">
        <v>43550</v>
      </c>
      <c r="C425" s="1" t="n">
        <v>45358</v>
      </c>
      <c r="D425" t="inlineStr">
        <is>
          <t>HALLANDS LÄN</t>
        </is>
      </c>
      <c r="E425" t="inlineStr">
        <is>
          <t>HYLTE</t>
        </is>
      </c>
      <c r="G425" t="n">
        <v>2.4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17145-2019</t>
        </is>
      </c>
      <c r="B426" s="1" t="n">
        <v>43551</v>
      </c>
      <c r="C426" s="1" t="n">
        <v>45358</v>
      </c>
      <c r="D426" t="inlineStr">
        <is>
          <t>HALLANDS LÄN</t>
        </is>
      </c>
      <c r="E426" t="inlineStr">
        <is>
          <t>KUNGSBACKA</t>
        </is>
      </c>
      <c r="G426" t="n">
        <v>3.1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17407-2019</t>
        </is>
      </c>
      <c r="B427" s="1" t="n">
        <v>43552</v>
      </c>
      <c r="C427" s="1" t="n">
        <v>45358</v>
      </c>
      <c r="D427" t="inlineStr">
        <is>
          <t>HALLANDS LÄN</t>
        </is>
      </c>
      <c r="E427" t="inlineStr">
        <is>
          <t>HYLTE</t>
        </is>
      </c>
      <c r="G427" t="n">
        <v>5.9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17406-2019</t>
        </is>
      </c>
      <c r="B428" s="1" t="n">
        <v>43552</v>
      </c>
      <c r="C428" s="1" t="n">
        <v>45358</v>
      </c>
      <c r="D428" t="inlineStr">
        <is>
          <t>HALLANDS LÄN</t>
        </is>
      </c>
      <c r="E428" t="inlineStr">
        <is>
          <t>HYLTE</t>
        </is>
      </c>
      <c r="G428" t="n">
        <v>1.8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17862-2019</t>
        </is>
      </c>
      <c r="B429" s="1" t="n">
        <v>43553</v>
      </c>
      <c r="C429" s="1" t="n">
        <v>45358</v>
      </c>
      <c r="D429" t="inlineStr">
        <is>
          <t>HALLANDS LÄN</t>
        </is>
      </c>
      <c r="E429" t="inlineStr">
        <is>
          <t>HALMSTAD</t>
        </is>
      </c>
      <c r="G429" t="n">
        <v>0.8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17559-2019</t>
        </is>
      </c>
      <c r="B430" s="1" t="n">
        <v>43553</v>
      </c>
      <c r="C430" s="1" t="n">
        <v>45358</v>
      </c>
      <c r="D430" t="inlineStr">
        <is>
          <t>HALLANDS LÄN</t>
        </is>
      </c>
      <c r="E430" t="inlineStr">
        <is>
          <t>HALMSTAD</t>
        </is>
      </c>
      <c r="G430" t="n">
        <v>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17558-2019</t>
        </is>
      </c>
      <c r="B431" s="1" t="n">
        <v>43553</v>
      </c>
      <c r="C431" s="1" t="n">
        <v>45358</v>
      </c>
      <c r="D431" t="inlineStr">
        <is>
          <t>HALLANDS LÄN</t>
        </is>
      </c>
      <c r="E431" t="inlineStr">
        <is>
          <t>HYLTE</t>
        </is>
      </c>
      <c r="G431" t="n">
        <v>1.1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17456-2019</t>
        </is>
      </c>
      <c r="B432" s="1" t="n">
        <v>43553</v>
      </c>
      <c r="C432" s="1" t="n">
        <v>45358</v>
      </c>
      <c r="D432" t="inlineStr">
        <is>
          <t>HALLANDS LÄN</t>
        </is>
      </c>
      <c r="E432" t="inlineStr">
        <is>
          <t>VARBERG</t>
        </is>
      </c>
      <c r="G432" t="n">
        <v>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17740-2019</t>
        </is>
      </c>
      <c r="B433" s="1" t="n">
        <v>43556</v>
      </c>
      <c r="C433" s="1" t="n">
        <v>45358</v>
      </c>
      <c r="D433" t="inlineStr">
        <is>
          <t>HALLANDS LÄN</t>
        </is>
      </c>
      <c r="E433" t="inlineStr">
        <is>
          <t>HALMSTAD</t>
        </is>
      </c>
      <c r="G433" t="n">
        <v>5.8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17783-2019</t>
        </is>
      </c>
      <c r="B434" s="1" t="n">
        <v>43556</v>
      </c>
      <c r="C434" s="1" t="n">
        <v>45358</v>
      </c>
      <c r="D434" t="inlineStr">
        <is>
          <t>HALLANDS LÄN</t>
        </is>
      </c>
      <c r="E434" t="inlineStr">
        <is>
          <t>HALMSTAD</t>
        </is>
      </c>
      <c r="G434" t="n">
        <v>3.5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17776-2019</t>
        </is>
      </c>
      <c r="B435" s="1" t="n">
        <v>43556</v>
      </c>
      <c r="C435" s="1" t="n">
        <v>45358</v>
      </c>
      <c r="D435" t="inlineStr">
        <is>
          <t>HALLANDS LÄN</t>
        </is>
      </c>
      <c r="E435" t="inlineStr">
        <is>
          <t>HALMSTAD</t>
        </is>
      </c>
      <c r="G435" t="n">
        <v>0.6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18252-2019</t>
        </is>
      </c>
      <c r="B436" s="1" t="n">
        <v>43557</v>
      </c>
      <c r="C436" s="1" t="n">
        <v>45358</v>
      </c>
      <c r="D436" t="inlineStr">
        <is>
          <t>HALLANDS LÄN</t>
        </is>
      </c>
      <c r="E436" t="inlineStr">
        <is>
          <t>HYLTE</t>
        </is>
      </c>
      <c r="G436" t="n">
        <v>3.3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17886-2019</t>
        </is>
      </c>
      <c r="B437" s="1" t="n">
        <v>43557</v>
      </c>
      <c r="C437" s="1" t="n">
        <v>45358</v>
      </c>
      <c r="D437" t="inlineStr">
        <is>
          <t>HALLANDS LÄN</t>
        </is>
      </c>
      <c r="E437" t="inlineStr">
        <is>
          <t>KUNGSBACKA</t>
        </is>
      </c>
      <c r="G437" t="n">
        <v>2.4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18231-2019</t>
        </is>
      </c>
      <c r="B438" s="1" t="n">
        <v>43558</v>
      </c>
      <c r="C438" s="1" t="n">
        <v>45358</v>
      </c>
      <c r="D438" t="inlineStr">
        <is>
          <t>HALLANDS LÄN</t>
        </is>
      </c>
      <c r="E438" t="inlineStr">
        <is>
          <t>HYLTE</t>
        </is>
      </c>
      <c r="G438" t="n">
        <v>2.1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18248-2019</t>
        </is>
      </c>
      <c r="B439" s="1" t="n">
        <v>43558</v>
      </c>
      <c r="C439" s="1" t="n">
        <v>45358</v>
      </c>
      <c r="D439" t="inlineStr">
        <is>
          <t>HALLANDS LÄN</t>
        </is>
      </c>
      <c r="E439" t="inlineStr">
        <is>
          <t>FALKENBERG</t>
        </is>
      </c>
      <c r="G439" t="n">
        <v>3.8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18298-2019</t>
        </is>
      </c>
      <c r="B440" s="1" t="n">
        <v>43558</v>
      </c>
      <c r="C440" s="1" t="n">
        <v>45358</v>
      </c>
      <c r="D440" t="inlineStr">
        <is>
          <t>HALLANDS LÄN</t>
        </is>
      </c>
      <c r="E440" t="inlineStr">
        <is>
          <t>VARBERG</t>
        </is>
      </c>
      <c r="G440" t="n">
        <v>12.8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18297-2019</t>
        </is>
      </c>
      <c r="B441" s="1" t="n">
        <v>43558</v>
      </c>
      <c r="C441" s="1" t="n">
        <v>45358</v>
      </c>
      <c r="D441" t="inlineStr">
        <is>
          <t>HALLANDS LÄN</t>
        </is>
      </c>
      <c r="E441" t="inlineStr">
        <is>
          <t>VARBERG</t>
        </is>
      </c>
      <c r="G441" t="n">
        <v>13.6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18226-2019</t>
        </is>
      </c>
      <c r="B442" s="1" t="n">
        <v>43558</v>
      </c>
      <c r="C442" s="1" t="n">
        <v>45358</v>
      </c>
      <c r="D442" t="inlineStr">
        <is>
          <t>HALLANDS LÄN</t>
        </is>
      </c>
      <c r="E442" t="inlineStr">
        <is>
          <t>HYLTE</t>
        </is>
      </c>
      <c r="G442" t="n">
        <v>4.9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18296-2019</t>
        </is>
      </c>
      <c r="B443" s="1" t="n">
        <v>43558</v>
      </c>
      <c r="C443" s="1" t="n">
        <v>45358</v>
      </c>
      <c r="D443" t="inlineStr">
        <is>
          <t>HALLANDS LÄN</t>
        </is>
      </c>
      <c r="E443" t="inlineStr">
        <is>
          <t>VARBERG</t>
        </is>
      </c>
      <c r="G443" t="n">
        <v>2.3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18541-2019</t>
        </is>
      </c>
      <c r="B444" s="1" t="n">
        <v>43558</v>
      </c>
      <c r="C444" s="1" t="n">
        <v>45358</v>
      </c>
      <c r="D444" t="inlineStr">
        <is>
          <t>HALLANDS LÄN</t>
        </is>
      </c>
      <c r="E444" t="inlineStr">
        <is>
          <t>FALKENBERG</t>
        </is>
      </c>
      <c r="G444" t="n">
        <v>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18306-2019</t>
        </is>
      </c>
      <c r="B445" s="1" t="n">
        <v>43558</v>
      </c>
      <c r="C445" s="1" t="n">
        <v>45358</v>
      </c>
      <c r="D445" t="inlineStr">
        <is>
          <t>HALLANDS LÄN</t>
        </is>
      </c>
      <c r="E445" t="inlineStr">
        <is>
          <t>VARBERG</t>
        </is>
      </c>
      <c r="G445" t="n">
        <v>1.8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18628-2019</t>
        </is>
      </c>
      <c r="B446" s="1" t="n">
        <v>43559</v>
      </c>
      <c r="C446" s="1" t="n">
        <v>45358</v>
      </c>
      <c r="D446" t="inlineStr">
        <is>
          <t>HALLANDS LÄN</t>
        </is>
      </c>
      <c r="E446" t="inlineStr">
        <is>
          <t>FALKENBERG</t>
        </is>
      </c>
      <c r="G446" t="n">
        <v>0.8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18661-2019</t>
        </is>
      </c>
      <c r="B447" s="1" t="n">
        <v>43560</v>
      </c>
      <c r="C447" s="1" t="n">
        <v>45358</v>
      </c>
      <c r="D447" t="inlineStr">
        <is>
          <t>HALLANDS LÄN</t>
        </is>
      </c>
      <c r="E447" t="inlineStr">
        <is>
          <t>HALMSTAD</t>
        </is>
      </c>
      <c r="G447" t="n">
        <v>1.7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18851-2019</t>
        </is>
      </c>
      <c r="B448" s="1" t="n">
        <v>43563</v>
      </c>
      <c r="C448" s="1" t="n">
        <v>45358</v>
      </c>
      <c r="D448" t="inlineStr">
        <is>
          <t>HALLANDS LÄN</t>
        </is>
      </c>
      <c r="E448" t="inlineStr">
        <is>
          <t>FALKENBERG</t>
        </is>
      </c>
      <c r="G448" t="n">
        <v>0.7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19013-2019</t>
        </is>
      </c>
      <c r="B449" s="1" t="n">
        <v>43563</v>
      </c>
      <c r="C449" s="1" t="n">
        <v>45358</v>
      </c>
      <c r="D449" t="inlineStr">
        <is>
          <t>HALLANDS LÄN</t>
        </is>
      </c>
      <c r="E449" t="inlineStr">
        <is>
          <t>KUNGSBACKA</t>
        </is>
      </c>
      <c r="G449" t="n">
        <v>2.8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18990-2019</t>
        </is>
      </c>
      <c r="B450" s="1" t="n">
        <v>43563</v>
      </c>
      <c r="C450" s="1" t="n">
        <v>45358</v>
      </c>
      <c r="D450" t="inlineStr">
        <is>
          <t>HALLANDS LÄN</t>
        </is>
      </c>
      <c r="E450" t="inlineStr">
        <is>
          <t>HYLTE</t>
        </is>
      </c>
      <c r="G450" t="n">
        <v>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19188-2019</t>
        </is>
      </c>
      <c r="B451" s="1" t="n">
        <v>43564</v>
      </c>
      <c r="C451" s="1" t="n">
        <v>45358</v>
      </c>
      <c r="D451" t="inlineStr">
        <is>
          <t>HALLANDS LÄN</t>
        </is>
      </c>
      <c r="E451" t="inlineStr">
        <is>
          <t>HYLTE</t>
        </is>
      </c>
      <c r="G451" t="n">
        <v>4.5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19203-2019</t>
        </is>
      </c>
      <c r="B452" s="1" t="n">
        <v>43564</v>
      </c>
      <c r="C452" s="1" t="n">
        <v>45358</v>
      </c>
      <c r="D452" t="inlineStr">
        <is>
          <t>HALLANDS LÄN</t>
        </is>
      </c>
      <c r="E452" t="inlineStr">
        <is>
          <t>HALMSTAD</t>
        </is>
      </c>
      <c r="G452" t="n">
        <v>1.3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19223-2019</t>
        </is>
      </c>
      <c r="B453" s="1" t="n">
        <v>43564</v>
      </c>
      <c r="C453" s="1" t="n">
        <v>45358</v>
      </c>
      <c r="D453" t="inlineStr">
        <is>
          <t>HALLANDS LÄN</t>
        </is>
      </c>
      <c r="E453" t="inlineStr">
        <is>
          <t>HYLTE</t>
        </is>
      </c>
      <c r="G453" t="n">
        <v>3.4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19535-2019</t>
        </is>
      </c>
      <c r="B454" s="1" t="n">
        <v>43565</v>
      </c>
      <c r="C454" s="1" t="n">
        <v>45358</v>
      </c>
      <c r="D454" t="inlineStr">
        <is>
          <t>HALLANDS LÄN</t>
        </is>
      </c>
      <c r="E454" t="inlineStr">
        <is>
          <t>LAHOLM</t>
        </is>
      </c>
      <c r="G454" t="n">
        <v>4.7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19331-2019</t>
        </is>
      </c>
      <c r="B455" s="1" t="n">
        <v>43565</v>
      </c>
      <c r="C455" s="1" t="n">
        <v>45358</v>
      </c>
      <c r="D455" t="inlineStr">
        <is>
          <t>HALLANDS LÄN</t>
        </is>
      </c>
      <c r="E455" t="inlineStr">
        <is>
          <t>KUNGSBACKA</t>
        </is>
      </c>
      <c r="G455" t="n">
        <v>0.8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19284-2019</t>
        </is>
      </c>
      <c r="B456" s="1" t="n">
        <v>43565</v>
      </c>
      <c r="C456" s="1" t="n">
        <v>45358</v>
      </c>
      <c r="D456" t="inlineStr">
        <is>
          <t>HALLANDS LÄN</t>
        </is>
      </c>
      <c r="E456" t="inlineStr">
        <is>
          <t>HYLTE</t>
        </is>
      </c>
      <c r="G456" t="n">
        <v>1.6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19994-2019</t>
        </is>
      </c>
      <c r="B457" s="1" t="n">
        <v>43566</v>
      </c>
      <c r="C457" s="1" t="n">
        <v>45358</v>
      </c>
      <c r="D457" t="inlineStr">
        <is>
          <t>HALLANDS LÄN</t>
        </is>
      </c>
      <c r="E457" t="inlineStr">
        <is>
          <t>HYLTE</t>
        </is>
      </c>
      <c r="G457" t="n">
        <v>4.6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20022-2019</t>
        </is>
      </c>
      <c r="B458" s="1" t="n">
        <v>43570</v>
      </c>
      <c r="C458" s="1" t="n">
        <v>45358</v>
      </c>
      <c r="D458" t="inlineStr">
        <is>
          <t>HALLANDS LÄN</t>
        </is>
      </c>
      <c r="E458" t="inlineStr">
        <is>
          <t>VARBERG</t>
        </is>
      </c>
      <c r="G458" t="n">
        <v>1.4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20124-2019</t>
        </is>
      </c>
      <c r="B459" s="1" t="n">
        <v>43570</v>
      </c>
      <c r="C459" s="1" t="n">
        <v>45358</v>
      </c>
      <c r="D459" t="inlineStr">
        <is>
          <t>HALLANDS LÄN</t>
        </is>
      </c>
      <c r="E459" t="inlineStr">
        <is>
          <t>HYLTE</t>
        </is>
      </c>
      <c r="G459" t="n">
        <v>1.1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20122-2019</t>
        </is>
      </c>
      <c r="B460" s="1" t="n">
        <v>43570</v>
      </c>
      <c r="C460" s="1" t="n">
        <v>45358</v>
      </c>
      <c r="D460" t="inlineStr">
        <is>
          <t>HALLANDS LÄN</t>
        </is>
      </c>
      <c r="E460" t="inlineStr">
        <is>
          <t>LAHOLM</t>
        </is>
      </c>
      <c r="G460" t="n">
        <v>1.1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20146-2019</t>
        </is>
      </c>
      <c r="B461" s="1" t="n">
        <v>43570</v>
      </c>
      <c r="C461" s="1" t="n">
        <v>45358</v>
      </c>
      <c r="D461" t="inlineStr">
        <is>
          <t>HALLANDS LÄN</t>
        </is>
      </c>
      <c r="E461" t="inlineStr">
        <is>
          <t>VARBERG</t>
        </is>
      </c>
      <c r="G461" t="n">
        <v>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20327-2019</t>
        </is>
      </c>
      <c r="B462" s="1" t="n">
        <v>43571</v>
      </c>
      <c r="C462" s="1" t="n">
        <v>45358</v>
      </c>
      <c r="D462" t="inlineStr">
        <is>
          <t>HALLANDS LÄN</t>
        </is>
      </c>
      <c r="E462" t="inlineStr">
        <is>
          <t>HALMSTAD</t>
        </is>
      </c>
      <c r="G462" t="n">
        <v>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20554-2019</t>
        </is>
      </c>
      <c r="B463" s="1" t="n">
        <v>43572</v>
      </c>
      <c r="C463" s="1" t="n">
        <v>45358</v>
      </c>
      <c r="D463" t="inlineStr">
        <is>
          <t>HALLANDS LÄN</t>
        </is>
      </c>
      <c r="E463" t="inlineStr">
        <is>
          <t>HALMSTAD</t>
        </is>
      </c>
      <c r="G463" t="n">
        <v>0.7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20735-2019</t>
        </is>
      </c>
      <c r="B464" s="1" t="n">
        <v>43573</v>
      </c>
      <c r="C464" s="1" t="n">
        <v>45358</v>
      </c>
      <c r="D464" t="inlineStr">
        <is>
          <t>HALLANDS LÄN</t>
        </is>
      </c>
      <c r="E464" t="inlineStr">
        <is>
          <t>HYLTE</t>
        </is>
      </c>
      <c r="G464" t="n">
        <v>1.1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20882-2019</t>
        </is>
      </c>
      <c r="B465" s="1" t="n">
        <v>43578</v>
      </c>
      <c r="C465" s="1" t="n">
        <v>45358</v>
      </c>
      <c r="D465" t="inlineStr">
        <is>
          <t>HALLANDS LÄN</t>
        </is>
      </c>
      <c r="E465" t="inlineStr">
        <is>
          <t>VARBERG</t>
        </is>
      </c>
      <c r="G465" t="n">
        <v>1.8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21022-2019</t>
        </is>
      </c>
      <c r="B466" s="1" t="n">
        <v>43578</v>
      </c>
      <c r="C466" s="1" t="n">
        <v>45358</v>
      </c>
      <c r="D466" t="inlineStr">
        <is>
          <t>HALLANDS LÄN</t>
        </is>
      </c>
      <c r="E466" t="inlineStr">
        <is>
          <t>LAHOLM</t>
        </is>
      </c>
      <c r="G466" t="n">
        <v>5.4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21151-2019</t>
        </is>
      </c>
      <c r="B467" s="1" t="n">
        <v>43578</v>
      </c>
      <c r="C467" s="1" t="n">
        <v>45358</v>
      </c>
      <c r="D467" t="inlineStr">
        <is>
          <t>HALLANDS LÄN</t>
        </is>
      </c>
      <c r="E467" t="inlineStr">
        <is>
          <t>LAHOLM</t>
        </is>
      </c>
      <c r="G467" t="n">
        <v>0.8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21163-2019</t>
        </is>
      </c>
      <c r="B468" s="1" t="n">
        <v>43578</v>
      </c>
      <c r="C468" s="1" t="n">
        <v>45358</v>
      </c>
      <c r="D468" t="inlineStr">
        <is>
          <t>HALLANDS LÄN</t>
        </is>
      </c>
      <c r="E468" t="inlineStr">
        <is>
          <t>HALMSTAD</t>
        </is>
      </c>
      <c r="G468" t="n">
        <v>2.6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20878-2019</t>
        </is>
      </c>
      <c r="B469" s="1" t="n">
        <v>43578</v>
      </c>
      <c r="C469" s="1" t="n">
        <v>45358</v>
      </c>
      <c r="D469" t="inlineStr">
        <is>
          <t>HALLANDS LÄN</t>
        </is>
      </c>
      <c r="E469" t="inlineStr">
        <is>
          <t>VARBERG</t>
        </is>
      </c>
      <c r="G469" t="n">
        <v>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21024-2019</t>
        </is>
      </c>
      <c r="B470" s="1" t="n">
        <v>43578</v>
      </c>
      <c r="C470" s="1" t="n">
        <v>45358</v>
      </c>
      <c r="D470" t="inlineStr">
        <is>
          <t>HALLANDS LÄN</t>
        </is>
      </c>
      <c r="E470" t="inlineStr">
        <is>
          <t>LAHOLM</t>
        </is>
      </c>
      <c r="G470" t="n">
        <v>1.7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21159-2019</t>
        </is>
      </c>
      <c r="B471" s="1" t="n">
        <v>43578</v>
      </c>
      <c r="C471" s="1" t="n">
        <v>45358</v>
      </c>
      <c r="D471" t="inlineStr">
        <is>
          <t>HALLANDS LÄN</t>
        </is>
      </c>
      <c r="E471" t="inlineStr">
        <is>
          <t>HALMSTAD</t>
        </is>
      </c>
      <c r="G471" t="n">
        <v>1.1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21135-2019</t>
        </is>
      </c>
      <c r="B472" s="1" t="n">
        <v>43579</v>
      </c>
      <c r="C472" s="1" t="n">
        <v>45358</v>
      </c>
      <c r="D472" t="inlineStr">
        <is>
          <t>HALLANDS LÄN</t>
        </is>
      </c>
      <c r="E472" t="inlineStr">
        <is>
          <t>FALKENBERG</t>
        </is>
      </c>
      <c r="G472" t="n">
        <v>1.9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21448-2019</t>
        </is>
      </c>
      <c r="B473" s="1" t="n">
        <v>43580</v>
      </c>
      <c r="C473" s="1" t="n">
        <v>45358</v>
      </c>
      <c r="D473" t="inlineStr">
        <is>
          <t>HALLANDS LÄN</t>
        </is>
      </c>
      <c r="E473" t="inlineStr">
        <is>
          <t>LAHOLM</t>
        </is>
      </c>
      <c r="G473" t="n">
        <v>4.4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21505-2019</t>
        </is>
      </c>
      <c r="B474" s="1" t="n">
        <v>43580</v>
      </c>
      <c r="C474" s="1" t="n">
        <v>45358</v>
      </c>
      <c r="D474" t="inlineStr">
        <is>
          <t>HALLANDS LÄN</t>
        </is>
      </c>
      <c r="E474" t="inlineStr">
        <is>
          <t>KUNGSBACKA</t>
        </is>
      </c>
      <c r="G474" t="n">
        <v>7.7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21536-2019</t>
        </is>
      </c>
      <c r="B475" s="1" t="n">
        <v>43580</v>
      </c>
      <c r="C475" s="1" t="n">
        <v>45358</v>
      </c>
      <c r="D475" t="inlineStr">
        <is>
          <t>HALLANDS LÄN</t>
        </is>
      </c>
      <c r="E475" t="inlineStr">
        <is>
          <t>HALMSTAD</t>
        </is>
      </c>
      <c r="G475" t="n">
        <v>1.6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21713-2019</t>
        </is>
      </c>
      <c r="B476" s="1" t="n">
        <v>43581</v>
      </c>
      <c r="C476" s="1" t="n">
        <v>45358</v>
      </c>
      <c r="D476" t="inlineStr">
        <is>
          <t>HALLANDS LÄN</t>
        </is>
      </c>
      <c r="E476" t="inlineStr">
        <is>
          <t>HALMSTAD</t>
        </is>
      </c>
      <c r="G476" t="n">
        <v>7.5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21664-2019</t>
        </is>
      </c>
      <c r="B477" s="1" t="n">
        <v>43581</v>
      </c>
      <c r="C477" s="1" t="n">
        <v>45358</v>
      </c>
      <c r="D477" t="inlineStr">
        <is>
          <t>HALLANDS LÄN</t>
        </is>
      </c>
      <c r="E477" t="inlineStr">
        <is>
          <t>LAHOLM</t>
        </is>
      </c>
      <c r="G477" t="n">
        <v>1.4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21649-2019</t>
        </is>
      </c>
      <c r="B478" s="1" t="n">
        <v>43581</v>
      </c>
      <c r="C478" s="1" t="n">
        <v>45358</v>
      </c>
      <c r="D478" t="inlineStr">
        <is>
          <t>HALLANDS LÄN</t>
        </is>
      </c>
      <c r="E478" t="inlineStr">
        <is>
          <t>HYLTE</t>
        </is>
      </c>
      <c r="G478" t="n">
        <v>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21824-2019</t>
        </is>
      </c>
      <c r="B479" s="1" t="n">
        <v>43583</v>
      </c>
      <c r="C479" s="1" t="n">
        <v>45358</v>
      </c>
      <c r="D479" t="inlineStr">
        <is>
          <t>HALLANDS LÄN</t>
        </is>
      </c>
      <c r="E479" t="inlineStr">
        <is>
          <t>VARBERG</t>
        </is>
      </c>
      <c r="G479" t="n">
        <v>0.7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21944-2019</t>
        </is>
      </c>
      <c r="B480" s="1" t="n">
        <v>43584</v>
      </c>
      <c r="C480" s="1" t="n">
        <v>45358</v>
      </c>
      <c r="D480" t="inlineStr">
        <is>
          <t>HALLANDS LÄN</t>
        </is>
      </c>
      <c r="E480" t="inlineStr">
        <is>
          <t>VARBERG</t>
        </is>
      </c>
      <c r="G480" t="n">
        <v>3.2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21996-2019</t>
        </is>
      </c>
      <c r="B481" s="1" t="n">
        <v>43584</v>
      </c>
      <c r="C481" s="1" t="n">
        <v>45358</v>
      </c>
      <c r="D481" t="inlineStr">
        <is>
          <t>HALLANDS LÄN</t>
        </is>
      </c>
      <c r="E481" t="inlineStr">
        <is>
          <t>KUNGSBACKA</t>
        </is>
      </c>
      <c r="G481" t="n">
        <v>4.5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21988-2019</t>
        </is>
      </c>
      <c r="B482" s="1" t="n">
        <v>43584</v>
      </c>
      <c r="C482" s="1" t="n">
        <v>45358</v>
      </c>
      <c r="D482" t="inlineStr">
        <is>
          <t>HALLANDS LÄN</t>
        </is>
      </c>
      <c r="E482" t="inlineStr">
        <is>
          <t>HYLTE</t>
        </is>
      </c>
      <c r="G482" t="n">
        <v>0.7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22474-2019</t>
        </is>
      </c>
      <c r="B483" s="1" t="n">
        <v>43587</v>
      </c>
      <c r="C483" s="1" t="n">
        <v>45358</v>
      </c>
      <c r="D483" t="inlineStr">
        <is>
          <t>HALLANDS LÄN</t>
        </is>
      </c>
      <c r="E483" t="inlineStr">
        <is>
          <t>KUNGSBACKA</t>
        </is>
      </c>
      <c r="G483" t="n">
        <v>0.6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22488-2019</t>
        </is>
      </c>
      <c r="B484" s="1" t="n">
        <v>43587</v>
      </c>
      <c r="C484" s="1" t="n">
        <v>45358</v>
      </c>
      <c r="D484" t="inlineStr">
        <is>
          <t>HALLANDS LÄN</t>
        </is>
      </c>
      <c r="E484" t="inlineStr">
        <is>
          <t>LAHOLM</t>
        </is>
      </c>
      <c r="G484" t="n">
        <v>1.3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22407-2019</t>
        </is>
      </c>
      <c r="B485" s="1" t="n">
        <v>43587</v>
      </c>
      <c r="C485" s="1" t="n">
        <v>45358</v>
      </c>
      <c r="D485" t="inlineStr">
        <is>
          <t>HALLANDS LÄN</t>
        </is>
      </c>
      <c r="E485" t="inlineStr">
        <is>
          <t>HYLTE</t>
        </is>
      </c>
      <c r="G485" t="n">
        <v>3.4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22652-2019</t>
        </is>
      </c>
      <c r="B486" s="1" t="n">
        <v>43588</v>
      </c>
      <c r="C486" s="1" t="n">
        <v>45358</v>
      </c>
      <c r="D486" t="inlineStr">
        <is>
          <t>HALLANDS LÄN</t>
        </is>
      </c>
      <c r="E486" t="inlineStr">
        <is>
          <t>FALKENBERG</t>
        </is>
      </c>
      <c r="F486" t="inlineStr">
        <is>
          <t>Bergvik skog väst AB</t>
        </is>
      </c>
      <c r="G486" t="n">
        <v>1.8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22651-2019</t>
        </is>
      </c>
      <c r="B487" s="1" t="n">
        <v>43588</v>
      </c>
      <c r="C487" s="1" t="n">
        <v>45358</v>
      </c>
      <c r="D487" t="inlineStr">
        <is>
          <t>HALLANDS LÄN</t>
        </is>
      </c>
      <c r="E487" t="inlineStr">
        <is>
          <t>FALKENBERG</t>
        </is>
      </c>
      <c r="F487" t="inlineStr">
        <is>
          <t>Bergvik skog väst AB</t>
        </is>
      </c>
      <c r="G487" t="n">
        <v>0.5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22855-2019</t>
        </is>
      </c>
      <c r="B488" s="1" t="n">
        <v>43591</v>
      </c>
      <c r="C488" s="1" t="n">
        <v>45358</v>
      </c>
      <c r="D488" t="inlineStr">
        <is>
          <t>HALLANDS LÄN</t>
        </is>
      </c>
      <c r="E488" t="inlineStr">
        <is>
          <t>FALKENBERG</t>
        </is>
      </c>
      <c r="G488" t="n">
        <v>1.1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22856-2019</t>
        </is>
      </c>
      <c r="B489" s="1" t="n">
        <v>43591</v>
      </c>
      <c r="C489" s="1" t="n">
        <v>45358</v>
      </c>
      <c r="D489" t="inlineStr">
        <is>
          <t>HALLANDS LÄN</t>
        </is>
      </c>
      <c r="E489" t="inlineStr">
        <is>
          <t>FALKENBERG</t>
        </is>
      </c>
      <c r="G489" t="n">
        <v>0.7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23113-2019</t>
        </is>
      </c>
      <c r="B490" s="1" t="n">
        <v>43592</v>
      </c>
      <c r="C490" s="1" t="n">
        <v>45358</v>
      </c>
      <c r="D490" t="inlineStr">
        <is>
          <t>HALLANDS LÄN</t>
        </is>
      </c>
      <c r="E490" t="inlineStr">
        <is>
          <t>LAHOLM</t>
        </is>
      </c>
      <c r="G490" t="n">
        <v>11.4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23219-2019</t>
        </is>
      </c>
      <c r="B491" s="1" t="n">
        <v>43592</v>
      </c>
      <c r="C491" s="1" t="n">
        <v>45358</v>
      </c>
      <c r="D491" t="inlineStr">
        <is>
          <t>HALLANDS LÄN</t>
        </is>
      </c>
      <c r="E491" t="inlineStr">
        <is>
          <t>LAHOLM</t>
        </is>
      </c>
      <c r="G491" t="n">
        <v>1.4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23552-2019</t>
        </is>
      </c>
      <c r="B492" s="1" t="n">
        <v>43593</v>
      </c>
      <c r="C492" s="1" t="n">
        <v>45358</v>
      </c>
      <c r="D492" t="inlineStr">
        <is>
          <t>HALLANDS LÄN</t>
        </is>
      </c>
      <c r="E492" t="inlineStr">
        <is>
          <t>HALMSTAD</t>
        </is>
      </c>
      <c r="F492" t="inlineStr">
        <is>
          <t>Kyrkan</t>
        </is>
      </c>
      <c r="G492" t="n">
        <v>2.6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23522-2019</t>
        </is>
      </c>
      <c r="B493" s="1" t="n">
        <v>43593</v>
      </c>
      <c r="C493" s="1" t="n">
        <v>45358</v>
      </c>
      <c r="D493" t="inlineStr">
        <is>
          <t>HALLANDS LÄN</t>
        </is>
      </c>
      <c r="E493" t="inlineStr">
        <is>
          <t>HALMSTAD</t>
        </is>
      </c>
      <c r="F493" t="inlineStr">
        <is>
          <t>Kyrkan</t>
        </is>
      </c>
      <c r="G493" t="n">
        <v>0.7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23924-2019</t>
        </is>
      </c>
      <c r="B494" s="1" t="n">
        <v>43595</v>
      </c>
      <c r="C494" s="1" t="n">
        <v>45358</v>
      </c>
      <c r="D494" t="inlineStr">
        <is>
          <t>HALLANDS LÄN</t>
        </is>
      </c>
      <c r="E494" t="inlineStr">
        <is>
          <t>FALKENBERG</t>
        </is>
      </c>
      <c r="G494" t="n">
        <v>10.7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23857-2019</t>
        </is>
      </c>
      <c r="B495" s="1" t="n">
        <v>43595</v>
      </c>
      <c r="C495" s="1" t="n">
        <v>45358</v>
      </c>
      <c r="D495" t="inlineStr">
        <is>
          <t>HALLANDS LÄN</t>
        </is>
      </c>
      <c r="E495" t="inlineStr">
        <is>
          <t>KUNGSBACKA</t>
        </is>
      </c>
      <c r="G495" t="n">
        <v>0.5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24057-2019</t>
        </is>
      </c>
      <c r="B496" s="1" t="n">
        <v>43598</v>
      </c>
      <c r="C496" s="1" t="n">
        <v>45358</v>
      </c>
      <c r="D496" t="inlineStr">
        <is>
          <t>HALLANDS LÄN</t>
        </is>
      </c>
      <c r="E496" t="inlineStr">
        <is>
          <t>VARBERG</t>
        </is>
      </c>
      <c r="G496" t="n">
        <v>0.7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24047-2019</t>
        </is>
      </c>
      <c r="B497" s="1" t="n">
        <v>43598</v>
      </c>
      <c r="C497" s="1" t="n">
        <v>45358</v>
      </c>
      <c r="D497" t="inlineStr">
        <is>
          <t>HALLANDS LÄN</t>
        </is>
      </c>
      <c r="E497" t="inlineStr">
        <is>
          <t>LAHOLM</t>
        </is>
      </c>
      <c r="F497" t="inlineStr">
        <is>
          <t>Övriga statliga verk och myndigheter</t>
        </is>
      </c>
      <c r="G497" t="n">
        <v>0.8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24232-2019</t>
        </is>
      </c>
      <c r="B498" s="1" t="n">
        <v>43599</v>
      </c>
      <c r="C498" s="1" t="n">
        <v>45358</v>
      </c>
      <c r="D498" t="inlineStr">
        <is>
          <t>HALLANDS LÄN</t>
        </is>
      </c>
      <c r="E498" t="inlineStr">
        <is>
          <t>VARBERG</t>
        </is>
      </c>
      <c r="G498" t="n">
        <v>2.4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24264-2019</t>
        </is>
      </c>
      <c r="B499" s="1" t="n">
        <v>43599</v>
      </c>
      <c r="C499" s="1" t="n">
        <v>45358</v>
      </c>
      <c r="D499" t="inlineStr">
        <is>
          <t>HALLANDS LÄN</t>
        </is>
      </c>
      <c r="E499" t="inlineStr">
        <is>
          <t>VARBERG</t>
        </is>
      </c>
      <c r="G499" t="n">
        <v>4.2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24269-2019</t>
        </is>
      </c>
      <c r="B500" s="1" t="n">
        <v>43599</v>
      </c>
      <c r="C500" s="1" t="n">
        <v>45358</v>
      </c>
      <c r="D500" t="inlineStr">
        <is>
          <t>HALLANDS LÄN</t>
        </is>
      </c>
      <c r="E500" t="inlineStr">
        <is>
          <t>VARBERG</t>
        </is>
      </c>
      <c r="G500" t="n">
        <v>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24480-2019</t>
        </is>
      </c>
      <c r="B501" s="1" t="n">
        <v>43600</v>
      </c>
      <c r="C501" s="1" t="n">
        <v>45358</v>
      </c>
      <c r="D501" t="inlineStr">
        <is>
          <t>HALLANDS LÄN</t>
        </is>
      </c>
      <c r="E501" t="inlineStr">
        <is>
          <t>HALMSTAD</t>
        </is>
      </c>
      <c r="G501" t="n">
        <v>0.3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24588-2019</t>
        </is>
      </c>
      <c r="B502" s="1" t="n">
        <v>43601</v>
      </c>
      <c r="C502" s="1" t="n">
        <v>45358</v>
      </c>
      <c r="D502" t="inlineStr">
        <is>
          <t>HALLANDS LÄN</t>
        </is>
      </c>
      <c r="E502" t="inlineStr">
        <is>
          <t>VARBERG</t>
        </is>
      </c>
      <c r="G502" t="n">
        <v>5.9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24587-2019</t>
        </is>
      </c>
      <c r="B503" s="1" t="n">
        <v>43601</v>
      </c>
      <c r="C503" s="1" t="n">
        <v>45358</v>
      </c>
      <c r="D503" t="inlineStr">
        <is>
          <t>HALLANDS LÄN</t>
        </is>
      </c>
      <c r="E503" t="inlineStr">
        <is>
          <t>VARBERG</t>
        </is>
      </c>
      <c r="G503" t="n">
        <v>0.5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25198-2019</t>
        </is>
      </c>
      <c r="B504" s="1" t="n">
        <v>43605</v>
      </c>
      <c r="C504" s="1" t="n">
        <v>45358</v>
      </c>
      <c r="D504" t="inlineStr">
        <is>
          <t>HALLANDS LÄN</t>
        </is>
      </c>
      <c r="E504" t="inlineStr">
        <is>
          <t>HALMSTAD</t>
        </is>
      </c>
      <c r="F504" t="inlineStr">
        <is>
          <t>Övriga statliga verk och myndigheter</t>
        </is>
      </c>
      <c r="G504" t="n">
        <v>8.4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25222-2019</t>
        </is>
      </c>
      <c r="B505" s="1" t="n">
        <v>43605</v>
      </c>
      <c r="C505" s="1" t="n">
        <v>45358</v>
      </c>
      <c r="D505" t="inlineStr">
        <is>
          <t>HALLANDS LÄN</t>
        </is>
      </c>
      <c r="E505" t="inlineStr">
        <is>
          <t>HALMSTAD</t>
        </is>
      </c>
      <c r="F505" t="inlineStr">
        <is>
          <t>Övriga statliga verk och myndigheter</t>
        </is>
      </c>
      <c r="G505" t="n">
        <v>2.1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26295-2019</t>
        </is>
      </c>
      <c r="B506" s="1" t="n">
        <v>43606</v>
      </c>
      <c r="C506" s="1" t="n">
        <v>45358</v>
      </c>
      <c r="D506" t="inlineStr">
        <is>
          <t>HALLANDS LÄN</t>
        </is>
      </c>
      <c r="E506" t="inlineStr">
        <is>
          <t>HALMSTAD</t>
        </is>
      </c>
      <c r="G506" t="n">
        <v>2.4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26354-2019</t>
        </is>
      </c>
      <c r="B507" s="1" t="n">
        <v>43606</v>
      </c>
      <c r="C507" s="1" t="n">
        <v>45358</v>
      </c>
      <c r="D507" t="inlineStr">
        <is>
          <t>HALLANDS LÄN</t>
        </is>
      </c>
      <c r="E507" t="inlineStr">
        <is>
          <t>HYLTE</t>
        </is>
      </c>
      <c r="G507" t="n">
        <v>0.4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25536-2019</t>
        </is>
      </c>
      <c r="B508" s="1" t="n">
        <v>43606</v>
      </c>
      <c r="C508" s="1" t="n">
        <v>45358</v>
      </c>
      <c r="D508" t="inlineStr">
        <is>
          <t>HALLANDS LÄN</t>
        </is>
      </c>
      <c r="E508" t="inlineStr">
        <is>
          <t>KUNGSBACKA</t>
        </is>
      </c>
      <c r="G508" t="n">
        <v>6.6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25571-2019</t>
        </is>
      </c>
      <c r="B509" s="1" t="n">
        <v>43607</v>
      </c>
      <c r="C509" s="1" t="n">
        <v>45358</v>
      </c>
      <c r="D509" t="inlineStr">
        <is>
          <t>HALLANDS LÄN</t>
        </is>
      </c>
      <c r="E509" t="inlineStr">
        <is>
          <t>FALKENBERG</t>
        </is>
      </c>
      <c r="G509" t="n">
        <v>0.8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25913-2019</t>
        </is>
      </c>
      <c r="B510" s="1" t="n">
        <v>43608</v>
      </c>
      <c r="C510" s="1" t="n">
        <v>45358</v>
      </c>
      <c r="D510" t="inlineStr">
        <is>
          <t>HALLANDS LÄN</t>
        </is>
      </c>
      <c r="E510" t="inlineStr">
        <is>
          <t>FALKENBERG</t>
        </is>
      </c>
      <c r="F510" t="inlineStr">
        <is>
          <t>Bergvik skog väst AB</t>
        </is>
      </c>
      <c r="G510" t="n">
        <v>2.1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26135-2019</t>
        </is>
      </c>
      <c r="B511" s="1" t="n">
        <v>43609</v>
      </c>
      <c r="C511" s="1" t="n">
        <v>45358</v>
      </c>
      <c r="D511" t="inlineStr">
        <is>
          <t>HALLANDS LÄN</t>
        </is>
      </c>
      <c r="E511" t="inlineStr">
        <is>
          <t>HALMSTAD</t>
        </is>
      </c>
      <c r="F511" t="inlineStr">
        <is>
          <t>Övriga statliga verk och myndigheter</t>
        </is>
      </c>
      <c r="G511" t="n">
        <v>4.7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26454-2019</t>
        </is>
      </c>
      <c r="B512" s="1" t="n">
        <v>43612</v>
      </c>
      <c r="C512" s="1" t="n">
        <v>45358</v>
      </c>
      <c r="D512" t="inlineStr">
        <is>
          <t>HALLANDS LÄN</t>
        </is>
      </c>
      <c r="E512" t="inlineStr">
        <is>
          <t>HYLTE</t>
        </is>
      </c>
      <c r="G512" t="n">
        <v>0.6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26392-2019</t>
        </is>
      </c>
      <c r="B513" s="1" t="n">
        <v>43612</v>
      </c>
      <c r="C513" s="1" t="n">
        <v>45358</v>
      </c>
      <c r="D513" t="inlineStr">
        <is>
          <t>HALLANDS LÄN</t>
        </is>
      </c>
      <c r="E513" t="inlineStr">
        <is>
          <t>FALKENBERG</t>
        </is>
      </c>
      <c r="G513" t="n">
        <v>1.7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26463-2019</t>
        </is>
      </c>
      <c r="B514" s="1" t="n">
        <v>43612</v>
      </c>
      <c r="C514" s="1" t="n">
        <v>45358</v>
      </c>
      <c r="D514" t="inlineStr">
        <is>
          <t>HALLANDS LÄN</t>
        </is>
      </c>
      <c r="E514" t="inlineStr">
        <is>
          <t>HYLTE</t>
        </is>
      </c>
      <c r="G514" t="n">
        <v>0.4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26455-2019</t>
        </is>
      </c>
      <c r="B515" s="1" t="n">
        <v>43612</v>
      </c>
      <c r="C515" s="1" t="n">
        <v>45358</v>
      </c>
      <c r="D515" t="inlineStr">
        <is>
          <t>HALLANDS LÄN</t>
        </is>
      </c>
      <c r="E515" t="inlineStr">
        <is>
          <t>HYLTE</t>
        </is>
      </c>
      <c r="G515" t="n">
        <v>0.9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26930-2019</t>
        </is>
      </c>
      <c r="B516" s="1" t="n">
        <v>43613</v>
      </c>
      <c r="C516" s="1" t="n">
        <v>45358</v>
      </c>
      <c r="D516" t="inlineStr">
        <is>
          <t>HALLANDS LÄN</t>
        </is>
      </c>
      <c r="E516" t="inlineStr">
        <is>
          <t>VARBERG</t>
        </is>
      </c>
      <c r="G516" t="n">
        <v>2.4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26744-2019</t>
        </is>
      </c>
      <c r="B517" s="1" t="n">
        <v>43613</v>
      </c>
      <c r="C517" s="1" t="n">
        <v>45358</v>
      </c>
      <c r="D517" t="inlineStr">
        <is>
          <t>HALLANDS LÄN</t>
        </is>
      </c>
      <c r="E517" t="inlineStr">
        <is>
          <t>LAHOLM</t>
        </is>
      </c>
      <c r="G517" t="n">
        <v>1.1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28901-2019</t>
        </is>
      </c>
      <c r="B518" s="1" t="n">
        <v>43616</v>
      </c>
      <c r="C518" s="1" t="n">
        <v>45358</v>
      </c>
      <c r="D518" t="inlineStr">
        <is>
          <t>HALLANDS LÄN</t>
        </is>
      </c>
      <c r="E518" t="inlineStr">
        <is>
          <t>HYLTE</t>
        </is>
      </c>
      <c r="G518" t="n">
        <v>0.6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27664-2019</t>
        </is>
      </c>
      <c r="B519" s="1" t="n">
        <v>43619</v>
      </c>
      <c r="C519" s="1" t="n">
        <v>45358</v>
      </c>
      <c r="D519" t="inlineStr">
        <is>
          <t>HALLANDS LÄN</t>
        </is>
      </c>
      <c r="E519" t="inlineStr">
        <is>
          <t>FALKENBERG</t>
        </is>
      </c>
      <c r="G519" t="n">
        <v>1.1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27675-2019</t>
        </is>
      </c>
      <c r="B520" s="1" t="n">
        <v>43619</v>
      </c>
      <c r="C520" s="1" t="n">
        <v>45358</v>
      </c>
      <c r="D520" t="inlineStr">
        <is>
          <t>HALLANDS LÄN</t>
        </is>
      </c>
      <c r="E520" t="inlineStr">
        <is>
          <t>FALKENBERG</t>
        </is>
      </c>
      <c r="G520" t="n">
        <v>1.7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27633-2019</t>
        </is>
      </c>
      <c r="B521" s="1" t="n">
        <v>43619</v>
      </c>
      <c r="C521" s="1" t="n">
        <v>45358</v>
      </c>
      <c r="D521" t="inlineStr">
        <is>
          <t>HALLANDS LÄN</t>
        </is>
      </c>
      <c r="E521" t="inlineStr">
        <is>
          <t>FALKENBERG</t>
        </is>
      </c>
      <c r="G521" t="n">
        <v>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27555-2019</t>
        </is>
      </c>
      <c r="B522" s="1" t="n">
        <v>43619</v>
      </c>
      <c r="C522" s="1" t="n">
        <v>45358</v>
      </c>
      <c r="D522" t="inlineStr">
        <is>
          <t>HALLANDS LÄN</t>
        </is>
      </c>
      <c r="E522" t="inlineStr">
        <is>
          <t>FALKENBERG</t>
        </is>
      </c>
      <c r="G522" t="n">
        <v>0.4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27638-2019</t>
        </is>
      </c>
      <c r="B523" s="1" t="n">
        <v>43619</v>
      </c>
      <c r="C523" s="1" t="n">
        <v>45358</v>
      </c>
      <c r="D523" t="inlineStr">
        <is>
          <t>HALLANDS LÄN</t>
        </is>
      </c>
      <c r="E523" t="inlineStr">
        <is>
          <t>HYLTE</t>
        </is>
      </c>
      <c r="G523" t="n">
        <v>1.7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28926-2019</t>
        </is>
      </c>
      <c r="B524" s="1" t="n">
        <v>43619</v>
      </c>
      <c r="C524" s="1" t="n">
        <v>45358</v>
      </c>
      <c r="D524" t="inlineStr">
        <is>
          <t>HALLANDS LÄN</t>
        </is>
      </c>
      <c r="E524" t="inlineStr">
        <is>
          <t>FALKENBERG</t>
        </is>
      </c>
      <c r="G524" t="n">
        <v>1.6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27467-2019</t>
        </is>
      </c>
      <c r="B525" s="1" t="n">
        <v>43619</v>
      </c>
      <c r="C525" s="1" t="n">
        <v>45358</v>
      </c>
      <c r="D525" t="inlineStr">
        <is>
          <t>HALLANDS LÄN</t>
        </is>
      </c>
      <c r="E525" t="inlineStr">
        <is>
          <t>KUNGSBACKA</t>
        </is>
      </c>
      <c r="G525" t="n">
        <v>3.4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27666-2019</t>
        </is>
      </c>
      <c r="B526" s="1" t="n">
        <v>43619</v>
      </c>
      <c r="C526" s="1" t="n">
        <v>45358</v>
      </c>
      <c r="D526" t="inlineStr">
        <is>
          <t>HALLANDS LÄN</t>
        </is>
      </c>
      <c r="E526" t="inlineStr">
        <is>
          <t>FALKENBERG</t>
        </is>
      </c>
      <c r="G526" t="n">
        <v>1.9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27848-2019</t>
        </is>
      </c>
      <c r="B527" s="1" t="n">
        <v>43620</v>
      </c>
      <c r="C527" s="1" t="n">
        <v>45358</v>
      </c>
      <c r="D527" t="inlineStr">
        <is>
          <t>HALLANDS LÄN</t>
        </is>
      </c>
      <c r="E527" t="inlineStr">
        <is>
          <t>HYLTE</t>
        </is>
      </c>
      <c r="G527" t="n">
        <v>3.7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27854-2019</t>
        </is>
      </c>
      <c r="B528" s="1" t="n">
        <v>43620</v>
      </c>
      <c r="C528" s="1" t="n">
        <v>45358</v>
      </c>
      <c r="D528" t="inlineStr">
        <is>
          <t>HALLANDS LÄN</t>
        </is>
      </c>
      <c r="E528" t="inlineStr">
        <is>
          <t>HYLTE</t>
        </is>
      </c>
      <c r="G528" t="n">
        <v>0.5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27956-2019</t>
        </is>
      </c>
      <c r="B529" s="1" t="n">
        <v>43620</v>
      </c>
      <c r="C529" s="1" t="n">
        <v>45358</v>
      </c>
      <c r="D529" t="inlineStr">
        <is>
          <t>HALLANDS LÄN</t>
        </is>
      </c>
      <c r="E529" t="inlineStr">
        <is>
          <t>LAHOLM</t>
        </is>
      </c>
      <c r="G529" t="n">
        <v>0.5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27796-2019</t>
        </is>
      </c>
      <c r="B530" s="1" t="n">
        <v>43620</v>
      </c>
      <c r="C530" s="1" t="n">
        <v>45358</v>
      </c>
      <c r="D530" t="inlineStr">
        <is>
          <t>HALLANDS LÄN</t>
        </is>
      </c>
      <c r="E530" t="inlineStr">
        <is>
          <t>HALMSTAD</t>
        </is>
      </c>
      <c r="G530" t="n">
        <v>7.4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27853-2019</t>
        </is>
      </c>
      <c r="B531" s="1" t="n">
        <v>43620</v>
      </c>
      <c r="C531" s="1" t="n">
        <v>45358</v>
      </c>
      <c r="D531" t="inlineStr">
        <is>
          <t>HALLANDS LÄN</t>
        </is>
      </c>
      <c r="E531" t="inlineStr">
        <is>
          <t>LAHOLM</t>
        </is>
      </c>
      <c r="G531" t="n">
        <v>0.6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28032-2019</t>
        </is>
      </c>
      <c r="B532" s="1" t="n">
        <v>43621</v>
      </c>
      <c r="C532" s="1" t="n">
        <v>45358</v>
      </c>
      <c r="D532" t="inlineStr">
        <is>
          <t>HALLANDS LÄN</t>
        </is>
      </c>
      <c r="E532" t="inlineStr">
        <is>
          <t>KUNGSBACKA</t>
        </is>
      </c>
      <c r="G532" t="n">
        <v>0.8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28305-2019</t>
        </is>
      </c>
      <c r="B533" s="1" t="n">
        <v>43623</v>
      </c>
      <c r="C533" s="1" t="n">
        <v>45358</v>
      </c>
      <c r="D533" t="inlineStr">
        <is>
          <t>HALLANDS LÄN</t>
        </is>
      </c>
      <c r="E533" t="inlineStr">
        <is>
          <t>VARBERG</t>
        </is>
      </c>
      <c r="G533" t="n">
        <v>1.1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28459-2019</t>
        </is>
      </c>
      <c r="B534" s="1" t="n">
        <v>43626</v>
      </c>
      <c r="C534" s="1" t="n">
        <v>45358</v>
      </c>
      <c r="D534" t="inlineStr">
        <is>
          <t>HALLANDS LÄN</t>
        </is>
      </c>
      <c r="E534" t="inlineStr">
        <is>
          <t>KUNGSBACKA</t>
        </is>
      </c>
      <c r="G534" t="n">
        <v>11.2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28753-2019</t>
        </is>
      </c>
      <c r="B535" s="1" t="n">
        <v>43627</v>
      </c>
      <c r="C535" s="1" t="n">
        <v>45358</v>
      </c>
      <c r="D535" t="inlineStr">
        <is>
          <t>HALLANDS LÄN</t>
        </is>
      </c>
      <c r="E535" t="inlineStr">
        <is>
          <t>LAHOLM</t>
        </is>
      </c>
      <c r="G535" t="n">
        <v>0.7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28658-2019</t>
        </is>
      </c>
      <c r="B536" s="1" t="n">
        <v>43627</v>
      </c>
      <c r="C536" s="1" t="n">
        <v>45358</v>
      </c>
      <c r="D536" t="inlineStr">
        <is>
          <t>HALLANDS LÄN</t>
        </is>
      </c>
      <c r="E536" t="inlineStr">
        <is>
          <t>FALKENBERG</t>
        </is>
      </c>
      <c r="G536" t="n">
        <v>5.3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29059-2019</t>
        </is>
      </c>
      <c r="B537" s="1" t="n">
        <v>43628</v>
      </c>
      <c r="C537" s="1" t="n">
        <v>45358</v>
      </c>
      <c r="D537" t="inlineStr">
        <is>
          <t>HALLANDS LÄN</t>
        </is>
      </c>
      <c r="E537" t="inlineStr">
        <is>
          <t>VARBERG</t>
        </is>
      </c>
      <c r="G537" t="n">
        <v>6.6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28910-2019</t>
        </is>
      </c>
      <c r="B538" s="1" t="n">
        <v>43628</v>
      </c>
      <c r="C538" s="1" t="n">
        <v>45358</v>
      </c>
      <c r="D538" t="inlineStr">
        <is>
          <t>HALLANDS LÄN</t>
        </is>
      </c>
      <c r="E538" t="inlineStr">
        <is>
          <t>FALKENBERG</t>
        </is>
      </c>
      <c r="G538" t="n">
        <v>0.5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29819-2019</t>
        </is>
      </c>
      <c r="B539" s="1" t="n">
        <v>43633</v>
      </c>
      <c r="C539" s="1" t="n">
        <v>45358</v>
      </c>
      <c r="D539" t="inlineStr">
        <is>
          <t>HALLANDS LÄN</t>
        </is>
      </c>
      <c r="E539" t="inlineStr">
        <is>
          <t>FALKENBERG</t>
        </is>
      </c>
      <c r="G539" t="n">
        <v>2.5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29870-2019</t>
        </is>
      </c>
      <c r="B540" s="1" t="n">
        <v>43633</v>
      </c>
      <c r="C540" s="1" t="n">
        <v>45358</v>
      </c>
      <c r="D540" t="inlineStr">
        <is>
          <t>HALLANDS LÄN</t>
        </is>
      </c>
      <c r="E540" t="inlineStr">
        <is>
          <t>HALMSTAD</t>
        </is>
      </c>
      <c r="G540" t="n">
        <v>4.2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30422-2019</t>
        </is>
      </c>
      <c r="B541" s="1" t="n">
        <v>43633</v>
      </c>
      <c r="C541" s="1" t="n">
        <v>45358</v>
      </c>
      <c r="D541" t="inlineStr">
        <is>
          <t>HALLANDS LÄN</t>
        </is>
      </c>
      <c r="E541" t="inlineStr">
        <is>
          <t>HALMSTAD</t>
        </is>
      </c>
      <c r="F541" t="inlineStr">
        <is>
          <t>Kyrkan</t>
        </is>
      </c>
      <c r="G541" t="n">
        <v>3.5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30222-2019</t>
        </is>
      </c>
      <c r="B542" s="1" t="n">
        <v>43634</v>
      </c>
      <c r="C542" s="1" t="n">
        <v>45358</v>
      </c>
      <c r="D542" t="inlineStr">
        <is>
          <t>HALLANDS LÄN</t>
        </is>
      </c>
      <c r="E542" t="inlineStr">
        <is>
          <t>FALKENBERG</t>
        </is>
      </c>
      <c r="G542" t="n">
        <v>3.3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30224-2019</t>
        </is>
      </c>
      <c r="B543" s="1" t="n">
        <v>43634</v>
      </c>
      <c r="C543" s="1" t="n">
        <v>45358</v>
      </c>
      <c r="D543" t="inlineStr">
        <is>
          <t>HALLANDS LÄN</t>
        </is>
      </c>
      <c r="E543" t="inlineStr">
        <is>
          <t>FALKENBERG</t>
        </is>
      </c>
      <c r="G543" t="n">
        <v>0.7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30555-2019</t>
        </is>
      </c>
      <c r="B544" s="1" t="n">
        <v>43635</v>
      </c>
      <c r="C544" s="1" t="n">
        <v>45358</v>
      </c>
      <c r="D544" t="inlineStr">
        <is>
          <t>HALLANDS LÄN</t>
        </is>
      </c>
      <c r="E544" t="inlineStr">
        <is>
          <t>FALKENBERG</t>
        </is>
      </c>
      <c r="G544" t="n">
        <v>1.1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30560-2019</t>
        </is>
      </c>
      <c r="B545" s="1" t="n">
        <v>43635</v>
      </c>
      <c r="C545" s="1" t="n">
        <v>45358</v>
      </c>
      <c r="D545" t="inlineStr">
        <is>
          <t>HALLANDS LÄN</t>
        </is>
      </c>
      <c r="E545" t="inlineStr">
        <is>
          <t>FALKENBERG</t>
        </is>
      </c>
      <c r="G545" t="n">
        <v>0.5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30557-2019</t>
        </is>
      </c>
      <c r="B546" s="1" t="n">
        <v>43635</v>
      </c>
      <c r="C546" s="1" t="n">
        <v>45358</v>
      </c>
      <c r="D546" t="inlineStr">
        <is>
          <t>HALLANDS LÄN</t>
        </is>
      </c>
      <c r="E546" t="inlineStr">
        <is>
          <t>FALKENBERG</t>
        </is>
      </c>
      <c r="G546" t="n">
        <v>0.5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30490-2019</t>
        </is>
      </c>
      <c r="B547" s="1" t="n">
        <v>43635</v>
      </c>
      <c r="C547" s="1" t="n">
        <v>45358</v>
      </c>
      <c r="D547" t="inlineStr">
        <is>
          <t>HALLANDS LÄN</t>
        </is>
      </c>
      <c r="E547" t="inlineStr">
        <is>
          <t>HALMSTAD</t>
        </is>
      </c>
      <c r="G547" t="n">
        <v>2.1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30846-2019</t>
        </is>
      </c>
      <c r="B548" s="1" t="n">
        <v>43636</v>
      </c>
      <c r="C548" s="1" t="n">
        <v>45358</v>
      </c>
      <c r="D548" t="inlineStr">
        <is>
          <t>HALLANDS LÄN</t>
        </is>
      </c>
      <c r="E548" t="inlineStr">
        <is>
          <t>FALKENBERG</t>
        </is>
      </c>
      <c r="G548" t="n">
        <v>1.5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31498-2019</t>
        </is>
      </c>
      <c r="B549" s="1" t="n">
        <v>43641</v>
      </c>
      <c r="C549" s="1" t="n">
        <v>45358</v>
      </c>
      <c r="D549" t="inlineStr">
        <is>
          <t>HALLANDS LÄN</t>
        </is>
      </c>
      <c r="E549" t="inlineStr">
        <is>
          <t>KUNGSBACKA</t>
        </is>
      </c>
      <c r="G549" t="n">
        <v>1.2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31527-2019</t>
        </is>
      </c>
      <c r="B550" s="1" t="n">
        <v>43641</v>
      </c>
      <c r="C550" s="1" t="n">
        <v>45358</v>
      </c>
      <c r="D550" t="inlineStr">
        <is>
          <t>HALLANDS LÄN</t>
        </is>
      </c>
      <c r="E550" t="inlineStr">
        <is>
          <t>HALMSTAD</t>
        </is>
      </c>
      <c r="G550" t="n">
        <v>1.8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31367-2019</t>
        </is>
      </c>
      <c r="B551" s="1" t="n">
        <v>43641</v>
      </c>
      <c r="C551" s="1" t="n">
        <v>45358</v>
      </c>
      <c r="D551" t="inlineStr">
        <is>
          <t>HALLANDS LÄN</t>
        </is>
      </c>
      <c r="E551" t="inlineStr">
        <is>
          <t>HALMSTAD</t>
        </is>
      </c>
      <c r="G551" t="n">
        <v>3.4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31800-2019</t>
        </is>
      </c>
      <c r="B552" s="1" t="n">
        <v>43642</v>
      </c>
      <c r="C552" s="1" t="n">
        <v>45358</v>
      </c>
      <c r="D552" t="inlineStr">
        <is>
          <t>HALLANDS LÄN</t>
        </is>
      </c>
      <c r="E552" t="inlineStr">
        <is>
          <t>VARBERG</t>
        </is>
      </c>
      <c r="G552" t="n">
        <v>3.4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32059-2019</t>
        </is>
      </c>
      <c r="B553" s="1" t="n">
        <v>43643</v>
      </c>
      <c r="C553" s="1" t="n">
        <v>45358</v>
      </c>
      <c r="D553" t="inlineStr">
        <is>
          <t>HALLANDS LÄN</t>
        </is>
      </c>
      <c r="E553" t="inlineStr">
        <is>
          <t>KUNGSBACKA</t>
        </is>
      </c>
      <c r="G553" t="n">
        <v>1.6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32437-2019</t>
        </is>
      </c>
      <c r="B554" s="1" t="n">
        <v>43644</v>
      </c>
      <c r="C554" s="1" t="n">
        <v>45358</v>
      </c>
      <c r="D554" t="inlineStr">
        <is>
          <t>HALLANDS LÄN</t>
        </is>
      </c>
      <c r="E554" t="inlineStr">
        <is>
          <t>KUNGSBACKA</t>
        </is>
      </c>
      <c r="G554" t="n">
        <v>0.6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32265-2019</t>
        </is>
      </c>
      <c r="B555" s="1" t="n">
        <v>43644</v>
      </c>
      <c r="C555" s="1" t="n">
        <v>45358</v>
      </c>
      <c r="D555" t="inlineStr">
        <is>
          <t>HALLANDS LÄN</t>
        </is>
      </c>
      <c r="E555" t="inlineStr">
        <is>
          <t>HALMSTAD</t>
        </is>
      </c>
      <c r="G555" t="n">
        <v>1.5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32713-2019</t>
        </is>
      </c>
      <c r="B556" s="1" t="n">
        <v>43647</v>
      </c>
      <c r="C556" s="1" t="n">
        <v>45358</v>
      </c>
      <c r="D556" t="inlineStr">
        <is>
          <t>HALLANDS LÄN</t>
        </is>
      </c>
      <c r="E556" t="inlineStr">
        <is>
          <t>VARBERG</t>
        </is>
      </c>
      <c r="G556" t="n">
        <v>1.2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32803-2019</t>
        </is>
      </c>
      <c r="B557" s="1" t="n">
        <v>43648</v>
      </c>
      <c r="C557" s="1" t="n">
        <v>45358</v>
      </c>
      <c r="D557" t="inlineStr">
        <is>
          <t>HALLANDS LÄN</t>
        </is>
      </c>
      <c r="E557" t="inlineStr">
        <is>
          <t>FALKENBERG</t>
        </is>
      </c>
      <c r="G557" t="n">
        <v>0.9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32755-2019</t>
        </is>
      </c>
      <c r="B558" s="1" t="n">
        <v>43648</v>
      </c>
      <c r="C558" s="1" t="n">
        <v>45358</v>
      </c>
      <c r="D558" t="inlineStr">
        <is>
          <t>HALLANDS LÄN</t>
        </is>
      </c>
      <c r="E558" t="inlineStr">
        <is>
          <t>HALMSTAD</t>
        </is>
      </c>
      <c r="G558" t="n">
        <v>2.9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32802-2019</t>
        </is>
      </c>
      <c r="B559" s="1" t="n">
        <v>43648</v>
      </c>
      <c r="C559" s="1" t="n">
        <v>45358</v>
      </c>
      <c r="D559" t="inlineStr">
        <is>
          <t>HALLANDS LÄN</t>
        </is>
      </c>
      <c r="E559" t="inlineStr">
        <is>
          <t>FALKENBERG</t>
        </is>
      </c>
      <c r="G559" t="n">
        <v>0.8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33205-2019</t>
        </is>
      </c>
      <c r="B560" s="1" t="n">
        <v>43649</v>
      </c>
      <c r="C560" s="1" t="n">
        <v>45358</v>
      </c>
      <c r="D560" t="inlineStr">
        <is>
          <t>HALLANDS LÄN</t>
        </is>
      </c>
      <c r="E560" t="inlineStr">
        <is>
          <t>KUNGSBACKA</t>
        </is>
      </c>
      <c r="F560" t="inlineStr">
        <is>
          <t>Kyrkan</t>
        </is>
      </c>
      <c r="G560" t="n">
        <v>4.1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33945-2019</t>
        </is>
      </c>
      <c r="B561" s="1" t="n">
        <v>43654</v>
      </c>
      <c r="C561" s="1" t="n">
        <v>45358</v>
      </c>
      <c r="D561" t="inlineStr">
        <is>
          <t>HALLANDS LÄN</t>
        </is>
      </c>
      <c r="E561" t="inlineStr">
        <is>
          <t>HALMSTAD</t>
        </is>
      </c>
      <c r="G561" t="n">
        <v>0.8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34029-2019</t>
        </is>
      </c>
      <c r="B562" s="1" t="n">
        <v>43654</v>
      </c>
      <c r="C562" s="1" t="n">
        <v>45358</v>
      </c>
      <c r="D562" t="inlineStr">
        <is>
          <t>HALLANDS LÄN</t>
        </is>
      </c>
      <c r="E562" t="inlineStr">
        <is>
          <t>FALKENBERG</t>
        </is>
      </c>
      <c r="G562" t="n">
        <v>3.1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34403-2019</t>
        </is>
      </c>
      <c r="B563" s="1" t="n">
        <v>43656</v>
      </c>
      <c r="C563" s="1" t="n">
        <v>45358</v>
      </c>
      <c r="D563" t="inlineStr">
        <is>
          <t>HALLANDS LÄN</t>
        </is>
      </c>
      <c r="E563" t="inlineStr">
        <is>
          <t>FALKENBERG</t>
        </is>
      </c>
      <c r="G563" t="n">
        <v>4.5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34479-2019</t>
        </is>
      </c>
      <c r="B564" s="1" t="n">
        <v>43656</v>
      </c>
      <c r="C564" s="1" t="n">
        <v>45358</v>
      </c>
      <c r="D564" t="inlineStr">
        <is>
          <t>HALLANDS LÄN</t>
        </is>
      </c>
      <c r="E564" t="inlineStr">
        <is>
          <t>HYLTE</t>
        </is>
      </c>
      <c r="G564" t="n">
        <v>3.7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34407-2019</t>
        </is>
      </c>
      <c r="B565" s="1" t="n">
        <v>43656</v>
      </c>
      <c r="C565" s="1" t="n">
        <v>45358</v>
      </c>
      <c r="D565" t="inlineStr">
        <is>
          <t>HALLANDS LÄN</t>
        </is>
      </c>
      <c r="E565" t="inlineStr">
        <is>
          <t>FALKENBERG</t>
        </is>
      </c>
      <c r="G565" t="n">
        <v>0.4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34730-2019</t>
        </is>
      </c>
      <c r="B566" s="1" t="n">
        <v>43657</v>
      </c>
      <c r="C566" s="1" t="n">
        <v>45358</v>
      </c>
      <c r="D566" t="inlineStr">
        <is>
          <t>HALLANDS LÄN</t>
        </is>
      </c>
      <c r="E566" t="inlineStr">
        <is>
          <t>FALKENBERG</t>
        </is>
      </c>
      <c r="G566" t="n">
        <v>0.7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34825-2019</t>
        </is>
      </c>
      <c r="B567" s="1" t="n">
        <v>43658</v>
      </c>
      <c r="C567" s="1" t="n">
        <v>45358</v>
      </c>
      <c r="D567" t="inlineStr">
        <is>
          <t>HALLANDS LÄN</t>
        </is>
      </c>
      <c r="E567" t="inlineStr">
        <is>
          <t>FALKENBERG</t>
        </is>
      </c>
      <c r="G567" t="n">
        <v>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34835-2019</t>
        </is>
      </c>
      <c r="B568" s="1" t="n">
        <v>43658</v>
      </c>
      <c r="C568" s="1" t="n">
        <v>45358</v>
      </c>
      <c r="D568" t="inlineStr">
        <is>
          <t>HALLANDS LÄN</t>
        </is>
      </c>
      <c r="E568" t="inlineStr">
        <is>
          <t>HYLTE</t>
        </is>
      </c>
      <c r="G568" t="n">
        <v>0.5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34826-2019</t>
        </is>
      </c>
      <c r="B569" s="1" t="n">
        <v>43658</v>
      </c>
      <c r="C569" s="1" t="n">
        <v>45358</v>
      </c>
      <c r="D569" t="inlineStr">
        <is>
          <t>HALLANDS LÄN</t>
        </is>
      </c>
      <c r="E569" t="inlineStr">
        <is>
          <t>FALKENBERG</t>
        </is>
      </c>
      <c r="G569" t="n">
        <v>0.9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34849-2019</t>
        </is>
      </c>
      <c r="B570" s="1" t="n">
        <v>43658</v>
      </c>
      <c r="C570" s="1" t="n">
        <v>45358</v>
      </c>
      <c r="D570" t="inlineStr">
        <is>
          <t>HALLANDS LÄN</t>
        </is>
      </c>
      <c r="E570" t="inlineStr">
        <is>
          <t>HALMSTAD</t>
        </is>
      </c>
      <c r="G570" t="n">
        <v>0.9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34850-2019</t>
        </is>
      </c>
      <c r="B571" s="1" t="n">
        <v>43658</v>
      </c>
      <c r="C571" s="1" t="n">
        <v>45358</v>
      </c>
      <c r="D571" t="inlineStr">
        <is>
          <t>HALLANDS LÄN</t>
        </is>
      </c>
      <c r="E571" t="inlineStr">
        <is>
          <t>HALMSTAD</t>
        </is>
      </c>
      <c r="G571" t="n">
        <v>0.7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35077-2019</t>
        </is>
      </c>
      <c r="B572" s="1" t="n">
        <v>43661</v>
      </c>
      <c r="C572" s="1" t="n">
        <v>45358</v>
      </c>
      <c r="D572" t="inlineStr">
        <is>
          <t>HALLANDS LÄN</t>
        </is>
      </c>
      <c r="E572" t="inlineStr">
        <is>
          <t>LAHOLM</t>
        </is>
      </c>
      <c r="G572" t="n">
        <v>0.6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35274-2019</t>
        </is>
      </c>
      <c r="B573" s="1" t="n">
        <v>43662</v>
      </c>
      <c r="C573" s="1" t="n">
        <v>45358</v>
      </c>
      <c r="D573" t="inlineStr">
        <is>
          <t>HALLANDS LÄN</t>
        </is>
      </c>
      <c r="E573" t="inlineStr">
        <is>
          <t>KUNGSBACKA</t>
        </is>
      </c>
      <c r="G573" t="n">
        <v>2.5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35263-2019</t>
        </is>
      </c>
      <c r="B574" s="1" t="n">
        <v>43662</v>
      </c>
      <c r="C574" s="1" t="n">
        <v>45358</v>
      </c>
      <c r="D574" t="inlineStr">
        <is>
          <t>HALLANDS LÄN</t>
        </is>
      </c>
      <c r="E574" t="inlineStr">
        <is>
          <t>KUNGSBACKA</t>
        </is>
      </c>
      <c r="G574" t="n">
        <v>0.8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35265-2019</t>
        </is>
      </c>
      <c r="B575" s="1" t="n">
        <v>43662</v>
      </c>
      <c r="C575" s="1" t="n">
        <v>45358</v>
      </c>
      <c r="D575" t="inlineStr">
        <is>
          <t>HALLANDS LÄN</t>
        </is>
      </c>
      <c r="E575" t="inlineStr">
        <is>
          <t>KUNGSBACKA</t>
        </is>
      </c>
      <c r="G575" t="n">
        <v>1.6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35446-2019</t>
        </is>
      </c>
      <c r="B576" s="1" t="n">
        <v>43663</v>
      </c>
      <c r="C576" s="1" t="n">
        <v>45358</v>
      </c>
      <c r="D576" t="inlineStr">
        <is>
          <t>HALLANDS LÄN</t>
        </is>
      </c>
      <c r="E576" t="inlineStr">
        <is>
          <t>KUNGSBACKA</t>
        </is>
      </c>
      <c r="G576" t="n">
        <v>4.3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35435-2019</t>
        </is>
      </c>
      <c r="B577" s="1" t="n">
        <v>43663</v>
      </c>
      <c r="C577" s="1" t="n">
        <v>45358</v>
      </c>
      <c r="D577" t="inlineStr">
        <is>
          <t>HALLANDS LÄN</t>
        </is>
      </c>
      <c r="E577" t="inlineStr">
        <is>
          <t>HYLTE</t>
        </is>
      </c>
      <c r="G577" t="n">
        <v>1.8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35652-2019</t>
        </is>
      </c>
      <c r="B578" s="1" t="n">
        <v>43664</v>
      </c>
      <c r="C578" s="1" t="n">
        <v>45358</v>
      </c>
      <c r="D578" t="inlineStr">
        <is>
          <t>HALLANDS LÄN</t>
        </is>
      </c>
      <c r="E578" t="inlineStr">
        <is>
          <t>HYLTE</t>
        </is>
      </c>
      <c r="G578" t="n">
        <v>1.1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35774-2019</t>
        </is>
      </c>
      <c r="B579" s="1" t="n">
        <v>43665</v>
      </c>
      <c r="C579" s="1" t="n">
        <v>45358</v>
      </c>
      <c r="D579" t="inlineStr">
        <is>
          <t>HALLANDS LÄN</t>
        </is>
      </c>
      <c r="E579" t="inlineStr">
        <is>
          <t>HYLTE</t>
        </is>
      </c>
      <c r="G579" t="n">
        <v>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35892-2019</t>
        </is>
      </c>
      <c r="B580" s="1" t="n">
        <v>43665</v>
      </c>
      <c r="C580" s="1" t="n">
        <v>45358</v>
      </c>
      <c r="D580" t="inlineStr">
        <is>
          <t>HALLANDS LÄN</t>
        </is>
      </c>
      <c r="E580" t="inlineStr">
        <is>
          <t>FALKENBERG</t>
        </is>
      </c>
      <c r="G580" t="n">
        <v>2.1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35881-2019</t>
        </is>
      </c>
      <c r="B581" s="1" t="n">
        <v>43665</v>
      </c>
      <c r="C581" s="1" t="n">
        <v>45358</v>
      </c>
      <c r="D581" t="inlineStr">
        <is>
          <t>HALLANDS LÄN</t>
        </is>
      </c>
      <c r="E581" t="inlineStr">
        <is>
          <t>FALKENBERG</t>
        </is>
      </c>
      <c r="G581" t="n">
        <v>1.8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35874-2019</t>
        </is>
      </c>
      <c r="B582" s="1" t="n">
        <v>43665</v>
      </c>
      <c r="C582" s="1" t="n">
        <v>45358</v>
      </c>
      <c r="D582" t="inlineStr">
        <is>
          <t>HALLANDS LÄN</t>
        </is>
      </c>
      <c r="E582" t="inlineStr">
        <is>
          <t>HYLTE</t>
        </is>
      </c>
      <c r="G582" t="n">
        <v>0.9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35889-2019</t>
        </is>
      </c>
      <c r="B583" s="1" t="n">
        <v>43665</v>
      </c>
      <c r="C583" s="1" t="n">
        <v>45358</v>
      </c>
      <c r="D583" t="inlineStr">
        <is>
          <t>HALLANDS LÄN</t>
        </is>
      </c>
      <c r="E583" t="inlineStr">
        <is>
          <t>FALKENBERG</t>
        </is>
      </c>
      <c r="G583" t="n">
        <v>0.9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35866-2019</t>
        </is>
      </c>
      <c r="B584" s="1" t="n">
        <v>43665</v>
      </c>
      <c r="C584" s="1" t="n">
        <v>45358</v>
      </c>
      <c r="D584" t="inlineStr">
        <is>
          <t>HALLANDS LÄN</t>
        </is>
      </c>
      <c r="E584" t="inlineStr">
        <is>
          <t>FALKENBERG</t>
        </is>
      </c>
      <c r="G584" t="n">
        <v>0.8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36035-2019</t>
        </is>
      </c>
      <c r="B585" s="1" t="n">
        <v>43668</v>
      </c>
      <c r="C585" s="1" t="n">
        <v>45358</v>
      </c>
      <c r="D585" t="inlineStr">
        <is>
          <t>HALLANDS LÄN</t>
        </is>
      </c>
      <c r="E585" t="inlineStr">
        <is>
          <t>HYLTE</t>
        </is>
      </c>
      <c r="G585" t="n">
        <v>2.6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36033-2019</t>
        </is>
      </c>
      <c r="B586" s="1" t="n">
        <v>43668</v>
      </c>
      <c r="C586" s="1" t="n">
        <v>45358</v>
      </c>
      <c r="D586" t="inlineStr">
        <is>
          <t>HALLANDS LÄN</t>
        </is>
      </c>
      <c r="E586" t="inlineStr">
        <is>
          <t>HYLTE</t>
        </is>
      </c>
      <c r="G586" t="n">
        <v>2.2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36173-2019</t>
        </is>
      </c>
      <c r="B587" s="1" t="n">
        <v>43668</v>
      </c>
      <c r="C587" s="1" t="n">
        <v>45358</v>
      </c>
      <c r="D587" t="inlineStr">
        <is>
          <t>HALLANDS LÄN</t>
        </is>
      </c>
      <c r="E587" t="inlineStr">
        <is>
          <t>FALKENBERG</t>
        </is>
      </c>
      <c r="G587" t="n">
        <v>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36036-2019</t>
        </is>
      </c>
      <c r="B588" s="1" t="n">
        <v>43668</v>
      </c>
      <c r="C588" s="1" t="n">
        <v>45358</v>
      </c>
      <c r="D588" t="inlineStr">
        <is>
          <t>HALLANDS LÄN</t>
        </is>
      </c>
      <c r="E588" t="inlineStr">
        <is>
          <t>HYLTE</t>
        </is>
      </c>
      <c r="G588" t="n">
        <v>0.3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36030-2019</t>
        </is>
      </c>
      <c r="B589" s="1" t="n">
        <v>43668</v>
      </c>
      <c r="C589" s="1" t="n">
        <v>45358</v>
      </c>
      <c r="D589" t="inlineStr">
        <is>
          <t>HALLANDS LÄN</t>
        </is>
      </c>
      <c r="E589" t="inlineStr">
        <is>
          <t>HYLTE</t>
        </is>
      </c>
      <c r="G589" t="n">
        <v>6.3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36172-2019</t>
        </is>
      </c>
      <c r="B590" s="1" t="n">
        <v>43668</v>
      </c>
      <c r="C590" s="1" t="n">
        <v>45358</v>
      </c>
      <c r="D590" t="inlineStr">
        <is>
          <t>HALLANDS LÄN</t>
        </is>
      </c>
      <c r="E590" t="inlineStr">
        <is>
          <t>FALKENBERG</t>
        </is>
      </c>
      <c r="G590" t="n">
        <v>1.7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36216-2019</t>
        </is>
      </c>
      <c r="B591" s="1" t="n">
        <v>43669</v>
      </c>
      <c r="C591" s="1" t="n">
        <v>45358</v>
      </c>
      <c r="D591" t="inlineStr">
        <is>
          <t>HALLANDS LÄN</t>
        </is>
      </c>
      <c r="E591" t="inlineStr">
        <is>
          <t>FALKENBERG</t>
        </is>
      </c>
      <c r="G591" t="n">
        <v>1.2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36757-2019</t>
        </is>
      </c>
      <c r="B592" s="1" t="n">
        <v>43672</v>
      </c>
      <c r="C592" s="1" t="n">
        <v>45358</v>
      </c>
      <c r="D592" t="inlineStr">
        <is>
          <t>HALLANDS LÄN</t>
        </is>
      </c>
      <c r="E592" t="inlineStr">
        <is>
          <t>HALMSTAD</t>
        </is>
      </c>
      <c r="G592" t="n">
        <v>2.3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37692-2019</t>
        </is>
      </c>
      <c r="B593" s="1" t="n">
        <v>43682</v>
      </c>
      <c r="C593" s="1" t="n">
        <v>45358</v>
      </c>
      <c r="D593" t="inlineStr">
        <is>
          <t>HALLANDS LÄN</t>
        </is>
      </c>
      <c r="E593" t="inlineStr">
        <is>
          <t>HYLTE</t>
        </is>
      </c>
      <c r="G593" t="n">
        <v>0.4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37739-2019</t>
        </is>
      </c>
      <c r="B594" s="1" t="n">
        <v>43682</v>
      </c>
      <c r="C594" s="1" t="n">
        <v>45358</v>
      </c>
      <c r="D594" t="inlineStr">
        <is>
          <t>HALLANDS LÄN</t>
        </is>
      </c>
      <c r="E594" t="inlineStr">
        <is>
          <t>LAHOLM</t>
        </is>
      </c>
      <c r="G594" t="n">
        <v>0.7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37686-2019</t>
        </is>
      </c>
      <c r="B595" s="1" t="n">
        <v>43682</v>
      </c>
      <c r="C595" s="1" t="n">
        <v>45358</v>
      </c>
      <c r="D595" t="inlineStr">
        <is>
          <t>HALLANDS LÄN</t>
        </is>
      </c>
      <c r="E595" t="inlineStr">
        <is>
          <t>HYLTE</t>
        </is>
      </c>
      <c r="G595" t="n">
        <v>1.8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37672-2019</t>
        </is>
      </c>
      <c r="B596" s="1" t="n">
        <v>43682</v>
      </c>
      <c r="C596" s="1" t="n">
        <v>45358</v>
      </c>
      <c r="D596" t="inlineStr">
        <is>
          <t>HALLANDS LÄN</t>
        </is>
      </c>
      <c r="E596" t="inlineStr">
        <is>
          <t>HYLTE</t>
        </is>
      </c>
      <c r="G596" t="n">
        <v>1.3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37690-2019</t>
        </is>
      </c>
      <c r="B597" s="1" t="n">
        <v>43682</v>
      </c>
      <c r="C597" s="1" t="n">
        <v>45358</v>
      </c>
      <c r="D597" t="inlineStr">
        <is>
          <t>HALLANDS LÄN</t>
        </is>
      </c>
      <c r="E597" t="inlineStr">
        <is>
          <t>HYLTE</t>
        </is>
      </c>
      <c r="G597" t="n">
        <v>0.4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37682-2019</t>
        </is>
      </c>
      <c r="B598" s="1" t="n">
        <v>43682</v>
      </c>
      <c r="C598" s="1" t="n">
        <v>45358</v>
      </c>
      <c r="D598" t="inlineStr">
        <is>
          <t>HALLANDS LÄN</t>
        </is>
      </c>
      <c r="E598" t="inlineStr">
        <is>
          <t>HYLTE</t>
        </is>
      </c>
      <c r="G598" t="n">
        <v>0.4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38397-2019</t>
        </is>
      </c>
      <c r="B599" s="1" t="n">
        <v>43685</v>
      </c>
      <c r="C599" s="1" t="n">
        <v>45358</v>
      </c>
      <c r="D599" t="inlineStr">
        <is>
          <t>HALLANDS LÄN</t>
        </is>
      </c>
      <c r="E599" t="inlineStr">
        <is>
          <t>LAHOLM</t>
        </is>
      </c>
      <c r="G599" t="n">
        <v>1.3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38402-2019</t>
        </is>
      </c>
      <c r="B600" s="1" t="n">
        <v>43685</v>
      </c>
      <c r="C600" s="1" t="n">
        <v>45358</v>
      </c>
      <c r="D600" t="inlineStr">
        <is>
          <t>HALLANDS LÄN</t>
        </is>
      </c>
      <c r="E600" t="inlineStr">
        <is>
          <t>LAHOLM</t>
        </is>
      </c>
      <c r="G600" t="n">
        <v>0.5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38958-2019</t>
        </is>
      </c>
      <c r="B601" s="1" t="n">
        <v>43685</v>
      </c>
      <c r="C601" s="1" t="n">
        <v>45358</v>
      </c>
      <c r="D601" t="inlineStr">
        <is>
          <t>HALLANDS LÄN</t>
        </is>
      </c>
      <c r="E601" t="inlineStr">
        <is>
          <t>HALMSTAD</t>
        </is>
      </c>
      <c r="G601" t="n">
        <v>6.9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38962-2019</t>
        </is>
      </c>
      <c r="B602" s="1" t="n">
        <v>43685</v>
      </c>
      <c r="C602" s="1" t="n">
        <v>45358</v>
      </c>
      <c r="D602" t="inlineStr">
        <is>
          <t>HALLANDS LÄN</t>
        </is>
      </c>
      <c r="E602" t="inlineStr">
        <is>
          <t>HALMSTAD</t>
        </is>
      </c>
      <c r="G602" t="n">
        <v>3.8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38933-2019</t>
        </is>
      </c>
      <c r="B603" s="1" t="n">
        <v>43689</v>
      </c>
      <c r="C603" s="1" t="n">
        <v>45358</v>
      </c>
      <c r="D603" t="inlineStr">
        <is>
          <t>HALLANDS LÄN</t>
        </is>
      </c>
      <c r="E603" t="inlineStr">
        <is>
          <t>HYLTE</t>
        </is>
      </c>
      <c r="G603" t="n">
        <v>0.7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38968-2019</t>
        </is>
      </c>
      <c r="B604" s="1" t="n">
        <v>43689</v>
      </c>
      <c r="C604" s="1" t="n">
        <v>45358</v>
      </c>
      <c r="D604" t="inlineStr">
        <is>
          <t>HALLANDS LÄN</t>
        </is>
      </c>
      <c r="E604" t="inlineStr">
        <is>
          <t>FALKENBERG</t>
        </is>
      </c>
      <c r="G604" t="n">
        <v>6.4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39657-2019</t>
        </is>
      </c>
      <c r="B605" s="1" t="n">
        <v>43691</v>
      </c>
      <c r="C605" s="1" t="n">
        <v>45358</v>
      </c>
      <c r="D605" t="inlineStr">
        <is>
          <t>HALLANDS LÄN</t>
        </is>
      </c>
      <c r="E605" t="inlineStr">
        <is>
          <t>HALMSTAD</t>
        </is>
      </c>
      <c r="G605" t="n">
        <v>2.2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39792-2019</t>
        </is>
      </c>
      <c r="B606" s="1" t="n">
        <v>43692</v>
      </c>
      <c r="C606" s="1" t="n">
        <v>45358</v>
      </c>
      <c r="D606" t="inlineStr">
        <is>
          <t>HALLANDS LÄN</t>
        </is>
      </c>
      <c r="E606" t="inlineStr">
        <is>
          <t>FALKENBERG</t>
        </is>
      </c>
      <c r="G606" t="n">
        <v>1.9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39820-2019</t>
        </is>
      </c>
      <c r="B607" s="1" t="n">
        <v>43692</v>
      </c>
      <c r="C607" s="1" t="n">
        <v>45358</v>
      </c>
      <c r="D607" t="inlineStr">
        <is>
          <t>HALLANDS LÄN</t>
        </is>
      </c>
      <c r="E607" t="inlineStr">
        <is>
          <t>HALMSTAD</t>
        </is>
      </c>
      <c r="G607" t="n">
        <v>2.7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40574-2019</t>
        </is>
      </c>
      <c r="B608" s="1" t="n">
        <v>43696</v>
      </c>
      <c r="C608" s="1" t="n">
        <v>45358</v>
      </c>
      <c r="D608" t="inlineStr">
        <is>
          <t>HALLANDS LÄN</t>
        </is>
      </c>
      <c r="E608" t="inlineStr">
        <is>
          <t>LAHOLM</t>
        </is>
      </c>
      <c r="G608" t="n">
        <v>0.6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41810-2019</t>
        </is>
      </c>
      <c r="B609" s="1" t="n">
        <v>43697</v>
      </c>
      <c r="C609" s="1" t="n">
        <v>45358</v>
      </c>
      <c r="D609" t="inlineStr">
        <is>
          <t>HALLANDS LÄN</t>
        </is>
      </c>
      <c r="E609" t="inlineStr">
        <is>
          <t>VARBERG</t>
        </is>
      </c>
      <c r="G609" t="n">
        <v>0.7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41813-2019</t>
        </is>
      </c>
      <c r="B610" s="1" t="n">
        <v>43697</v>
      </c>
      <c r="C610" s="1" t="n">
        <v>45358</v>
      </c>
      <c r="D610" t="inlineStr">
        <is>
          <t>HALLANDS LÄN</t>
        </is>
      </c>
      <c r="E610" t="inlineStr">
        <is>
          <t>VARBERG</t>
        </is>
      </c>
      <c r="G610" t="n">
        <v>1.1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41064-2019</t>
        </is>
      </c>
      <c r="B611" s="1" t="n">
        <v>43698</v>
      </c>
      <c r="C611" s="1" t="n">
        <v>45358</v>
      </c>
      <c r="D611" t="inlineStr">
        <is>
          <t>HALLANDS LÄN</t>
        </is>
      </c>
      <c r="E611" t="inlineStr">
        <is>
          <t>HALMSTAD</t>
        </is>
      </c>
      <c r="G611" t="n">
        <v>0.5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41093-2019</t>
        </is>
      </c>
      <c r="B612" s="1" t="n">
        <v>43698</v>
      </c>
      <c r="C612" s="1" t="n">
        <v>45358</v>
      </c>
      <c r="D612" t="inlineStr">
        <is>
          <t>HALLANDS LÄN</t>
        </is>
      </c>
      <c r="E612" t="inlineStr">
        <is>
          <t>LAHOLM</t>
        </is>
      </c>
      <c r="G612" t="n">
        <v>0.7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41177-2019</t>
        </is>
      </c>
      <c r="B613" s="1" t="n">
        <v>43698</v>
      </c>
      <c r="C613" s="1" t="n">
        <v>45358</v>
      </c>
      <c r="D613" t="inlineStr">
        <is>
          <t>HALLANDS LÄN</t>
        </is>
      </c>
      <c r="E613" t="inlineStr">
        <is>
          <t>HALMSTAD</t>
        </is>
      </c>
      <c r="G613" t="n">
        <v>10.1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41295-2019</t>
        </is>
      </c>
      <c r="B614" s="1" t="n">
        <v>43698</v>
      </c>
      <c r="C614" s="1" t="n">
        <v>45358</v>
      </c>
      <c r="D614" t="inlineStr">
        <is>
          <t>HALLANDS LÄN</t>
        </is>
      </c>
      <c r="E614" t="inlineStr">
        <is>
          <t>HALMSTAD</t>
        </is>
      </c>
      <c r="G614" t="n">
        <v>1.7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41302-2019</t>
        </is>
      </c>
      <c r="B615" s="1" t="n">
        <v>43698</v>
      </c>
      <c r="C615" s="1" t="n">
        <v>45358</v>
      </c>
      <c r="D615" t="inlineStr">
        <is>
          <t>HALLANDS LÄN</t>
        </is>
      </c>
      <c r="E615" t="inlineStr">
        <is>
          <t>HALMSTAD</t>
        </is>
      </c>
      <c r="G615" t="n">
        <v>0.8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41301-2019</t>
        </is>
      </c>
      <c r="B616" s="1" t="n">
        <v>43698</v>
      </c>
      <c r="C616" s="1" t="n">
        <v>45358</v>
      </c>
      <c r="D616" t="inlineStr">
        <is>
          <t>HALLANDS LÄN</t>
        </is>
      </c>
      <c r="E616" t="inlineStr">
        <is>
          <t>HALMSTAD</t>
        </is>
      </c>
      <c r="G616" t="n">
        <v>1.7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42194-2019</t>
        </is>
      </c>
      <c r="B617" s="1" t="n">
        <v>43698</v>
      </c>
      <c r="C617" s="1" t="n">
        <v>45358</v>
      </c>
      <c r="D617" t="inlineStr">
        <is>
          <t>HALLANDS LÄN</t>
        </is>
      </c>
      <c r="E617" t="inlineStr">
        <is>
          <t>VARBERG</t>
        </is>
      </c>
      <c r="G617" t="n">
        <v>0.8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42233-2019</t>
        </is>
      </c>
      <c r="B618" s="1" t="n">
        <v>43703</v>
      </c>
      <c r="C618" s="1" t="n">
        <v>45358</v>
      </c>
      <c r="D618" t="inlineStr">
        <is>
          <t>HALLANDS LÄN</t>
        </is>
      </c>
      <c r="E618" t="inlineStr">
        <is>
          <t>KUNGSBACKA</t>
        </is>
      </c>
      <c r="G618" t="n">
        <v>0.6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42189-2019</t>
        </is>
      </c>
      <c r="B619" s="1" t="n">
        <v>43703</v>
      </c>
      <c r="C619" s="1" t="n">
        <v>45358</v>
      </c>
      <c r="D619" t="inlineStr">
        <is>
          <t>HALLANDS LÄN</t>
        </is>
      </c>
      <c r="E619" t="inlineStr">
        <is>
          <t>LAHOLM</t>
        </is>
      </c>
      <c r="G619" t="n">
        <v>1.9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42465-2019</t>
        </is>
      </c>
      <c r="B620" s="1" t="n">
        <v>43704</v>
      </c>
      <c r="C620" s="1" t="n">
        <v>45358</v>
      </c>
      <c r="D620" t="inlineStr">
        <is>
          <t>HALLANDS LÄN</t>
        </is>
      </c>
      <c r="E620" t="inlineStr">
        <is>
          <t>LAHOLM</t>
        </is>
      </c>
      <c r="G620" t="n">
        <v>1.3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43453-2019</t>
        </is>
      </c>
      <c r="B621" s="1" t="n">
        <v>43704</v>
      </c>
      <c r="C621" s="1" t="n">
        <v>45358</v>
      </c>
      <c r="D621" t="inlineStr">
        <is>
          <t>HALLANDS LÄN</t>
        </is>
      </c>
      <c r="E621" t="inlineStr">
        <is>
          <t>KUNGSBACKA</t>
        </is>
      </c>
      <c r="G621" t="n">
        <v>4.1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42738-2019</t>
        </is>
      </c>
      <c r="B622" s="1" t="n">
        <v>43704</v>
      </c>
      <c r="C622" s="1" t="n">
        <v>45358</v>
      </c>
      <c r="D622" t="inlineStr">
        <is>
          <t>HALLANDS LÄN</t>
        </is>
      </c>
      <c r="E622" t="inlineStr">
        <is>
          <t>LAHOLM</t>
        </is>
      </c>
      <c r="G622" t="n">
        <v>0.7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42876-2019</t>
        </is>
      </c>
      <c r="B623" s="1" t="n">
        <v>43705</v>
      </c>
      <c r="C623" s="1" t="n">
        <v>45358</v>
      </c>
      <c r="D623" t="inlineStr">
        <is>
          <t>HALLANDS LÄN</t>
        </is>
      </c>
      <c r="E623" t="inlineStr">
        <is>
          <t>LAHOLM</t>
        </is>
      </c>
      <c r="G623" t="n">
        <v>1.6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42934-2019</t>
        </is>
      </c>
      <c r="B624" s="1" t="n">
        <v>43705</v>
      </c>
      <c r="C624" s="1" t="n">
        <v>45358</v>
      </c>
      <c r="D624" t="inlineStr">
        <is>
          <t>HALLANDS LÄN</t>
        </is>
      </c>
      <c r="E624" t="inlineStr">
        <is>
          <t>FALKENBERG</t>
        </is>
      </c>
      <c r="G624" t="n">
        <v>2.9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42989-2019</t>
        </is>
      </c>
      <c r="B625" s="1" t="n">
        <v>43705</v>
      </c>
      <c r="C625" s="1" t="n">
        <v>45358</v>
      </c>
      <c r="D625" t="inlineStr">
        <is>
          <t>HALLANDS LÄN</t>
        </is>
      </c>
      <c r="E625" t="inlineStr">
        <is>
          <t>HYLTE</t>
        </is>
      </c>
      <c r="G625" t="n">
        <v>0.7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43497-2019</t>
        </is>
      </c>
      <c r="B626" s="1" t="n">
        <v>43706</v>
      </c>
      <c r="C626" s="1" t="n">
        <v>45358</v>
      </c>
      <c r="D626" t="inlineStr">
        <is>
          <t>HALLANDS LÄN</t>
        </is>
      </c>
      <c r="E626" t="inlineStr">
        <is>
          <t>HYLTE</t>
        </is>
      </c>
      <c r="G626" t="n">
        <v>0.5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43888-2019</t>
        </is>
      </c>
      <c r="B627" s="1" t="n">
        <v>43707</v>
      </c>
      <c r="C627" s="1" t="n">
        <v>45358</v>
      </c>
      <c r="D627" t="inlineStr">
        <is>
          <t>HALLANDS LÄN</t>
        </is>
      </c>
      <c r="E627" t="inlineStr">
        <is>
          <t>VARBERG</t>
        </is>
      </c>
      <c r="G627" t="n">
        <v>17.6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43936-2019</t>
        </is>
      </c>
      <c r="B628" s="1" t="n">
        <v>43707</v>
      </c>
      <c r="C628" s="1" t="n">
        <v>45358</v>
      </c>
      <c r="D628" t="inlineStr">
        <is>
          <t>HALLANDS LÄN</t>
        </is>
      </c>
      <c r="E628" t="inlineStr">
        <is>
          <t>KUNGSBACKA</t>
        </is>
      </c>
      <c r="G628" t="n">
        <v>0.6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44084-2019</t>
        </is>
      </c>
      <c r="B629" s="1" t="n">
        <v>43710</v>
      </c>
      <c r="C629" s="1" t="n">
        <v>45358</v>
      </c>
      <c r="D629" t="inlineStr">
        <is>
          <t>HALLANDS LÄN</t>
        </is>
      </c>
      <c r="E629" t="inlineStr">
        <is>
          <t>FALKENBERG</t>
        </is>
      </c>
      <c r="G629" t="n">
        <v>0.6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44159-2019</t>
        </is>
      </c>
      <c r="B630" s="1" t="n">
        <v>43710</v>
      </c>
      <c r="C630" s="1" t="n">
        <v>45358</v>
      </c>
      <c r="D630" t="inlineStr">
        <is>
          <t>HALLANDS LÄN</t>
        </is>
      </c>
      <c r="E630" t="inlineStr">
        <is>
          <t>LAHOLM</t>
        </is>
      </c>
      <c r="G630" t="n">
        <v>2.4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44258-2019</t>
        </is>
      </c>
      <c r="B631" s="1" t="n">
        <v>43710</v>
      </c>
      <c r="C631" s="1" t="n">
        <v>45358</v>
      </c>
      <c r="D631" t="inlineStr">
        <is>
          <t>HALLANDS LÄN</t>
        </is>
      </c>
      <c r="E631" t="inlineStr">
        <is>
          <t>FALKENBERG</t>
        </is>
      </c>
      <c r="G631" t="n">
        <v>0.4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44257-2019</t>
        </is>
      </c>
      <c r="B632" s="1" t="n">
        <v>43710</v>
      </c>
      <c r="C632" s="1" t="n">
        <v>45358</v>
      </c>
      <c r="D632" t="inlineStr">
        <is>
          <t>HALLANDS LÄN</t>
        </is>
      </c>
      <c r="E632" t="inlineStr">
        <is>
          <t>FALKENBERG</t>
        </is>
      </c>
      <c r="G632" t="n">
        <v>0.6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44175-2019</t>
        </is>
      </c>
      <c r="B633" s="1" t="n">
        <v>43710</v>
      </c>
      <c r="C633" s="1" t="n">
        <v>45358</v>
      </c>
      <c r="D633" t="inlineStr">
        <is>
          <t>HALLANDS LÄN</t>
        </is>
      </c>
      <c r="E633" t="inlineStr">
        <is>
          <t>HALMSTAD</t>
        </is>
      </c>
      <c r="G633" t="n">
        <v>1.4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44170-2019</t>
        </is>
      </c>
      <c r="B634" s="1" t="n">
        <v>43710</v>
      </c>
      <c r="C634" s="1" t="n">
        <v>45358</v>
      </c>
      <c r="D634" t="inlineStr">
        <is>
          <t>HALLANDS LÄN</t>
        </is>
      </c>
      <c r="E634" t="inlineStr">
        <is>
          <t>HALMSTAD</t>
        </is>
      </c>
      <c r="G634" t="n">
        <v>1.1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45821-2019</t>
        </is>
      </c>
      <c r="B635" s="1" t="n">
        <v>43712</v>
      </c>
      <c r="C635" s="1" t="n">
        <v>45358</v>
      </c>
      <c r="D635" t="inlineStr">
        <is>
          <t>HALLANDS LÄN</t>
        </is>
      </c>
      <c r="E635" t="inlineStr">
        <is>
          <t>HYLTE</t>
        </is>
      </c>
      <c r="G635" t="n">
        <v>2.7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46065-2019</t>
        </is>
      </c>
      <c r="B636" s="1" t="n">
        <v>43712</v>
      </c>
      <c r="C636" s="1" t="n">
        <v>45358</v>
      </c>
      <c r="D636" t="inlineStr">
        <is>
          <t>HALLANDS LÄN</t>
        </is>
      </c>
      <c r="E636" t="inlineStr">
        <is>
          <t>HYLTE</t>
        </is>
      </c>
      <c r="G636" t="n">
        <v>1.7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46034-2019</t>
        </is>
      </c>
      <c r="B637" s="1" t="n">
        <v>43712</v>
      </c>
      <c r="C637" s="1" t="n">
        <v>45358</v>
      </c>
      <c r="D637" t="inlineStr">
        <is>
          <t>HALLANDS LÄN</t>
        </is>
      </c>
      <c r="E637" t="inlineStr">
        <is>
          <t>HYLTE</t>
        </is>
      </c>
      <c r="G637" t="n">
        <v>3.7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44927-2019</t>
        </is>
      </c>
      <c r="B638" s="1" t="n">
        <v>43713</v>
      </c>
      <c r="C638" s="1" t="n">
        <v>45358</v>
      </c>
      <c r="D638" t="inlineStr">
        <is>
          <t>HALLANDS LÄN</t>
        </is>
      </c>
      <c r="E638" t="inlineStr">
        <is>
          <t>VARBERG</t>
        </is>
      </c>
      <c r="G638" t="n">
        <v>5.6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46188-2019</t>
        </is>
      </c>
      <c r="B639" s="1" t="n">
        <v>43718</v>
      </c>
      <c r="C639" s="1" t="n">
        <v>45358</v>
      </c>
      <c r="D639" t="inlineStr">
        <is>
          <t>HALLANDS LÄN</t>
        </is>
      </c>
      <c r="E639" t="inlineStr">
        <is>
          <t>VARBERG</t>
        </is>
      </c>
      <c r="G639" t="n">
        <v>7.8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46030-2019</t>
        </is>
      </c>
      <c r="B640" s="1" t="n">
        <v>43718</v>
      </c>
      <c r="C640" s="1" t="n">
        <v>45358</v>
      </c>
      <c r="D640" t="inlineStr">
        <is>
          <t>HALLANDS LÄN</t>
        </is>
      </c>
      <c r="E640" t="inlineStr">
        <is>
          <t>HALMSTAD</t>
        </is>
      </c>
      <c r="G640" t="n">
        <v>0.5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46181-2019</t>
        </is>
      </c>
      <c r="B641" s="1" t="n">
        <v>43718</v>
      </c>
      <c r="C641" s="1" t="n">
        <v>45358</v>
      </c>
      <c r="D641" t="inlineStr">
        <is>
          <t>HALLANDS LÄN</t>
        </is>
      </c>
      <c r="E641" t="inlineStr">
        <is>
          <t>VARBERG</t>
        </is>
      </c>
      <c r="G641" t="n">
        <v>2.6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46041-2019</t>
        </is>
      </c>
      <c r="B642" s="1" t="n">
        <v>43718</v>
      </c>
      <c r="C642" s="1" t="n">
        <v>45358</v>
      </c>
      <c r="D642" t="inlineStr">
        <is>
          <t>HALLANDS LÄN</t>
        </is>
      </c>
      <c r="E642" t="inlineStr">
        <is>
          <t>HALMSTAD</t>
        </is>
      </c>
      <c r="G642" t="n">
        <v>0.6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46035-2019</t>
        </is>
      </c>
      <c r="B643" s="1" t="n">
        <v>43718</v>
      </c>
      <c r="C643" s="1" t="n">
        <v>45358</v>
      </c>
      <c r="D643" t="inlineStr">
        <is>
          <t>HALLANDS LÄN</t>
        </is>
      </c>
      <c r="E643" t="inlineStr">
        <is>
          <t>HALMSTAD</t>
        </is>
      </c>
      <c r="G643" t="n">
        <v>0.9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46042-2019</t>
        </is>
      </c>
      <c r="B644" s="1" t="n">
        <v>43718</v>
      </c>
      <c r="C644" s="1" t="n">
        <v>45358</v>
      </c>
      <c r="D644" t="inlineStr">
        <is>
          <t>HALLANDS LÄN</t>
        </is>
      </c>
      <c r="E644" t="inlineStr">
        <is>
          <t>HALMSTAD</t>
        </is>
      </c>
      <c r="G644" t="n">
        <v>1.1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46082-2019</t>
        </is>
      </c>
      <c r="B645" s="1" t="n">
        <v>43718</v>
      </c>
      <c r="C645" s="1" t="n">
        <v>45358</v>
      </c>
      <c r="D645" t="inlineStr">
        <is>
          <t>HALLANDS LÄN</t>
        </is>
      </c>
      <c r="E645" t="inlineStr">
        <is>
          <t>LAHOLM</t>
        </is>
      </c>
      <c r="G645" t="n">
        <v>2.2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46088-2019</t>
        </is>
      </c>
      <c r="B646" s="1" t="n">
        <v>43718</v>
      </c>
      <c r="C646" s="1" t="n">
        <v>45358</v>
      </c>
      <c r="D646" t="inlineStr">
        <is>
          <t>HALLANDS LÄN</t>
        </is>
      </c>
      <c r="E646" t="inlineStr">
        <is>
          <t>FALKENBERG</t>
        </is>
      </c>
      <c r="G646" t="n">
        <v>3.5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46025-2019</t>
        </is>
      </c>
      <c r="B647" s="1" t="n">
        <v>43718</v>
      </c>
      <c r="C647" s="1" t="n">
        <v>45358</v>
      </c>
      <c r="D647" t="inlineStr">
        <is>
          <t>HALLANDS LÄN</t>
        </is>
      </c>
      <c r="E647" t="inlineStr">
        <is>
          <t>HALMSTAD</t>
        </is>
      </c>
      <c r="G647" t="n">
        <v>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46861-2019</t>
        </is>
      </c>
      <c r="B648" s="1" t="n">
        <v>43719</v>
      </c>
      <c r="C648" s="1" t="n">
        <v>45358</v>
      </c>
      <c r="D648" t="inlineStr">
        <is>
          <t>HALLANDS LÄN</t>
        </is>
      </c>
      <c r="E648" t="inlineStr">
        <is>
          <t>VARBERG</t>
        </is>
      </c>
      <c r="G648" t="n">
        <v>1.2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46846-2019</t>
        </is>
      </c>
      <c r="B649" s="1" t="n">
        <v>43720</v>
      </c>
      <c r="C649" s="1" t="n">
        <v>45358</v>
      </c>
      <c r="D649" t="inlineStr">
        <is>
          <t>HALLANDS LÄN</t>
        </is>
      </c>
      <c r="E649" t="inlineStr">
        <is>
          <t>LAHOLM</t>
        </is>
      </c>
      <c r="G649" t="n">
        <v>0.9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47139-2019</t>
        </is>
      </c>
      <c r="B650" s="1" t="n">
        <v>43721</v>
      </c>
      <c r="C650" s="1" t="n">
        <v>45358</v>
      </c>
      <c r="D650" t="inlineStr">
        <is>
          <t>HALLANDS LÄN</t>
        </is>
      </c>
      <c r="E650" t="inlineStr">
        <is>
          <t>HALMSTAD</t>
        </is>
      </c>
      <c r="G650" t="n">
        <v>4.2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47480-2019</t>
        </is>
      </c>
      <c r="B651" s="1" t="n">
        <v>43724</v>
      </c>
      <c r="C651" s="1" t="n">
        <v>45358</v>
      </c>
      <c r="D651" t="inlineStr">
        <is>
          <t>HALLANDS LÄN</t>
        </is>
      </c>
      <c r="E651" t="inlineStr">
        <is>
          <t>HALMSTAD</t>
        </is>
      </c>
      <c r="G651" t="n">
        <v>0.6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47597-2019</t>
        </is>
      </c>
      <c r="B652" s="1" t="n">
        <v>43724</v>
      </c>
      <c r="C652" s="1" t="n">
        <v>45358</v>
      </c>
      <c r="D652" t="inlineStr">
        <is>
          <t>HALLANDS LÄN</t>
        </is>
      </c>
      <c r="E652" t="inlineStr">
        <is>
          <t>VARBERG</t>
        </is>
      </c>
      <c r="G652" t="n">
        <v>2.8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47711-2019</t>
        </is>
      </c>
      <c r="B653" s="1" t="n">
        <v>43724</v>
      </c>
      <c r="C653" s="1" t="n">
        <v>45358</v>
      </c>
      <c r="D653" t="inlineStr">
        <is>
          <t>HALLANDS LÄN</t>
        </is>
      </c>
      <c r="E653" t="inlineStr">
        <is>
          <t>LAHOLM</t>
        </is>
      </c>
      <c r="G653" t="n">
        <v>1.7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48619-2019</t>
        </is>
      </c>
      <c r="B654" s="1" t="n">
        <v>43727</v>
      </c>
      <c r="C654" s="1" t="n">
        <v>45358</v>
      </c>
      <c r="D654" t="inlineStr">
        <is>
          <t>HALLANDS LÄN</t>
        </is>
      </c>
      <c r="E654" t="inlineStr">
        <is>
          <t>HALMSTAD</t>
        </is>
      </c>
      <c r="G654" t="n">
        <v>1.9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48694-2019</t>
        </is>
      </c>
      <c r="B655" s="1" t="n">
        <v>43728</v>
      </c>
      <c r="C655" s="1" t="n">
        <v>45358</v>
      </c>
      <c r="D655" t="inlineStr">
        <is>
          <t>HALLANDS LÄN</t>
        </is>
      </c>
      <c r="E655" t="inlineStr">
        <is>
          <t>VARBERG</t>
        </is>
      </c>
      <c r="G655" t="n">
        <v>1.3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49072-2019</t>
        </is>
      </c>
      <c r="B656" s="1" t="n">
        <v>43731</v>
      </c>
      <c r="C656" s="1" t="n">
        <v>45358</v>
      </c>
      <c r="D656" t="inlineStr">
        <is>
          <t>HALLANDS LÄN</t>
        </is>
      </c>
      <c r="E656" t="inlineStr">
        <is>
          <t>VARBERG</t>
        </is>
      </c>
      <c r="G656" t="n">
        <v>1.6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50041-2019</t>
        </is>
      </c>
      <c r="B657" s="1" t="n">
        <v>43731</v>
      </c>
      <c r="C657" s="1" t="n">
        <v>45358</v>
      </c>
      <c r="D657" t="inlineStr">
        <is>
          <t>HALLANDS LÄN</t>
        </is>
      </c>
      <c r="E657" t="inlineStr">
        <is>
          <t>HYLTE</t>
        </is>
      </c>
      <c r="G657" t="n">
        <v>2.9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50043-2019</t>
        </is>
      </c>
      <c r="B658" s="1" t="n">
        <v>43731</v>
      </c>
      <c r="C658" s="1" t="n">
        <v>45358</v>
      </c>
      <c r="D658" t="inlineStr">
        <is>
          <t>HALLANDS LÄN</t>
        </is>
      </c>
      <c r="E658" t="inlineStr">
        <is>
          <t>HYLTE</t>
        </is>
      </c>
      <c r="G658" t="n">
        <v>1.1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51527-2019</t>
        </is>
      </c>
      <c r="B659" s="1" t="n">
        <v>43732</v>
      </c>
      <c r="C659" s="1" t="n">
        <v>45358</v>
      </c>
      <c r="D659" t="inlineStr">
        <is>
          <t>HALLANDS LÄN</t>
        </is>
      </c>
      <c r="E659" t="inlineStr">
        <is>
          <t>FALKENBERG</t>
        </is>
      </c>
      <c r="G659" t="n">
        <v>1.7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49394-2019</t>
        </is>
      </c>
      <c r="B660" s="1" t="n">
        <v>43732</v>
      </c>
      <c r="C660" s="1" t="n">
        <v>45358</v>
      </c>
      <c r="D660" t="inlineStr">
        <is>
          <t>HALLANDS LÄN</t>
        </is>
      </c>
      <c r="E660" t="inlineStr">
        <is>
          <t>HYLTE</t>
        </is>
      </c>
      <c r="G660" t="n">
        <v>1.1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49479-2019</t>
        </is>
      </c>
      <c r="B661" s="1" t="n">
        <v>43732</v>
      </c>
      <c r="C661" s="1" t="n">
        <v>45358</v>
      </c>
      <c r="D661" t="inlineStr">
        <is>
          <t>HALLANDS LÄN</t>
        </is>
      </c>
      <c r="E661" t="inlineStr">
        <is>
          <t>FALKENBERG</t>
        </is>
      </c>
      <c r="G661" t="n">
        <v>10.1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49405-2019</t>
        </is>
      </c>
      <c r="B662" s="1" t="n">
        <v>43732</v>
      </c>
      <c r="C662" s="1" t="n">
        <v>45358</v>
      </c>
      <c r="D662" t="inlineStr">
        <is>
          <t>HALLANDS LÄN</t>
        </is>
      </c>
      <c r="E662" t="inlineStr">
        <is>
          <t>HYLTE</t>
        </is>
      </c>
      <c r="G662" t="n">
        <v>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49808-2019</t>
        </is>
      </c>
      <c r="B663" s="1" t="n">
        <v>43733</v>
      </c>
      <c r="C663" s="1" t="n">
        <v>45358</v>
      </c>
      <c r="D663" t="inlineStr">
        <is>
          <t>HALLANDS LÄN</t>
        </is>
      </c>
      <c r="E663" t="inlineStr">
        <is>
          <t>HALMSTAD</t>
        </is>
      </c>
      <c r="G663" t="n">
        <v>0.7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52070-2019</t>
        </is>
      </c>
      <c r="B664" s="1" t="n">
        <v>43734</v>
      </c>
      <c r="C664" s="1" t="n">
        <v>45358</v>
      </c>
      <c r="D664" t="inlineStr">
        <is>
          <t>HALLANDS LÄN</t>
        </is>
      </c>
      <c r="E664" t="inlineStr">
        <is>
          <t>VARBERG</t>
        </is>
      </c>
      <c r="G664" t="n">
        <v>0.5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52666-2019</t>
        </is>
      </c>
      <c r="B665" s="1" t="n">
        <v>43738</v>
      </c>
      <c r="C665" s="1" t="n">
        <v>45358</v>
      </c>
      <c r="D665" t="inlineStr">
        <is>
          <t>HALLANDS LÄN</t>
        </is>
      </c>
      <c r="E665" t="inlineStr">
        <is>
          <t>HYLTE</t>
        </is>
      </c>
      <c r="G665" t="n">
        <v>4.2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51308-2019</t>
        </is>
      </c>
      <c r="B666" s="1" t="n">
        <v>43739</v>
      </c>
      <c r="C666" s="1" t="n">
        <v>45358</v>
      </c>
      <c r="D666" t="inlineStr">
        <is>
          <t>HALLANDS LÄN</t>
        </is>
      </c>
      <c r="E666" t="inlineStr">
        <is>
          <t>HYLTE</t>
        </is>
      </c>
      <c r="G666" t="n">
        <v>2.3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51306-2019</t>
        </is>
      </c>
      <c r="B667" s="1" t="n">
        <v>43739</v>
      </c>
      <c r="C667" s="1" t="n">
        <v>45358</v>
      </c>
      <c r="D667" t="inlineStr">
        <is>
          <t>HALLANDS LÄN</t>
        </is>
      </c>
      <c r="E667" t="inlineStr">
        <is>
          <t>HYLTE</t>
        </is>
      </c>
      <c r="G667" t="n">
        <v>2.8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51495-2019</t>
        </is>
      </c>
      <c r="B668" s="1" t="n">
        <v>43740</v>
      </c>
      <c r="C668" s="1" t="n">
        <v>45358</v>
      </c>
      <c r="D668" t="inlineStr">
        <is>
          <t>HALLANDS LÄN</t>
        </is>
      </c>
      <c r="E668" t="inlineStr">
        <is>
          <t>KUNGSBACKA</t>
        </is>
      </c>
      <c r="G668" t="n">
        <v>1.9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51792-2019</t>
        </is>
      </c>
      <c r="B669" s="1" t="n">
        <v>43741</v>
      </c>
      <c r="C669" s="1" t="n">
        <v>45358</v>
      </c>
      <c r="D669" t="inlineStr">
        <is>
          <t>HALLANDS LÄN</t>
        </is>
      </c>
      <c r="E669" t="inlineStr">
        <is>
          <t>LAHOLM</t>
        </is>
      </c>
      <c r="G669" t="n">
        <v>3.8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51807-2019</t>
        </is>
      </c>
      <c r="B670" s="1" t="n">
        <v>43741</v>
      </c>
      <c r="C670" s="1" t="n">
        <v>45358</v>
      </c>
      <c r="D670" t="inlineStr">
        <is>
          <t>HALLANDS LÄN</t>
        </is>
      </c>
      <c r="E670" t="inlineStr">
        <is>
          <t>HYLTE</t>
        </is>
      </c>
      <c r="G670" t="n">
        <v>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51965-2019</t>
        </is>
      </c>
      <c r="B671" s="1" t="n">
        <v>43742</v>
      </c>
      <c r="C671" s="1" t="n">
        <v>45358</v>
      </c>
      <c r="D671" t="inlineStr">
        <is>
          <t>HALLANDS LÄN</t>
        </is>
      </c>
      <c r="E671" t="inlineStr">
        <is>
          <t>VARBERG</t>
        </is>
      </c>
      <c r="G671" t="n">
        <v>0.4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52007-2019</t>
        </is>
      </c>
      <c r="B672" s="1" t="n">
        <v>43742</v>
      </c>
      <c r="C672" s="1" t="n">
        <v>45358</v>
      </c>
      <c r="D672" t="inlineStr">
        <is>
          <t>HALLANDS LÄN</t>
        </is>
      </c>
      <c r="E672" t="inlineStr">
        <is>
          <t>KUNGSBACKA</t>
        </is>
      </c>
      <c r="G672" t="n">
        <v>0.6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52003-2019</t>
        </is>
      </c>
      <c r="B673" s="1" t="n">
        <v>43742</v>
      </c>
      <c r="C673" s="1" t="n">
        <v>45358</v>
      </c>
      <c r="D673" t="inlineStr">
        <is>
          <t>HALLANDS LÄN</t>
        </is>
      </c>
      <c r="E673" t="inlineStr">
        <is>
          <t>HYLTE</t>
        </is>
      </c>
      <c r="G673" t="n">
        <v>2.3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51977-2019</t>
        </is>
      </c>
      <c r="B674" s="1" t="n">
        <v>43742</v>
      </c>
      <c r="C674" s="1" t="n">
        <v>45358</v>
      </c>
      <c r="D674" t="inlineStr">
        <is>
          <t>HALLANDS LÄN</t>
        </is>
      </c>
      <c r="E674" t="inlineStr">
        <is>
          <t>HYLTE</t>
        </is>
      </c>
      <c r="G674" t="n">
        <v>1.6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52002-2019</t>
        </is>
      </c>
      <c r="B675" s="1" t="n">
        <v>43742</v>
      </c>
      <c r="C675" s="1" t="n">
        <v>45358</v>
      </c>
      <c r="D675" t="inlineStr">
        <is>
          <t>HALLANDS LÄN</t>
        </is>
      </c>
      <c r="E675" t="inlineStr">
        <is>
          <t>HYLTE</t>
        </is>
      </c>
      <c r="G675" t="n">
        <v>1.5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52133-2019</t>
        </is>
      </c>
      <c r="B676" s="1" t="n">
        <v>43742</v>
      </c>
      <c r="C676" s="1" t="n">
        <v>45358</v>
      </c>
      <c r="D676" t="inlineStr">
        <is>
          <t>HALLANDS LÄN</t>
        </is>
      </c>
      <c r="E676" t="inlineStr">
        <is>
          <t>VARBERG</t>
        </is>
      </c>
      <c r="G676" t="n">
        <v>3.8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52108-2019</t>
        </is>
      </c>
      <c r="B677" s="1" t="n">
        <v>43742</v>
      </c>
      <c r="C677" s="1" t="n">
        <v>45358</v>
      </c>
      <c r="D677" t="inlineStr">
        <is>
          <t>HALLANDS LÄN</t>
        </is>
      </c>
      <c r="E677" t="inlineStr">
        <is>
          <t>HALMSTAD</t>
        </is>
      </c>
      <c r="G677" t="n">
        <v>0.9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53861-2019</t>
        </is>
      </c>
      <c r="B678" s="1" t="n">
        <v>43742</v>
      </c>
      <c r="C678" s="1" t="n">
        <v>45358</v>
      </c>
      <c r="D678" t="inlineStr">
        <is>
          <t>HALLANDS LÄN</t>
        </is>
      </c>
      <c r="E678" t="inlineStr">
        <is>
          <t>HALMSTAD</t>
        </is>
      </c>
      <c r="G678" t="n">
        <v>1.9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52106-2019</t>
        </is>
      </c>
      <c r="B679" s="1" t="n">
        <v>43742</v>
      </c>
      <c r="C679" s="1" t="n">
        <v>45358</v>
      </c>
      <c r="D679" t="inlineStr">
        <is>
          <t>HALLANDS LÄN</t>
        </is>
      </c>
      <c r="E679" t="inlineStr">
        <is>
          <t>HALMSTAD</t>
        </is>
      </c>
      <c r="G679" t="n">
        <v>1.1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52118-2019</t>
        </is>
      </c>
      <c r="B680" s="1" t="n">
        <v>43742</v>
      </c>
      <c r="C680" s="1" t="n">
        <v>45358</v>
      </c>
      <c r="D680" t="inlineStr">
        <is>
          <t>HALLANDS LÄN</t>
        </is>
      </c>
      <c r="E680" t="inlineStr">
        <is>
          <t>HALMSTAD</t>
        </is>
      </c>
      <c r="G680" t="n">
        <v>0.9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51964-2019</t>
        </is>
      </c>
      <c r="B681" s="1" t="n">
        <v>43742</v>
      </c>
      <c r="C681" s="1" t="n">
        <v>45358</v>
      </c>
      <c r="D681" t="inlineStr">
        <is>
          <t>HALLANDS LÄN</t>
        </is>
      </c>
      <c r="E681" t="inlineStr">
        <is>
          <t>VARBERG</t>
        </is>
      </c>
      <c r="G681" t="n">
        <v>1.7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52749-2019</t>
        </is>
      </c>
      <c r="B682" s="1" t="n">
        <v>43746</v>
      </c>
      <c r="C682" s="1" t="n">
        <v>45358</v>
      </c>
      <c r="D682" t="inlineStr">
        <is>
          <t>HALLANDS LÄN</t>
        </is>
      </c>
      <c r="E682" t="inlineStr">
        <is>
          <t>LAHOLM</t>
        </is>
      </c>
      <c r="G682" t="n">
        <v>0.7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53053-2019</t>
        </is>
      </c>
      <c r="B683" s="1" t="n">
        <v>43747</v>
      </c>
      <c r="C683" s="1" t="n">
        <v>45358</v>
      </c>
      <c r="D683" t="inlineStr">
        <is>
          <t>HALLANDS LÄN</t>
        </is>
      </c>
      <c r="E683" t="inlineStr">
        <is>
          <t>VARBERG</t>
        </is>
      </c>
      <c r="G683" t="n">
        <v>0.6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54444-2019</t>
        </is>
      </c>
      <c r="B684" s="1" t="n">
        <v>43747</v>
      </c>
      <c r="C684" s="1" t="n">
        <v>45358</v>
      </c>
      <c r="D684" t="inlineStr">
        <is>
          <t>HALLANDS LÄN</t>
        </is>
      </c>
      <c r="E684" t="inlineStr">
        <is>
          <t>VARBERG</t>
        </is>
      </c>
      <c r="G684" t="n">
        <v>4.3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54439-2019</t>
        </is>
      </c>
      <c r="B685" s="1" t="n">
        <v>43747</v>
      </c>
      <c r="C685" s="1" t="n">
        <v>45358</v>
      </c>
      <c r="D685" t="inlineStr">
        <is>
          <t>HALLANDS LÄN</t>
        </is>
      </c>
      <c r="E685" t="inlineStr">
        <is>
          <t>VARBERG</t>
        </is>
      </c>
      <c r="G685" t="n">
        <v>8.300000000000001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53283-2019</t>
        </is>
      </c>
      <c r="B686" s="1" t="n">
        <v>43748</v>
      </c>
      <c r="C686" s="1" t="n">
        <v>45358</v>
      </c>
      <c r="D686" t="inlineStr">
        <is>
          <t>HALLANDS LÄN</t>
        </is>
      </c>
      <c r="E686" t="inlineStr">
        <is>
          <t>HALMSTAD</t>
        </is>
      </c>
      <c r="G686" t="n">
        <v>1.7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54623-2019</t>
        </is>
      </c>
      <c r="B687" s="1" t="n">
        <v>43748</v>
      </c>
      <c r="C687" s="1" t="n">
        <v>45358</v>
      </c>
      <c r="D687" t="inlineStr">
        <is>
          <t>HALLANDS LÄN</t>
        </is>
      </c>
      <c r="E687" t="inlineStr">
        <is>
          <t>FALKENBERG</t>
        </is>
      </c>
      <c r="G687" t="n">
        <v>0.2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54646-2019</t>
        </is>
      </c>
      <c r="B688" s="1" t="n">
        <v>43748</v>
      </c>
      <c r="C688" s="1" t="n">
        <v>45358</v>
      </c>
      <c r="D688" t="inlineStr">
        <is>
          <t>HALLANDS LÄN</t>
        </is>
      </c>
      <c r="E688" t="inlineStr">
        <is>
          <t>VARBERG</t>
        </is>
      </c>
      <c r="G688" t="n">
        <v>5.6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53288-2019</t>
        </is>
      </c>
      <c r="B689" s="1" t="n">
        <v>43748</v>
      </c>
      <c r="C689" s="1" t="n">
        <v>45358</v>
      </c>
      <c r="D689" t="inlineStr">
        <is>
          <t>HALLANDS LÄN</t>
        </is>
      </c>
      <c r="E689" t="inlineStr">
        <is>
          <t>KUNGSBACKA</t>
        </is>
      </c>
      <c r="G689" t="n">
        <v>7.6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53587-2019</t>
        </is>
      </c>
      <c r="B690" s="1" t="n">
        <v>43749</v>
      </c>
      <c r="C690" s="1" t="n">
        <v>45358</v>
      </c>
      <c r="D690" t="inlineStr">
        <is>
          <t>HALLANDS LÄN</t>
        </is>
      </c>
      <c r="E690" t="inlineStr">
        <is>
          <t>FALKENBERG</t>
        </is>
      </c>
      <c r="G690" t="n">
        <v>0.7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53880-2019</t>
        </is>
      </c>
      <c r="B691" s="1" t="n">
        <v>43752</v>
      </c>
      <c r="C691" s="1" t="n">
        <v>45358</v>
      </c>
      <c r="D691" t="inlineStr">
        <is>
          <t>HALLANDS LÄN</t>
        </is>
      </c>
      <c r="E691" t="inlineStr">
        <is>
          <t>FALKENBERG</t>
        </is>
      </c>
      <c r="G691" t="n">
        <v>3.8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54016-2019</t>
        </is>
      </c>
      <c r="B692" s="1" t="n">
        <v>43752</v>
      </c>
      <c r="C692" s="1" t="n">
        <v>45358</v>
      </c>
      <c r="D692" t="inlineStr">
        <is>
          <t>HALLANDS LÄN</t>
        </is>
      </c>
      <c r="E692" t="inlineStr">
        <is>
          <t>LAHOLM</t>
        </is>
      </c>
      <c r="F692" t="inlineStr">
        <is>
          <t>Kommuner</t>
        </is>
      </c>
      <c r="G692" t="n">
        <v>2.9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53882-2019</t>
        </is>
      </c>
      <c r="B693" s="1" t="n">
        <v>43752</v>
      </c>
      <c r="C693" s="1" t="n">
        <v>45358</v>
      </c>
      <c r="D693" t="inlineStr">
        <is>
          <t>HALLANDS LÄN</t>
        </is>
      </c>
      <c r="E693" t="inlineStr">
        <is>
          <t>FALKENBERG</t>
        </is>
      </c>
      <c r="G693" t="n">
        <v>3.2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53966-2019</t>
        </is>
      </c>
      <c r="B694" s="1" t="n">
        <v>43752</v>
      </c>
      <c r="C694" s="1" t="n">
        <v>45358</v>
      </c>
      <c r="D694" t="inlineStr">
        <is>
          <t>HALLANDS LÄN</t>
        </is>
      </c>
      <c r="E694" t="inlineStr">
        <is>
          <t>VARBERG</t>
        </is>
      </c>
      <c r="G694" t="n">
        <v>5.6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54537-2019</t>
        </is>
      </c>
      <c r="B695" s="1" t="n">
        <v>43754</v>
      </c>
      <c r="C695" s="1" t="n">
        <v>45358</v>
      </c>
      <c r="D695" t="inlineStr">
        <is>
          <t>HALLANDS LÄN</t>
        </is>
      </c>
      <c r="E695" t="inlineStr">
        <is>
          <t>KUNGSBACKA</t>
        </is>
      </c>
      <c r="F695" t="inlineStr">
        <is>
          <t>Sveaskog</t>
        </is>
      </c>
      <c r="G695" t="n">
        <v>5.9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54535-2019</t>
        </is>
      </c>
      <c r="B696" s="1" t="n">
        <v>43754</v>
      </c>
      <c r="C696" s="1" t="n">
        <v>45358</v>
      </c>
      <c r="D696" t="inlineStr">
        <is>
          <t>HALLANDS LÄN</t>
        </is>
      </c>
      <c r="E696" t="inlineStr">
        <is>
          <t>KUNGSBACKA</t>
        </is>
      </c>
      <c r="F696" t="inlineStr">
        <is>
          <t>Sveaskog</t>
        </is>
      </c>
      <c r="G696" t="n">
        <v>3.8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54626-2019</t>
        </is>
      </c>
      <c r="B697" s="1" t="n">
        <v>43754</v>
      </c>
      <c r="C697" s="1" t="n">
        <v>45358</v>
      </c>
      <c r="D697" t="inlineStr">
        <is>
          <t>HALLANDS LÄN</t>
        </is>
      </c>
      <c r="E697" t="inlineStr">
        <is>
          <t>FALKENBERG</t>
        </is>
      </c>
      <c r="G697" t="n">
        <v>0.3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54461-2019</t>
        </is>
      </c>
      <c r="B698" s="1" t="n">
        <v>43754</v>
      </c>
      <c r="C698" s="1" t="n">
        <v>45358</v>
      </c>
      <c r="D698" t="inlineStr">
        <is>
          <t>HALLANDS LÄN</t>
        </is>
      </c>
      <c r="E698" t="inlineStr">
        <is>
          <t>HALMSTAD</t>
        </is>
      </c>
      <c r="G698" t="n">
        <v>4.8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54432-2019</t>
        </is>
      </c>
      <c r="B699" s="1" t="n">
        <v>43754</v>
      </c>
      <c r="C699" s="1" t="n">
        <v>45358</v>
      </c>
      <c r="D699" t="inlineStr">
        <is>
          <t>HALLANDS LÄN</t>
        </is>
      </c>
      <c r="E699" t="inlineStr">
        <is>
          <t>FALKENBERG</t>
        </is>
      </c>
      <c r="G699" t="n">
        <v>1.1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54530-2019</t>
        </is>
      </c>
      <c r="B700" s="1" t="n">
        <v>43754</v>
      </c>
      <c r="C700" s="1" t="n">
        <v>45358</v>
      </c>
      <c r="D700" t="inlineStr">
        <is>
          <t>HALLANDS LÄN</t>
        </is>
      </c>
      <c r="E700" t="inlineStr">
        <is>
          <t>KUNGSBACKA</t>
        </is>
      </c>
      <c r="F700" t="inlineStr">
        <is>
          <t>Sveaskog</t>
        </is>
      </c>
      <c r="G700" t="n">
        <v>9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54543-2019</t>
        </is>
      </c>
      <c r="B701" s="1" t="n">
        <v>43754</v>
      </c>
      <c r="C701" s="1" t="n">
        <v>45358</v>
      </c>
      <c r="D701" t="inlineStr">
        <is>
          <t>HALLANDS LÄN</t>
        </is>
      </c>
      <c r="E701" t="inlineStr">
        <is>
          <t>LAHOLM</t>
        </is>
      </c>
      <c r="G701" t="n">
        <v>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54533-2019</t>
        </is>
      </c>
      <c r="B702" s="1" t="n">
        <v>43754</v>
      </c>
      <c r="C702" s="1" t="n">
        <v>45358</v>
      </c>
      <c r="D702" t="inlineStr">
        <is>
          <t>HALLANDS LÄN</t>
        </is>
      </c>
      <c r="E702" t="inlineStr">
        <is>
          <t>KUNGSBACKA</t>
        </is>
      </c>
      <c r="F702" t="inlineStr">
        <is>
          <t>Sveaskog</t>
        </is>
      </c>
      <c r="G702" t="n">
        <v>8.5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55036-2019</t>
        </is>
      </c>
      <c r="B703" s="1" t="n">
        <v>43755</v>
      </c>
      <c r="C703" s="1" t="n">
        <v>45358</v>
      </c>
      <c r="D703" t="inlineStr">
        <is>
          <t>HALLANDS LÄN</t>
        </is>
      </c>
      <c r="E703" t="inlineStr">
        <is>
          <t>FALKENBERG</t>
        </is>
      </c>
      <c r="G703" t="n">
        <v>7.5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55035-2019</t>
        </is>
      </c>
      <c r="B704" s="1" t="n">
        <v>43755</v>
      </c>
      <c r="C704" s="1" t="n">
        <v>45358</v>
      </c>
      <c r="D704" t="inlineStr">
        <is>
          <t>HALLANDS LÄN</t>
        </is>
      </c>
      <c r="E704" t="inlineStr">
        <is>
          <t>FALKENBERG</t>
        </is>
      </c>
      <c r="G704" t="n">
        <v>1.6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55037-2019</t>
        </is>
      </c>
      <c r="B705" s="1" t="n">
        <v>43755</v>
      </c>
      <c r="C705" s="1" t="n">
        <v>45358</v>
      </c>
      <c r="D705" t="inlineStr">
        <is>
          <t>HALLANDS LÄN</t>
        </is>
      </c>
      <c r="E705" t="inlineStr">
        <is>
          <t>FALKENBERG</t>
        </is>
      </c>
      <c r="G705" t="n">
        <v>2.6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55584-2019</t>
        </is>
      </c>
      <c r="B706" s="1" t="n">
        <v>43760</v>
      </c>
      <c r="C706" s="1" t="n">
        <v>45358</v>
      </c>
      <c r="D706" t="inlineStr">
        <is>
          <t>HALLANDS LÄN</t>
        </is>
      </c>
      <c r="E706" t="inlineStr">
        <is>
          <t>LAHOLM</t>
        </is>
      </c>
      <c r="G706" t="n">
        <v>0.9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56020-2019</t>
        </is>
      </c>
      <c r="B707" s="1" t="n">
        <v>43761</v>
      </c>
      <c r="C707" s="1" t="n">
        <v>45358</v>
      </c>
      <c r="D707" t="inlineStr">
        <is>
          <t>HALLANDS LÄN</t>
        </is>
      </c>
      <c r="E707" t="inlineStr">
        <is>
          <t>FALKENBERG</t>
        </is>
      </c>
      <c r="G707" t="n">
        <v>0.6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56226-2019</t>
        </is>
      </c>
      <c r="B708" s="1" t="n">
        <v>43762</v>
      </c>
      <c r="C708" s="1" t="n">
        <v>45358</v>
      </c>
      <c r="D708" t="inlineStr">
        <is>
          <t>HALLANDS LÄN</t>
        </is>
      </c>
      <c r="E708" t="inlineStr">
        <is>
          <t>FALKENBERG</t>
        </is>
      </c>
      <c r="G708" t="n">
        <v>1.9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56247-2019</t>
        </is>
      </c>
      <c r="B709" s="1" t="n">
        <v>43762</v>
      </c>
      <c r="C709" s="1" t="n">
        <v>45358</v>
      </c>
      <c r="D709" t="inlineStr">
        <is>
          <t>HALLANDS LÄN</t>
        </is>
      </c>
      <c r="E709" t="inlineStr">
        <is>
          <t>VARBERG</t>
        </is>
      </c>
      <c r="G709" t="n">
        <v>1.2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56390-2019</t>
        </is>
      </c>
      <c r="B710" s="1" t="n">
        <v>43762</v>
      </c>
      <c r="C710" s="1" t="n">
        <v>45358</v>
      </c>
      <c r="D710" t="inlineStr">
        <is>
          <t>HALLANDS LÄN</t>
        </is>
      </c>
      <c r="E710" t="inlineStr">
        <is>
          <t>FALKENBERG</t>
        </is>
      </c>
      <c r="G710" t="n">
        <v>1.2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57817-2019</t>
        </is>
      </c>
      <c r="B711" s="1" t="n">
        <v>43762</v>
      </c>
      <c r="C711" s="1" t="n">
        <v>45358</v>
      </c>
      <c r="D711" t="inlineStr">
        <is>
          <t>HALLANDS LÄN</t>
        </is>
      </c>
      <c r="E711" t="inlineStr">
        <is>
          <t>LAHOLM</t>
        </is>
      </c>
      <c r="G711" t="n">
        <v>2.7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56782-2019</t>
        </is>
      </c>
      <c r="B712" s="1" t="n">
        <v>43763</v>
      </c>
      <c r="C712" s="1" t="n">
        <v>45358</v>
      </c>
      <c r="D712" t="inlineStr">
        <is>
          <t>HALLANDS LÄN</t>
        </is>
      </c>
      <c r="E712" t="inlineStr">
        <is>
          <t>VARBERG</t>
        </is>
      </c>
      <c r="G712" t="n">
        <v>0.9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57076-2019</t>
        </is>
      </c>
      <c r="B713" s="1" t="n">
        <v>43766</v>
      </c>
      <c r="C713" s="1" t="n">
        <v>45358</v>
      </c>
      <c r="D713" t="inlineStr">
        <is>
          <t>HALLANDS LÄN</t>
        </is>
      </c>
      <c r="E713" t="inlineStr">
        <is>
          <t>VARBERG</t>
        </is>
      </c>
      <c r="G713" t="n">
        <v>0.5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57709-2019</t>
        </is>
      </c>
      <c r="B714" s="1" t="n">
        <v>43768</v>
      </c>
      <c r="C714" s="1" t="n">
        <v>45358</v>
      </c>
      <c r="D714" t="inlineStr">
        <is>
          <t>HALLANDS LÄN</t>
        </is>
      </c>
      <c r="E714" t="inlineStr">
        <is>
          <t>FALKENBERG</t>
        </is>
      </c>
      <c r="G714" t="n">
        <v>1.2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57707-2019</t>
        </is>
      </c>
      <c r="B715" s="1" t="n">
        <v>43768</v>
      </c>
      <c r="C715" s="1" t="n">
        <v>45358</v>
      </c>
      <c r="D715" t="inlineStr">
        <is>
          <t>HALLANDS LÄN</t>
        </is>
      </c>
      <c r="E715" t="inlineStr">
        <is>
          <t>FALKENBERG</t>
        </is>
      </c>
      <c r="G715" t="n">
        <v>0.7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57699-2019</t>
        </is>
      </c>
      <c r="B716" s="1" t="n">
        <v>43768</v>
      </c>
      <c r="C716" s="1" t="n">
        <v>45358</v>
      </c>
      <c r="D716" t="inlineStr">
        <is>
          <t>HALLANDS LÄN</t>
        </is>
      </c>
      <c r="E716" t="inlineStr">
        <is>
          <t>HYLTE</t>
        </is>
      </c>
      <c r="G716" t="n">
        <v>0.8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58297-2019</t>
        </is>
      </c>
      <c r="B717" s="1" t="n">
        <v>43770</v>
      </c>
      <c r="C717" s="1" t="n">
        <v>45358</v>
      </c>
      <c r="D717" t="inlineStr">
        <is>
          <t>HALLANDS LÄN</t>
        </is>
      </c>
      <c r="E717" t="inlineStr">
        <is>
          <t>HYLTE</t>
        </is>
      </c>
      <c r="G717" t="n">
        <v>1.2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58277-2019</t>
        </is>
      </c>
      <c r="B718" s="1" t="n">
        <v>43770</v>
      </c>
      <c r="C718" s="1" t="n">
        <v>45358</v>
      </c>
      <c r="D718" t="inlineStr">
        <is>
          <t>HALLANDS LÄN</t>
        </is>
      </c>
      <c r="E718" t="inlineStr">
        <is>
          <t>HALMSTAD</t>
        </is>
      </c>
      <c r="G718" t="n">
        <v>0.6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58578-2019</t>
        </is>
      </c>
      <c r="B719" s="1" t="n">
        <v>43773</v>
      </c>
      <c r="C719" s="1" t="n">
        <v>45358</v>
      </c>
      <c r="D719" t="inlineStr">
        <is>
          <t>HALLANDS LÄN</t>
        </is>
      </c>
      <c r="E719" t="inlineStr">
        <is>
          <t>FALKENBERG</t>
        </is>
      </c>
      <c r="G719" t="n">
        <v>4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58728-2019</t>
        </is>
      </c>
      <c r="B720" s="1" t="n">
        <v>43773</v>
      </c>
      <c r="C720" s="1" t="n">
        <v>45358</v>
      </c>
      <c r="D720" t="inlineStr">
        <is>
          <t>HALLANDS LÄN</t>
        </is>
      </c>
      <c r="E720" t="inlineStr">
        <is>
          <t>FALKENBERG</t>
        </is>
      </c>
      <c r="G720" t="n">
        <v>1.7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58690-2019</t>
        </is>
      </c>
      <c r="B721" s="1" t="n">
        <v>43773</v>
      </c>
      <c r="C721" s="1" t="n">
        <v>45358</v>
      </c>
      <c r="D721" t="inlineStr">
        <is>
          <t>HALLANDS LÄN</t>
        </is>
      </c>
      <c r="E721" t="inlineStr">
        <is>
          <t>FALKENBERG</t>
        </is>
      </c>
      <c r="G721" t="n">
        <v>1.1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58782-2019</t>
        </is>
      </c>
      <c r="B722" s="1" t="n">
        <v>43773</v>
      </c>
      <c r="C722" s="1" t="n">
        <v>45358</v>
      </c>
      <c r="D722" t="inlineStr">
        <is>
          <t>HALLANDS LÄN</t>
        </is>
      </c>
      <c r="E722" t="inlineStr">
        <is>
          <t>LAHOLM</t>
        </is>
      </c>
      <c r="G722" t="n">
        <v>5.8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58737-2019</t>
        </is>
      </c>
      <c r="B723" s="1" t="n">
        <v>43773</v>
      </c>
      <c r="C723" s="1" t="n">
        <v>45358</v>
      </c>
      <c r="D723" t="inlineStr">
        <is>
          <t>HALLANDS LÄN</t>
        </is>
      </c>
      <c r="E723" t="inlineStr">
        <is>
          <t>FALKENBERG</t>
        </is>
      </c>
      <c r="G723" t="n">
        <v>2.5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58884-2019</t>
        </is>
      </c>
      <c r="B724" s="1" t="n">
        <v>43774</v>
      </c>
      <c r="C724" s="1" t="n">
        <v>45358</v>
      </c>
      <c r="D724" t="inlineStr">
        <is>
          <t>HALLANDS LÄN</t>
        </is>
      </c>
      <c r="E724" t="inlineStr">
        <is>
          <t>HYLTE</t>
        </is>
      </c>
      <c r="G724" t="n">
        <v>1.3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59161-2019</t>
        </is>
      </c>
      <c r="B725" s="1" t="n">
        <v>43775</v>
      </c>
      <c r="C725" s="1" t="n">
        <v>45358</v>
      </c>
      <c r="D725" t="inlineStr">
        <is>
          <t>HALLANDS LÄN</t>
        </is>
      </c>
      <c r="E725" t="inlineStr">
        <is>
          <t>FALKENBERG</t>
        </is>
      </c>
      <c r="G725" t="n">
        <v>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59162-2019</t>
        </is>
      </c>
      <c r="B726" s="1" t="n">
        <v>43775</v>
      </c>
      <c r="C726" s="1" t="n">
        <v>45358</v>
      </c>
      <c r="D726" t="inlineStr">
        <is>
          <t>HALLANDS LÄN</t>
        </is>
      </c>
      <c r="E726" t="inlineStr">
        <is>
          <t>FALKENBERG</t>
        </is>
      </c>
      <c r="G726" t="n">
        <v>0.6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59403-2019</t>
        </is>
      </c>
      <c r="B727" s="1" t="n">
        <v>43775</v>
      </c>
      <c r="C727" s="1" t="n">
        <v>45358</v>
      </c>
      <c r="D727" t="inlineStr">
        <is>
          <t>HALLANDS LÄN</t>
        </is>
      </c>
      <c r="E727" t="inlineStr">
        <is>
          <t>HYLTE</t>
        </is>
      </c>
      <c r="G727" t="n">
        <v>0.5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59406-2019</t>
        </is>
      </c>
      <c r="B728" s="1" t="n">
        <v>43775</v>
      </c>
      <c r="C728" s="1" t="n">
        <v>45358</v>
      </c>
      <c r="D728" t="inlineStr">
        <is>
          <t>HALLANDS LÄN</t>
        </is>
      </c>
      <c r="E728" t="inlineStr">
        <is>
          <t>HALMSTAD</t>
        </is>
      </c>
      <c r="G728" t="n">
        <v>2.5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59398-2019</t>
        </is>
      </c>
      <c r="B729" s="1" t="n">
        <v>43775</v>
      </c>
      <c r="C729" s="1" t="n">
        <v>45358</v>
      </c>
      <c r="D729" t="inlineStr">
        <is>
          <t>HALLANDS LÄN</t>
        </is>
      </c>
      <c r="E729" t="inlineStr">
        <is>
          <t>HYLTE</t>
        </is>
      </c>
      <c r="G729" t="n">
        <v>0.8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59410-2019</t>
        </is>
      </c>
      <c r="B730" s="1" t="n">
        <v>43775</v>
      </c>
      <c r="C730" s="1" t="n">
        <v>45358</v>
      </c>
      <c r="D730" t="inlineStr">
        <is>
          <t>HALLANDS LÄN</t>
        </is>
      </c>
      <c r="E730" t="inlineStr">
        <is>
          <t>HALMSTAD</t>
        </is>
      </c>
      <c r="G730" t="n">
        <v>2.1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59205-2019</t>
        </is>
      </c>
      <c r="B731" s="1" t="n">
        <v>43775</v>
      </c>
      <c r="C731" s="1" t="n">
        <v>45358</v>
      </c>
      <c r="D731" t="inlineStr">
        <is>
          <t>HALLANDS LÄN</t>
        </is>
      </c>
      <c r="E731" t="inlineStr">
        <is>
          <t>HYLTE</t>
        </is>
      </c>
      <c r="G731" t="n">
        <v>1.8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59407-2019</t>
        </is>
      </c>
      <c r="B732" s="1" t="n">
        <v>43775</v>
      </c>
      <c r="C732" s="1" t="n">
        <v>45358</v>
      </c>
      <c r="D732" t="inlineStr">
        <is>
          <t>HALLANDS LÄN</t>
        </is>
      </c>
      <c r="E732" t="inlineStr">
        <is>
          <t>HALMSTAD</t>
        </is>
      </c>
      <c r="G732" t="n">
        <v>2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59348-2019</t>
        </is>
      </c>
      <c r="B733" s="1" t="n">
        <v>43775</v>
      </c>
      <c r="C733" s="1" t="n">
        <v>45358</v>
      </c>
      <c r="D733" t="inlineStr">
        <is>
          <t>HALLANDS LÄN</t>
        </is>
      </c>
      <c r="E733" t="inlineStr">
        <is>
          <t>HALMSTAD</t>
        </is>
      </c>
      <c r="G733" t="n">
        <v>5.4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59798-2019</t>
        </is>
      </c>
      <c r="B734" s="1" t="n">
        <v>43777</v>
      </c>
      <c r="C734" s="1" t="n">
        <v>45358</v>
      </c>
      <c r="D734" t="inlineStr">
        <is>
          <t>HALLANDS LÄN</t>
        </is>
      </c>
      <c r="E734" t="inlineStr">
        <is>
          <t>FALKENBERG</t>
        </is>
      </c>
      <c r="G734" t="n">
        <v>2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60076-2019</t>
        </is>
      </c>
      <c r="B735" s="1" t="n">
        <v>43777</v>
      </c>
      <c r="C735" s="1" t="n">
        <v>45358</v>
      </c>
      <c r="D735" t="inlineStr">
        <is>
          <t>HALLANDS LÄN</t>
        </is>
      </c>
      <c r="E735" t="inlineStr">
        <is>
          <t>VARBERG</t>
        </is>
      </c>
      <c r="G735" t="n">
        <v>1.7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60712-2019</t>
        </is>
      </c>
      <c r="B736" s="1" t="n">
        <v>43781</v>
      </c>
      <c r="C736" s="1" t="n">
        <v>45358</v>
      </c>
      <c r="D736" t="inlineStr">
        <is>
          <t>HALLANDS LÄN</t>
        </is>
      </c>
      <c r="E736" t="inlineStr">
        <is>
          <t>LAHOLM</t>
        </is>
      </c>
      <c r="F736" t="inlineStr">
        <is>
          <t>Övriga statliga verk och myndigheter</t>
        </is>
      </c>
      <c r="G736" t="n">
        <v>1.5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60734-2019</t>
        </is>
      </c>
      <c r="B737" s="1" t="n">
        <v>43781</v>
      </c>
      <c r="C737" s="1" t="n">
        <v>45358</v>
      </c>
      <c r="D737" t="inlineStr">
        <is>
          <t>HALLANDS LÄN</t>
        </is>
      </c>
      <c r="E737" t="inlineStr">
        <is>
          <t>LAHOLM</t>
        </is>
      </c>
      <c r="F737" t="inlineStr">
        <is>
          <t>Övriga statliga verk och myndigheter</t>
        </is>
      </c>
      <c r="G737" t="n">
        <v>2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60823-2019</t>
        </is>
      </c>
      <c r="B738" s="1" t="n">
        <v>43781</v>
      </c>
      <c r="C738" s="1" t="n">
        <v>45358</v>
      </c>
      <c r="D738" t="inlineStr">
        <is>
          <t>HALLANDS LÄN</t>
        </is>
      </c>
      <c r="E738" t="inlineStr">
        <is>
          <t>LAHOLM</t>
        </is>
      </c>
      <c r="G738" t="n">
        <v>2.2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61426-2019</t>
        </is>
      </c>
      <c r="B739" s="1" t="n">
        <v>43783</v>
      </c>
      <c r="C739" s="1" t="n">
        <v>45358</v>
      </c>
      <c r="D739" t="inlineStr">
        <is>
          <t>HALLANDS LÄN</t>
        </is>
      </c>
      <c r="E739" t="inlineStr">
        <is>
          <t>LAHOLM</t>
        </is>
      </c>
      <c r="G739" t="n">
        <v>2.2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61434-2019</t>
        </is>
      </c>
      <c r="B740" s="1" t="n">
        <v>43783</v>
      </c>
      <c r="C740" s="1" t="n">
        <v>45358</v>
      </c>
      <c r="D740" t="inlineStr">
        <is>
          <t>HALLANDS LÄN</t>
        </is>
      </c>
      <c r="E740" t="inlineStr">
        <is>
          <t>LAHOLM</t>
        </is>
      </c>
      <c r="G740" t="n">
        <v>2.8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61225-2019</t>
        </is>
      </c>
      <c r="B741" s="1" t="n">
        <v>43783</v>
      </c>
      <c r="C741" s="1" t="n">
        <v>45358</v>
      </c>
      <c r="D741" t="inlineStr">
        <is>
          <t>HALLANDS LÄN</t>
        </is>
      </c>
      <c r="E741" t="inlineStr">
        <is>
          <t>FALKENBERG</t>
        </is>
      </c>
      <c r="G741" t="n">
        <v>2.2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61429-2019</t>
        </is>
      </c>
      <c r="B742" s="1" t="n">
        <v>43783</v>
      </c>
      <c r="C742" s="1" t="n">
        <v>45358</v>
      </c>
      <c r="D742" t="inlineStr">
        <is>
          <t>HALLANDS LÄN</t>
        </is>
      </c>
      <c r="E742" t="inlineStr">
        <is>
          <t>LAHOLM</t>
        </is>
      </c>
      <c r="G742" t="n">
        <v>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61590-2019</t>
        </is>
      </c>
      <c r="B743" s="1" t="n">
        <v>43784</v>
      </c>
      <c r="C743" s="1" t="n">
        <v>45358</v>
      </c>
      <c r="D743" t="inlineStr">
        <is>
          <t>HALLANDS LÄN</t>
        </is>
      </c>
      <c r="E743" t="inlineStr">
        <is>
          <t>FALKENBERG</t>
        </is>
      </c>
      <c r="G743" t="n">
        <v>0.4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62365-2019</t>
        </is>
      </c>
      <c r="B744" s="1" t="n">
        <v>43788</v>
      </c>
      <c r="C744" s="1" t="n">
        <v>45358</v>
      </c>
      <c r="D744" t="inlineStr">
        <is>
          <t>HALLANDS LÄN</t>
        </is>
      </c>
      <c r="E744" t="inlineStr">
        <is>
          <t>HALMSTAD</t>
        </is>
      </c>
      <c r="G744" t="n">
        <v>4.7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62408-2019</t>
        </is>
      </c>
      <c r="B745" s="1" t="n">
        <v>43788</v>
      </c>
      <c r="C745" s="1" t="n">
        <v>45358</v>
      </c>
      <c r="D745" t="inlineStr">
        <is>
          <t>HALLANDS LÄN</t>
        </is>
      </c>
      <c r="E745" t="inlineStr">
        <is>
          <t>HALMSTAD</t>
        </is>
      </c>
      <c r="G745" t="n">
        <v>12.8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62601-2019</t>
        </is>
      </c>
      <c r="B746" s="1" t="n">
        <v>43789</v>
      </c>
      <c r="C746" s="1" t="n">
        <v>45358</v>
      </c>
      <c r="D746" t="inlineStr">
        <is>
          <t>HALLANDS LÄN</t>
        </is>
      </c>
      <c r="E746" t="inlineStr">
        <is>
          <t>HALMSTAD</t>
        </is>
      </c>
      <c r="G746" t="n">
        <v>13.5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62533-2019</t>
        </is>
      </c>
      <c r="B747" s="1" t="n">
        <v>43789</v>
      </c>
      <c r="C747" s="1" t="n">
        <v>45358</v>
      </c>
      <c r="D747" t="inlineStr">
        <is>
          <t>HALLANDS LÄN</t>
        </is>
      </c>
      <c r="E747" t="inlineStr">
        <is>
          <t>FALKENBERG</t>
        </is>
      </c>
      <c r="G747" t="n">
        <v>4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63797-2019</t>
        </is>
      </c>
      <c r="B748" s="1" t="n">
        <v>43790</v>
      </c>
      <c r="C748" s="1" t="n">
        <v>45358</v>
      </c>
      <c r="D748" t="inlineStr">
        <is>
          <t>HALLANDS LÄN</t>
        </is>
      </c>
      <c r="E748" t="inlineStr">
        <is>
          <t>HYLTE</t>
        </is>
      </c>
      <c r="G748" t="n">
        <v>0.9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64877-2019</t>
        </is>
      </c>
      <c r="B749" s="1" t="n">
        <v>43795</v>
      </c>
      <c r="C749" s="1" t="n">
        <v>45358</v>
      </c>
      <c r="D749" t="inlineStr">
        <is>
          <t>HALLANDS LÄN</t>
        </is>
      </c>
      <c r="E749" t="inlineStr">
        <is>
          <t>HALMSTAD</t>
        </is>
      </c>
      <c r="G749" t="n">
        <v>11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64033-2019</t>
        </is>
      </c>
      <c r="B750" s="1" t="n">
        <v>43795</v>
      </c>
      <c r="C750" s="1" t="n">
        <v>45358</v>
      </c>
      <c r="D750" t="inlineStr">
        <is>
          <t>HALLANDS LÄN</t>
        </is>
      </c>
      <c r="E750" t="inlineStr">
        <is>
          <t>HALMSTAD</t>
        </is>
      </c>
      <c r="G750" t="n">
        <v>1.1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63858-2019</t>
        </is>
      </c>
      <c r="B751" s="1" t="n">
        <v>43796</v>
      </c>
      <c r="C751" s="1" t="n">
        <v>45358</v>
      </c>
      <c r="D751" t="inlineStr">
        <is>
          <t>HALLANDS LÄN</t>
        </is>
      </c>
      <c r="E751" t="inlineStr">
        <is>
          <t>HALMSTAD</t>
        </is>
      </c>
      <c r="G751" t="n">
        <v>5.7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63907-2019</t>
        </is>
      </c>
      <c r="B752" s="1" t="n">
        <v>43796</v>
      </c>
      <c r="C752" s="1" t="n">
        <v>45358</v>
      </c>
      <c r="D752" t="inlineStr">
        <is>
          <t>HALLANDS LÄN</t>
        </is>
      </c>
      <c r="E752" t="inlineStr">
        <is>
          <t>HALMSTAD</t>
        </is>
      </c>
      <c r="G752" t="n">
        <v>3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63975-2019</t>
        </is>
      </c>
      <c r="B753" s="1" t="n">
        <v>43796</v>
      </c>
      <c r="C753" s="1" t="n">
        <v>45358</v>
      </c>
      <c r="D753" t="inlineStr">
        <is>
          <t>HALLANDS LÄN</t>
        </is>
      </c>
      <c r="E753" t="inlineStr">
        <is>
          <t>HALMSTAD</t>
        </is>
      </c>
      <c r="G753" t="n">
        <v>4.5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64065-2019</t>
        </is>
      </c>
      <c r="B754" s="1" t="n">
        <v>43796</v>
      </c>
      <c r="C754" s="1" t="n">
        <v>45358</v>
      </c>
      <c r="D754" t="inlineStr">
        <is>
          <t>HALLANDS LÄN</t>
        </is>
      </c>
      <c r="E754" t="inlineStr">
        <is>
          <t>HYLTE</t>
        </is>
      </c>
      <c r="G754" t="n">
        <v>4.3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65339-2019</t>
        </is>
      </c>
      <c r="B755" s="1" t="n">
        <v>43803</v>
      </c>
      <c r="C755" s="1" t="n">
        <v>45358</v>
      </c>
      <c r="D755" t="inlineStr">
        <is>
          <t>HALLANDS LÄN</t>
        </is>
      </c>
      <c r="E755" t="inlineStr">
        <is>
          <t>LAHOLM</t>
        </is>
      </c>
      <c r="G755" t="n">
        <v>2.7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65478-2019</t>
        </is>
      </c>
      <c r="B756" s="1" t="n">
        <v>43803</v>
      </c>
      <c r="C756" s="1" t="n">
        <v>45358</v>
      </c>
      <c r="D756" t="inlineStr">
        <is>
          <t>HALLANDS LÄN</t>
        </is>
      </c>
      <c r="E756" t="inlineStr">
        <is>
          <t>HYLTE</t>
        </is>
      </c>
      <c r="G756" t="n">
        <v>1.3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66247-2019</t>
        </is>
      </c>
      <c r="B757" s="1" t="n">
        <v>43805</v>
      </c>
      <c r="C757" s="1" t="n">
        <v>45358</v>
      </c>
      <c r="D757" t="inlineStr">
        <is>
          <t>HALLANDS LÄN</t>
        </is>
      </c>
      <c r="E757" t="inlineStr">
        <is>
          <t>FALKENBERG</t>
        </is>
      </c>
      <c r="F757" t="inlineStr">
        <is>
          <t>Kyrkan</t>
        </is>
      </c>
      <c r="G757" t="n">
        <v>9.4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66249-2019</t>
        </is>
      </c>
      <c r="B758" s="1" t="n">
        <v>43805</v>
      </c>
      <c r="C758" s="1" t="n">
        <v>45358</v>
      </c>
      <c r="D758" t="inlineStr">
        <is>
          <t>HALLANDS LÄN</t>
        </is>
      </c>
      <c r="E758" t="inlineStr">
        <is>
          <t>FALKENBERG</t>
        </is>
      </c>
      <c r="F758" t="inlineStr">
        <is>
          <t>Kyrkan</t>
        </is>
      </c>
      <c r="G758" t="n">
        <v>0.5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66210-2019</t>
        </is>
      </c>
      <c r="B759" s="1" t="n">
        <v>43808</v>
      </c>
      <c r="C759" s="1" t="n">
        <v>45358</v>
      </c>
      <c r="D759" t="inlineStr">
        <is>
          <t>HALLANDS LÄN</t>
        </is>
      </c>
      <c r="E759" t="inlineStr">
        <is>
          <t>VARBERG</t>
        </is>
      </c>
      <c r="G759" t="n">
        <v>2.6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66726-2019</t>
        </is>
      </c>
      <c r="B760" s="1" t="n">
        <v>43810</v>
      </c>
      <c r="C760" s="1" t="n">
        <v>45358</v>
      </c>
      <c r="D760" t="inlineStr">
        <is>
          <t>HALLANDS LÄN</t>
        </is>
      </c>
      <c r="E760" t="inlineStr">
        <is>
          <t>VARBERG</t>
        </is>
      </c>
      <c r="G760" t="n">
        <v>1.3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66779-2019</t>
        </is>
      </c>
      <c r="B761" s="1" t="n">
        <v>43810</v>
      </c>
      <c r="C761" s="1" t="n">
        <v>45358</v>
      </c>
      <c r="D761" t="inlineStr">
        <is>
          <t>HALLANDS LÄN</t>
        </is>
      </c>
      <c r="E761" t="inlineStr">
        <is>
          <t>HALMSTAD</t>
        </is>
      </c>
      <c r="G761" t="n">
        <v>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66778-2019</t>
        </is>
      </c>
      <c r="B762" s="1" t="n">
        <v>43810</v>
      </c>
      <c r="C762" s="1" t="n">
        <v>45358</v>
      </c>
      <c r="D762" t="inlineStr">
        <is>
          <t>HALLANDS LÄN</t>
        </is>
      </c>
      <c r="E762" t="inlineStr">
        <is>
          <t>HALMSTAD</t>
        </is>
      </c>
      <c r="G762" t="n">
        <v>2.5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67180-2019</t>
        </is>
      </c>
      <c r="B763" s="1" t="n">
        <v>43811</v>
      </c>
      <c r="C763" s="1" t="n">
        <v>45358</v>
      </c>
      <c r="D763" t="inlineStr">
        <is>
          <t>HALLANDS LÄN</t>
        </is>
      </c>
      <c r="E763" t="inlineStr">
        <is>
          <t>VARBERG</t>
        </is>
      </c>
      <c r="G763" t="n">
        <v>5.8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67209-2019</t>
        </is>
      </c>
      <c r="B764" s="1" t="n">
        <v>43811</v>
      </c>
      <c r="C764" s="1" t="n">
        <v>45358</v>
      </c>
      <c r="D764" t="inlineStr">
        <is>
          <t>HALLANDS LÄN</t>
        </is>
      </c>
      <c r="E764" t="inlineStr">
        <is>
          <t>HALMSTAD</t>
        </is>
      </c>
      <c r="F764" t="inlineStr">
        <is>
          <t>Övriga statliga verk och myndigheter</t>
        </is>
      </c>
      <c r="G764" t="n">
        <v>4.5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67210-2019</t>
        </is>
      </c>
      <c r="B765" s="1" t="n">
        <v>43811</v>
      </c>
      <c r="C765" s="1" t="n">
        <v>45358</v>
      </c>
      <c r="D765" t="inlineStr">
        <is>
          <t>HALLANDS LÄN</t>
        </is>
      </c>
      <c r="E765" t="inlineStr">
        <is>
          <t>LAHOLM</t>
        </is>
      </c>
      <c r="F765" t="inlineStr">
        <is>
          <t>Övriga statliga verk och myndigheter</t>
        </is>
      </c>
      <c r="G765" t="n">
        <v>3.8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67552-2019</t>
        </is>
      </c>
      <c r="B766" s="1" t="n">
        <v>43815</v>
      </c>
      <c r="C766" s="1" t="n">
        <v>45358</v>
      </c>
      <c r="D766" t="inlineStr">
        <is>
          <t>HALLANDS LÄN</t>
        </is>
      </c>
      <c r="E766" t="inlineStr">
        <is>
          <t>VARBERG</t>
        </is>
      </c>
      <c r="G766" t="n">
        <v>0.6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67551-2019</t>
        </is>
      </c>
      <c r="B767" s="1" t="n">
        <v>43815</v>
      </c>
      <c r="C767" s="1" t="n">
        <v>45358</v>
      </c>
      <c r="D767" t="inlineStr">
        <is>
          <t>HALLANDS LÄN</t>
        </is>
      </c>
      <c r="E767" t="inlineStr">
        <is>
          <t>VARBERG</t>
        </is>
      </c>
      <c r="G767" t="n">
        <v>0.9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575-2020</t>
        </is>
      </c>
      <c r="B768" s="1" t="n">
        <v>43817</v>
      </c>
      <c r="C768" s="1" t="n">
        <v>45358</v>
      </c>
      <c r="D768" t="inlineStr">
        <is>
          <t>HALLANDS LÄN</t>
        </is>
      </c>
      <c r="E768" t="inlineStr">
        <is>
          <t>LAHOLM</t>
        </is>
      </c>
      <c r="G768" t="n">
        <v>3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583-2020</t>
        </is>
      </c>
      <c r="B769" s="1" t="n">
        <v>43817</v>
      </c>
      <c r="C769" s="1" t="n">
        <v>45358</v>
      </c>
      <c r="D769" t="inlineStr">
        <is>
          <t>HALLANDS LÄN</t>
        </is>
      </c>
      <c r="E769" t="inlineStr">
        <is>
          <t>LAHOLM</t>
        </is>
      </c>
      <c r="G769" t="n">
        <v>0.8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581-2020</t>
        </is>
      </c>
      <c r="B770" s="1" t="n">
        <v>43817</v>
      </c>
      <c r="C770" s="1" t="n">
        <v>45358</v>
      </c>
      <c r="D770" t="inlineStr">
        <is>
          <t>HALLANDS LÄN</t>
        </is>
      </c>
      <c r="E770" t="inlineStr">
        <is>
          <t>LAHOLM</t>
        </is>
      </c>
      <c r="G770" t="n">
        <v>2.5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68385-2019</t>
        </is>
      </c>
      <c r="B771" s="1" t="n">
        <v>43818</v>
      </c>
      <c r="C771" s="1" t="n">
        <v>45358</v>
      </c>
      <c r="D771" t="inlineStr">
        <is>
          <t>HALLANDS LÄN</t>
        </is>
      </c>
      <c r="E771" t="inlineStr">
        <is>
          <t>VARBERG</t>
        </is>
      </c>
      <c r="G771" t="n">
        <v>3.6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68378-2019</t>
        </is>
      </c>
      <c r="B772" s="1" t="n">
        <v>43818</v>
      </c>
      <c r="C772" s="1" t="n">
        <v>45358</v>
      </c>
      <c r="D772" t="inlineStr">
        <is>
          <t>HALLANDS LÄN</t>
        </is>
      </c>
      <c r="E772" t="inlineStr">
        <is>
          <t>VARBERG</t>
        </is>
      </c>
      <c r="G772" t="n">
        <v>4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1117-2020</t>
        </is>
      </c>
      <c r="B773" s="1" t="n">
        <v>43819</v>
      </c>
      <c r="C773" s="1" t="n">
        <v>45358</v>
      </c>
      <c r="D773" t="inlineStr">
        <is>
          <t>HALLANDS LÄN</t>
        </is>
      </c>
      <c r="E773" t="inlineStr">
        <is>
          <t>FALKENBERG</t>
        </is>
      </c>
      <c r="G773" t="n">
        <v>4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68970-2019</t>
        </is>
      </c>
      <c r="B774" s="1" t="n">
        <v>43822</v>
      </c>
      <c r="C774" s="1" t="n">
        <v>45358</v>
      </c>
      <c r="D774" t="inlineStr">
        <is>
          <t>HALLANDS LÄN</t>
        </is>
      </c>
      <c r="E774" t="inlineStr">
        <is>
          <t>FALKENBERG</t>
        </is>
      </c>
      <c r="F774" t="inlineStr">
        <is>
          <t>Kyrkan</t>
        </is>
      </c>
      <c r="G774" t="n">
        <v>0.8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69110-2019</t>
        </is>
      </c>
      <c r="B775" s="1" t="n">
        <v>43829</v>
      </c>
      <c r="C775" s="1" t="n">
        <v>45358</v>
      </c>
      <c r="D775" t="inlineStr">
        <is>
          <t>HALLANDS LÄN</t>
        </is>
      </c>
      <c r="E775" t="inlineStr">
        <is>
          <t>FALKENBERG</t>
        </is>
      </c>
      <c r="F775" t="inlineStr">
        <is>
          <t>Kyrkan</t>
        </is>
      </c>
      <c r="G775" t="n">
        <v>1.1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1620-2020</t>
        </is>
      </c>
      <c r="B776" s="1" t="n">
        <v>43829</v>
      </c>
      <c r="C776" s="1" t="n">
        <v>45358</v>
      </c>
      <c r="D776" t="inlineStr">
        <is>
          <t>HALLANDS LÄN</t>
        </is>
      </c>
      <c r="E776" t="inlineStr">
        <is>
          <t>VARBERG</t>
        </is>
      </c>
      <c r="G776" t="n">
        <v>1.7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69108-2019</t>
        </is>
      </c>
      <c r="B777" s="1" t="n">
        <v>43829</v>
      </c>
      <c r="C777" s="1" t="n">
        <v>45358</v>
      </c>
      <c r="D777" t="inlineStr">
        <is>
          <t>HALLANDS LÄN</t>
        </is>
      </c>
      <c r="E777" t="inlineStr">
        <is>
          <t>FALKENBERG</t>
        </is>
      </c>
      <c r="F777" t="inlineStr">
        <is>
          <t>Kyrkan</t>
        </is>
      </c>
      <c r="G777" t="n">
        <v>1.4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69161-2019</t>
        </is>
      </c>
      <c r="B778" s="1" t="n">
        <v>43829</v>
      </c>
      <c r="C778" s="1" t="n">
        <v>45358</v>
      </c>
      <c r="D778" t="inlineStr">
        <is>
          <t>HALLANDS LÄN</t>
        </is>
      </c>
      <c r="E778" t="inlineStr">
        <is>
          <t>FALKENBERG</t>
        </is>
      </c>
      <c r="G778" t="n">
        <v>2.9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368-2020</t>
        </is>
      </c>
      <c r="B779" s="1" t="n">
        <v>43837</v>
      </c>
      <c r="C779" s="1" t="n">
        <v>45358</v>
      </c>
      <c r="D779" t="inlineStr">
        <is>
          <t>HALLANDS LÄN</t>
        </is>
      </c>
      <c r="E779" t="inlineStr">
        <is>
          <t>HYLTE</t>
        </is>
      </c>
      <c r="G779" t="n">
        <v>0.6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394-2020</t>
        </is>
      </c>
      <c r="B780" s="1" t="n">
        <v>43837</v>
      </c>
      <c r="C780" s="1" t="n">
        <v>45358</v>
      </c>
      <c r="D780" t="inlineStr">
        <is>
          <t>HALLANDS LÄN</t>
        </is>
      </c>
      <c r="E780" t="inlineStr">
        <is>
          <t>LAHOLM</t>
        </is>
      </c>
      <c r="G780" t="n">
        <v>0.5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353-2020</t>
        </is>
      </c>
      <c r="B781" s="1" t="n">
        <v>43837</v>
      </c>
      <c r="C781" s="1" t="n">
        <v>45358</v>
      </c>
      <c r="D781" t="inlineStr">
        <is>
          <t>HALLANDS LÄN</t>
        </is>
      </c>
      <c r="E781" t="inlineStr">
        <is>
          <t>HYLTE</t>
        </is>
      </c>
      <c r="G781" t="n">
        <v>4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1242-2020</t>
        </is>
      </c>
      <c r="B782" s="1" t="n">
        <v>43838</v>
      </c>
      <c r="C782" s="1" t="n">
        <v>45358</v>
      </c>
      <c r="D782" t="inlineStr">
        <is>
          <t>HALLANDS LÄN</t>
        </is>
      </c>
      <c r="E782" t="inlineStr">
        <is>
          <t>FALKENBERG</t>
        </is>
      </c>
      <c r="F782" t="inlineStr">
        <is>
          <t>Kyrkan</t>
        </is>
      </c>
      <c r="G782" t="n">
        <v>18.2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987-2020</t>
        </is>
      </c>
      <c r="B783" s="1" t="n">
        <v>43839</v>
      </c>
      <c r="C783" s="1" t="n">
        <v>45358</v>
      </c>
      <c r="D783" t="inlineStr">
        <is>
          <t>HALLANDS LÄN</t>
        </is>
      </c>
      <c r="E783" t="inlineStr">
        <is>
          <t>HYLTE</t>
        </is>
      </c>
      <c r="G783" t="n">
        <v>1.7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984-2020</t>
        </is>
      </c>
      <c r="B784" s="1" t="n">
        <v>43839</v>
      </c>
      <c r="C784" s="1" t="n">
        <v>45358</v>
      </c>
      <c r="D784" t="inlineStr">
        <is>
          <t>HALLANDS LÄN</t>
        </is>
      </c>
      <c r="E784" t="inlineStr">
        <is>
          <t>HYLTE</t>
        </is>
      </c>
      <c r="G784" t="n">
        <v>2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1160-2020</t>
        </is>
      </c>
      <c r="B785" s="1" t="n">
        <v>43840</v>
      </c>
      <c r="C785" s="1" t="n">
        <v>45358</v>
      </c>
      <c r="D785" t="inlineStr">
        <is>
          <t>HALLANDS LÄN</t>
        </is>
      </c>
      <c r="E785" t="inlineStr">
        <is>
          <t>LAHOLM</t>
        </is>
      </c>
      <c r="G785" t="n">
        <v>2.3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1135-2020</t>
        </is>
      </c>
      <c r="B786" s="1" t="n">
        <v>43840</v>
      </c>
      <c r="C786" s="1" t="n">
        <v>45358</v>
      </c>
      <c r="D786" t="inlineStr">
        <is>
          <t>HALLANDS LÄN</t>
        </is>
      </c>
      <c r="E786" t="inlineStr">
        <is>
          <t>LAHOLM</t>
        </is>
      </c>
      <c r="G786" t="n">
        <v>0.6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2800-2020</t>
        </is>
      </c>
      <c r="B787" s="1" t="n">
        <v>43843</v>
      </c>
      <c r="C787" s="1" t="n">
        <v>45358</v>
      </c>
      <c r="D787" t="inlineStr">
        <is>
          <t>HALLANDS LÄN</t>
        </is>
      </c>
      <c r="E787" t="inlineStr">
        <is>
          <t>FALKENBERG</t>
        </is>
      </c>
      <c r="G787" t="n">
        <v>1.5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1696-2020</t>
        </is>
      </c>
      <c r="B788" s="1" t="n">
        <v>43844</v>
      </c>
      <c r="C788" s="1" t="n">
        <v>45358</v>
      </c>
      <c r="D788" t="inlineStr">
        <is>
          <t>HALLANDS LÄN</t>
        </is>
      </c>
      <c r="E788" t="inlineStr">
        <is>
          <t>FALKENBERG</t>
        </is>
      </c>
      <c r="F788" t="inlineStr">
        <is>
          <t>Kommuner</t>
        </is>
      </c>
      <c r="G788" t="n">
        <v>8.699999999999999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1714-2020</t>
        </is>
      </c>
      <c r="B789" s="1" t="n">
        <v>43844</v>
      </c>
      <c r="C789" s="1" t="n">
        <v>45358</v>
      </c>
      <c r="D789" t="inlineStr">
        <is>
          <t>HALLANDS LÄN</t>
        </is>
      </c>
      <c r="E789" t="inlineStr">
        <is>
          <t>LAHOLM</t>
        </is>
      </c>
      <c r="G789" t="n">
        <v>3.4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1763-2020</t>
        </is>
      </c>
      <c r="B790" s="1" t="n">
        <v>43844</v>
      </c>
      <c r="C790" s="1" t="n">
        <v>45358</v>
      </c>
      <c r="D790" t="inlineStr">
        <is>
          <t>HALLANDS LÄN</t>
        </is>
      </c>
      <c r="E790" t="inlineStr">
        <is>
          <t>VARBERG</t>
        </is>
      </c>
      <c r="G790" t="n">
        <v>2.7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1959-2020</t>
        </is>
      </c>
      <c r="B791" s="1" t="n">
        <v>43845</v>
      </c>
      <c r="C791" s="1" t="n">
        <v>45358</v>
      </c>
      <c r="D791" t="inlineStr">
        <is>
          <t>HALLANDS LÄN</t>
        </is>
      </c>
      <c r="E791" t="inlineStr">
        <is>
          <t>HALMSTAD</t>
        </is>
      </c>
      <c r="G791" t="n">
        <v>3.7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1922-2020</t>
        </is>
      </c>
      <c r="B792" s="1" t="n">
        <v>43845</v>
      </c>
      <c r="C792" s="1" t="n">
        <v>45358</v>
      </c>
      <c r="D792" t="inlineStr">
        <is>
          <t>HALLANDS LÄN</t>
        </is>
      </c>
      <c r="E792" t="inlineStr">
        <is>
          <t>FALKENBERG</t>
        </is>
      </c>
      <c r="G792" t="n">
        <v>0.3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2022-2020</t>
        </is>
      </c>
      <c r="B793" s="1" t="n">
        <v>43845</v>
      </c>
      <c r="C793" s="1" t="n">
        <v>45358</v>
      </c>
      <c r="D793" t="inlineStr">
        <is>
          <t>HALLANDS LÄN</t>
        </is>
      </c>
      <c r="E793" t="inlineStr">
        <is>
          <t>FALKENBERG</t>
        </is>
      </c>
      <c r="F793" t="inlineStr">
        <is>
          <t>Kommuner</t>
        </is>
      </c>
      <c r="G793" t="n">
        <v>2.8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2084-2020</t>
        </is>
      </c>
      <c r="B794" s="1" t="n">
        <v>43845</v>
      </c>
      <c r="C794" s="1" t="n">
        <v>45358</v>
      </c>
      <c r="D794" t="inlineStr">
        <is>
          <t>HALLANDS LÄN</t>
        </is>
      </c>
      <c r="E794" t="inlineStr">
        <is>
          <t>FALKENBERG</t>
        </is>
      </c>
      <c r="G794" t="n">
        <v>3.1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2142-2020</t>
        </is>
      </c>
      <c r="B795" s="1" t="n">
        <v>43846</v>
      </c>
      <c r="C795" s="1" t="n">
        <v>45358</v>
      </c>
      <c r="D795" t="inlineStr">
        <is>
          <t>HALLANDS LÄN</t>
        </is>
      </c>
      <c r="E795" t="inlineStr">
        <is>
          <t>VARBERG</t>
        </is>
      </c>
      <c r="G795" t="n">
        <v>4.7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2208-2020</t>
        </is>
      </c>
      <c r="B796" s="1" t="n">
        <v>43846</v>
      </c>
      <c r="C796" s="1" t="n">
        <v>45358</v>
      </c>
      <c r="D796" t="inlineStr">
        <is>
          <t>HALLANDS LÄN</t>
        </is>
      </c>
      <c r="E796" t="inlineStr">
        <is>
          <t>HYLTE</t>
        </is>
      </c>
      <c r="G796" t="n">
        <v>4.4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2759-2020</t>
        </is>
      </c>
      <c r="B797" s="1" t="n">
        <v>43850</v>
      </c>
      <c r="C797" s="1" t="n">
        <v>45358</v>
      </c>
      <c r="D797" t="inlineStr">
        <is>
          <t>HALLANDS LÄN</t>
        </is>
      </c>
      <c r="E797" t="inlineStr">
        <is>
          <t>HYLTE</t>
        </is>
      </c>
      <c r="G797" t="n">
        <v>1.6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3296-2020</t>
        </is>
      </c>
      <c r="B798" s="1" t="n">
        <v>43852</v>
      </c>
      <c r="C798" s="1" t="n">
        <v>45358</v>
      </c>
      <c r="D798" t="inlineStr">
        <is>
          <t>HALLANDS LÄN</t>
        </is>
      </c>
      <c r="E798" t="inlineStr">
        <is>
          <t>LAHOLM</t>
        </is>
      </c>
      <c r="G798" t="n">
        <v>2.7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3461-2020</t>
        </is>
      </c>
      <c r="B799" s="1" t="n">
        <v>43852</v>
      </c>
      <c r="C799" s="1" t="n">
        <v>45358</v>
      </c>
      <c r="D799" t="inlineStr">
        <is>
          <t>HALLANDS LÄN</t>
        </is>
      </c>
      <c r="E799" t="inlineStr">
        <is>
          <t>FALKENBERG</t>
        </is>
      </c>
      <c r="G799" t="n">
        <v>7.2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3305-2020</t>
        </is>
      </c>
      <c r="B800" s="1" t="n">
        <v>43852</v>
      </c>
      <c r="C800" s="1" t="n">
        <v>45358</v>
      </c>
      <c r="D800" t="inlineStr">
        <is>
          <t>HALLANDS LÄN</t>
        </is>
      </c>
      <c r="E800" t="inlineStr">
        <is>
          <t>HYLTE</t>
        </is>
      </c>
      <c r="G800" t="n">
        <v>2.1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3755-2020</t>
        </is>
      </c>
      <c r="B801" s="1" t="n">
        <v>43854</v>
      </c>
      <c r="C801" s="1" t="n">
        <v>45358</v>
      </c>
      <c r="D801" t="inlineStr">
        <is>
          <t>HALLANDS LÄN</t>
        </is>
      </c>
      <c r="E801" t="inlineStr">
        <is>
          <t>VARBERG</t>
        </is>
      </c>
      <c r="G801" t="n">
        <v>3.9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3777-2020</t>
        </is>
      </c>
      <c r="B802" s="1" t="n">
        <v>43854</v>
      </c>
      <c r="C802" s="1" t="n">
        <v>45358</v>
      </c>
      <c r="D802" t="inlineStr">
        <is>
          <t>HALLANDS LÄN</t>
        </is>
      </c>
      <c r="E802" t="inlineStr">
        <is>
          <t>VARBERG</t>
        </is>
      </c>
      <c r="G802" t="n">
        <v>3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3759-2020</t>
        </is>
      </c>
      <c r="B803" s="1" t="n">
        <v>43854</v>
      </c>
      <c r="C803" s="1" t="n">
        <v>45358</v>
      </c>
      <c r="D803" t="inlineStr">
        <is>
          <t>HALLANDS LÄN</t>
        </is>
      </c>
      <c r="E803" t="inlineStr">
        <is>
          <t>VARBERG</t>
        </is>
      </c>
      <c r="G803" t="n">
        <v>4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3898-2020</t>
        </is>
      </c>
      <c r="B804" s="1" t="n">
        <v>43854</v>
      </c>
      <c r="C804" s="1" t="n">
        <v>45358</v>
      </c>
      <c r="D804" t="inlineStr">
        <is>
          <t>HALLANDS LÄN</t>
        </is>
      </c>
      <c r="E804" t="inlineStr">
        <is>
          <t>HYLTE</t>
        </is>
      </c>
      <c r="G804" t="n">
        <v>0.8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4155-2020</t>
        </is>
      </c>
      <c r="B805" s="1" t="n">
        <v>43857</v>
      </c>
      <c r="C805" s="1" t="n">
        <v>45358</v>
      </c>
      <c r="D805" t="inlineStr">
        <is>
          <t>HALLANDS LÄN</t>
        </is>
      </c>
      <c r="E805" t="inlineStr">
        <is>
          <t>LAHOLM</t>
        </is>
      </c>
      <c r="G805" t="n">
        <v>0.8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4384-2020</t>
        </is>
      </c>
      <c r="B806" s="1" t="n">
        <v>43858</v>
      </c>
      <c r="C806" s="1" t="n">
        <v>45358</v>
      </c>
      <c r="D806" t="inlineStr">
        <is>
          <t>HALLANDS LÄN</t>
        </is>
      </c>
      <c r="E806" t="inlineStr">
        <is>
          <t>LAHOLM</t>
        </is>
      </c>
      <c r="G806" t="n">
        <v>2.3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4413-2020</t>
        </is>
      </c>
      <c r="B807" s="1" t="n">
        <v>43858</v>
      </c>
      <c r="C807" s="1" t="n">
        <v>45358</v>
      </c>
      <c r="D807" t="inlineStr">
        <is>
          <t>HALLANDS LÄN</t>
        </is>
      </c>
      <c r="E807" t="inlineStr">
        <is>
          <t>HYLTE</t>
        </is>
      </c>
      <c r="G807" t="n">
        <v>2.4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4787-2020</t>
        </is>
      </c>
      <c r="B808" s="1" t="n">
        <v>43859</v>
      </c>
      <c r="C808" s="1" t="n">
        <v>45358</v>
      </c>
      <c r="D808" t="inlineStr">
        <is>
          <t>HALLANDS LÄN</t>
        </is>
      </c>
      <c r="E808" t="inlineStr">
        <is>
          <t>FALKENBERG</t>
        </is>
      </c>
      <c r="G808" t="n">
        <v>0.7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4885-2020</t>
        </is>
      </c>
      <c r="B809" s="1" t="n">
        <v>43859</v>
      </c>
      <c r="C809" s="1" t="n">
        <v>45358</v>
      </c>
      <c r="D809" t="inlineStr">
        <is>
          <t>HALLANDS LÄN</t>
        </is>
      </c>
      <c r="E809" t="inlineStr">
        <is>
          <t>FALKENBERG</t>
        </is>
      </c>
      <c r="G809" t="n">
        <v>0.6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4903-2020</t>
        </is>
      </c>
      <c r="B810" s="1" t="n">
        <v>43859</v>
      </c>
      <c r="C810" s="1" t="n">
        <v>45358</v>
      </c>
      <c r="D810" t="inlineStr">
        <is>
          <t>HALLANDS LÄN</t>
        </is>
      </c>
      <c r="E810" t="inlineStr">
        <is>
          <t>HALMSTAD</t>
        </is>
      </c>
      <c r="G810" t="n">
        <v>1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4789-2020</t>
        </is>
      </c>
      <c r="B811" s="1" t="n">
        <v>43859</v>
      </c>
      <c r="C811" s="1" t="n">
        <v>45358</v>
      </c>
      <c r="D811" t="inlineStr">
        <is>
          <t>HALLANDS LÄN</t>
        </is>
      </c>
      <c r="E811" t="inlineStr">
        <is>
          <t>FALKENBERG</t>
        </is>
      </c>
      <c r="G811" t="n">
        <v>2.7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5066-2020</t>
        </is>
      </c>
      <c r="B812" s="1" t="n">
        <v>43859</v>
      </c>
      <c r="C812" s="1" t="n">
        <v>45358</v>
      </c>
      <c r="D812" t="inlineStr">
        <is>
          <t>HALLANDS LÄN</t>
        </is>
      </c>
      <c r="E812" t="inlineStr">
        <is>
          <t>FALKENBERG</t>
        </is>
      </c>
      <c r="G812" t="n">
        <v>1.1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5019-2020</t>
        </is>
      </c>
      <c r="B813" s="1" t="n">
        <v>43859</v>
      </c>
      <c r="C813" s="1" t="n">
        <v>45358</v>
      </c>
      <c r="D813" t="inlineStr">
        <is>
          <t>HALLANDS LÄN</t>
        </is>
      </c>
      <c r="E813" t="inlineStr">
        <is>
          <t>HALMSTAD</t>
        </is>
      </c>
      <c r="G813" t="n">
        <v>1.7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5519-2020</t>
        </is>
      </c>
      <c r="B814" s="1" t="n">
        <v>43859</v>
      </c>
      <c r="C814" s="1" t="n">
        <v>45358</v>
      </c>
      <c r="D814" t="inlineStr">
        <is>
          <t>HALLANDS LÄN</t>
        </is>
      </c>
      <c r="E814" t="inlineStr">
        <is>
          <t>HYLTE</t>
        </is>
      </c>
      <c r="F814" t="inlineStr">
        <is>
          <t>Kyrkan</t>
        </is>
      </c>
      <c r="G814" t="n">
        <v>1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5204-2020</t>
        </is>
      </c>
      <c r="B815" s="1" t="n">
        <v>43860</v>
      </c>
      <c r="C815" s="1" t="n">
        <v>45358</v>
      </c>
      <c r="D815" t="inlineStr">
        <is>
          <t>HALLANDS LÄN</t>
        </is>
      </c>
      <c r="E815" t="inlineStr">
        <is>
          <t>LAHOLM</t>
        </is>
      </c>
      <c r="G815" t="n">
        <v>0.6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5143-2020</t>
        </is>
      </c>
      <c r="B816" s="1" t="n">
        <v>43860</v>
      </c>
      <c r="C816" s="1" t="n">
        <v>45358</v>
      </c>
      <c r="D816" t="inlineStr">
        <is>
          <t>HALLANDS LÄN</t>
        </is>
      </c>
      <c r="E816" t="inlineStr">
        <is>
          <t>FALKENBERG</t>
        </is>
      </c>
      <c r="G816" t="n">
        <v>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5199-2020</t>
        </is>
      </c>
      <c r="B817" s="1" t="n">
        <v>43860</v>
      </c>
      <c r="C817" s="1" t="n">
        <v>45358</v>
      </c>
      <c r="D817" t="inlineStr">
        <is>
          <t>HALLANDS LÄN</t>
        </is>
      </c>
      <c r="E817" t="inlineStr">
        <is>
          <t>LAHOLM</t>
        </is>
      </c>
      <c r="G817" t="n">
        <v>0.6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5414-2020</t>
        </is>
      </c>
      <c r="B818" s="1" t="n">
        <v>43860</v>
      </c>
      <c r="C818" s="1" t="n">
        <v>45358</v>
      </c>
      <c r="D818" t="inlineStr">
        <is>
          <t>HALLANDS LÄN</t>
        </is>
      </c>
      <c r="E818" t="inlineStr">
        <is>
          <t>HALMSTAD</t>
        </is>
      </c>
      <c r="G818" t="n">
        <v>3.2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5266-2020</t>
        </is>
      </c>
      <c r="B819" s="1" t="n">
        <v>43860</v>
      </c>
      <c r="C819" s="1" t="n">
        <v>45358</v>
      </c>
      <c r="D819" t="inlineStr">
        <is>
          <t>HALLANDS LÄN</t>
        </is>
      </c>
      <c r="E819" t="inlineStr">
        <is>
          <t>LAHOLM</t>
        </is>
      </c>
      <c r="G819" t="n">
        <v>0.7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5703-2020</t>
        </is>
      </c>
      <c r="B820" s="1" t="n">
        <v>43861</v>
      </c>
      <c r="C820" s="1" t="n">
        <v>45358</v>
      </c>
      <c r="D820" t="inlineStr">
        <is>
          <t>HALLANDS LÄN</t>
        </is>
      </c>
      <c r="E820" t="inlineStr">
        <is>
          <t>LAHOLM</t>
        </is>
      </c>
      <c r="G820" t="n">
        <v>3.9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5582-2020</t>
        </is>
      </c>
      <c r="B821" s="1" t="n">
        <v>43861</v>
      </c>
      <c r="C821" s="1" t="n">
        <v>45358</v>
      </c>
      <c r="D821" t="inlineStr">
        <is>
          <t>HALLANDS LÄN</t>
        </is>
      </c>
      <c r="E821" t="inlineStr">
        <is>
          <t>VARBERG</t>
        </is>
      </c>
      <c r="G821" t="n">
        <v>2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5837-2020</t>
        </is>
      </c>
      <c r="B822" s="1" t="n">
        <v>43864</v>
      </c>
      <c r="C822" s="1" t="n">
        <v>45358</v>
      </c>
      <c r="D822" t="inlineStr">
        <is>
          <t>HALLANDS LÄN</t>
        </is>
      </c>
      <c r="E822" t="inlineStr">
        <is>
          <t>VARBERG</t>
        </is>
      </c>
      <c r="G822" t="n">
        <v>6.4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5771-2020</t>
        </is>
      </c>
      <c r="B823" s="1" t="n">
        <v>43864</v>
      </c>
      <c r="C823" s="1" t="n">
        <v>45358</v>
      </c>
      <c r="D823" t="inlineStr">
        <is>
          <t>HALLANDS LÄN</t>
        </is>
      </c>
      <c r="E823" t="inlineStr">
        <is>
          <t>HALMSTAD</t>
        </is>
      </c>
      <c r="G823" t="n">
        <v>3.3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6050-2020</t>
        </is>
      </c>
      <c r="B824" s="1" t="n">
        <v>43865</v>
      </c>
      <c r="C824" s="1" t="n">
        <v>45358</v>
      </c>
      <c r="D824" t="inlineStr">
        <is>
          <t>HALLANDS LÄN</t>
        </is>
      </c>
      <c r="E824" t="inlineStr">
        <is>
          <t>VARBERG</t>
        </is>
      </c>
      <c r="G824" t="n">
        <v>2.9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6980-2020</t>
        </is>
      </c>
      <c r="B825" s="1" t="n">
        <v>43868</v>
      </c>
      <c r="C825" s="1" t="n">
        <v>45358</v>
      </c>
      <c r="D825" t="inlineStr">
        <is>
          <t>HALLANDS LÄN</t>
        </is>
      </c>
      <c r="E825" t="inlineStr">
        <is>
          <t>KUNGSBACKA</t>
        </is>
      </c>
      <c r="G825" t="n">
        <v>0.9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7074-2020</t>
        </is>
      </c>
      <c r="B826" s="1" t="n">
        <v>43868</v>
      </c>
      <c r="C826" s="1" t="n">
        <v>45358</v>
      </c>
      <c r="D826" t="inlineStr">
        <is>
          <t>HALLANDS LÄN</t>
        </is>
      </c>
      <c r="E826" t="inlineStr">
        <is>
          <t>VARBERG</t>
        </is>
      </c>
      <c r="G826" t="n">
        <v>0.9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7207-2020</t>
        </is>
      </c>
      <c r="B827" s="1" t="n">
        <v>43871</v>
      </c>
      <c r="C827" s="1" t="n">
        <v>45358</v>
      </c>
      <c r="D827" t="inlineStr">
        <is>
          <t>HALLANDS LÄN</t>
        </is>
      </c>
      <c r="E827" t="inlineStr">
        <is>
          <t>HYLTE</t>
        </is>
      </c>
      <c r="G827" t="n">
        <v>2.5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7408-2020</t>
        </is>
      </c>
      <c r="B828" s="1" t="n">
        <v>43871</v>
      </c>
      <c r="C828" s="1" t="n">
        <v>45358</v>
      </c>
      <c r="D828" t="inlineStr">
        <is>
          <t>HALLANDS LÄN</t>
        </is>
      </c>
      <c r="E828" t="inlineStr">
        <is>
          <t>HYLTE</t>
        </is>
      </c>
      <c r="G828" t="n">
        <v>2.5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7593-2020</t>
        </is>
      </c>
      <c r="B829" s="1" t="n">
        <v>43872</v>
      </c>
      <c r="C829" s="1" t="n">
        <v>45358</v>
      </c>
      <c r="D829" t="inlineStr">
        <is>
          <t>HALLANDS LÄN</t>
        </is>
      </c>
      <c r="E829" t="inlineStr">
        <is>
          <t>HALMSTAD</t>
        </is>
      </c>
      <c r="G829" t="n">
        <v>1.4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7848-2020</t>
        </is>
      </c>
      <c r="B830" s="1" t="n">
        <v>43873</v>
      </c>
      <c r="C830" s="1" t="n">
        <v>45358</v>
      </c>
      <c r="D830" t="inlineStr">
        <is>
          <t>HALLANDS LÄN</t>
        </is>
      </c>
      <c r="E830" t="inlineStr">
        <is>
          <t>VARBERG</t>
        </is>
      </c>
      <c r="G830" t="n">
        <v>3.3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7755-2020</t>
        </is>
      </c>
      <c r="B831" s="1" t="n">
        <v>43873</v>
      </c>
      <c r="C831" s="1" t="n">
        <v>45358</v>
      </c>
      <c r="D831" t="inlineStr">
        <is>
          <t>HALLANDS LÄN</t>
        </is>
      </c>
      <c r="E831" t="inlineStr">
        <is>
          <t>LAHOLM</t>
        </is>
      </c>
      <c r="G831" t="n">
        <v>1.8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7938-2020</t>
        </is>
      </c>
      <c r="B832" s="1" t="n">
        <v>43873</v>
      </c>
      <c r="C832" s="1" t="n">
        <v>45358</v>
      </c>
      <c r="D832" t="inlineStr">
        <is>
          <t>HALLANDS LÄN</t>
        </is>
      </c>
      <c r="E832" t="inlineStr">
        <is>
          <t>FALKENBERG</t>
        </is>
      </c>
      <c r="G832" t="n">
        <v>0.5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8337-2020</t>
        </is>
      </c>
      <c r="B833" s="1" t="n">
        <v>43875</v>
      </c>
      <c r="C833" s="1" t="n">
        <v>45358</v>
      </c>
      <c r="D833" t="inlineStr">
        <is>
          <t>HALLANDS LÄN</t>
        </is>
      </c>
      <c r="E833" t="inlineStr">
        <is>
          <t>HYLTE</t>
        </is>
      </c>
      <c r="G833" t="n">
        <v>0.5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8720-2020</t>
        </is>
      </c>
      <c r="B834" s="1" t="n">
        <v>43878</v>
      </c>
      <c r="C834" s="1" t="n">
        <v>45358</v>
      </c>
      <c r="D834" t="inlineStr">
        <is>
          <t>HALLANDS LÄN</t>
        </is>
      </c>
      <c r="E834" t="inlineStr">
        <is>
          <t>FALKENBERG</t>
        </is>
      </c>
      <c r="G834" t="n">
        <v>0.8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8855-2020</t>
        </is>
      </c>
      <c r="B835" s="1" t="n">
        <v>43878</v>
      </c>
      <c r="C835" s="1" t="n">
        <v>45358</v>
      </c>
      <c r="D835" t="inlineStr">
        <is>
          <t>HALLANDS LÄN</t>
        </is>
      </c>
      <c r="E835" t="inlineStr">
        <is>
          <t>LAHOLM</t>
        </is>
      </c>
      <c r="G835" t="n">
        <v>2.3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8954-2020</t>
        </is>
      </c>
      <c r="B836" s="1" t="n">
        <v>43879</v>
      </c>
      <c r="C836" s="1" t="n">
        <v>45358</v>
      </c>
      <c r="D836" t="inlineStr">
        <is>
          <t>HALLANDS LÄN</t>
        </is>
      </c>
      <c r="E836" t="inlineStr">
        <is>
          <t>LAHOLM</t>
        </is>
      </c>
      <c r="G836" t="n">
        <v>2.3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9221-2020</t>
        </is>
      </c>
      <c r="B837" s="1" t="n">
        <v>43879</v>
      </c>
      <c r="C837" s="1" t="n">
        <v>45358</v>
      </c>
      <c r="D837" t="inlineStr">
        <is>
          <t>HALLANDS LÄN</t>
        </is>
      </c>
      <c r="E837" t="inlineStr">
        <is>
          <t>HALMSTAD</t>
        </is>
      </c>
      <c r="G837" t="n">
        <v>0.4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9219-2020</t>
        </is>
      </c>
      <c r="B838" s="1" t="n">
        <v>43879</v>
      </c>
      <c r="C838" s="1" t="n">
        <v>45358</v>
      </c>
      <c r="D838" t="inlineStr">
        <is>
          <t>HALLANDS LÄN</t>
        </is>
      </c>
      <c r="E838" t="inlineStr">
        <is>
          <t>HALMSTAD</t>
        </is>
      </c>
      <c r="G838" t="n">
        <v>3.5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9243-2020</t>
        </is>
      </c>
      <c r="B839" s="1" t="n">
        <v>43879</v>
      </c>
      <c r="C839" s="1" t="n">
        <v>45358</v>
      </c>
      <c r="D839" t="inlineStr">
        <is>
          <t>HALLANDS LÄN</t>
        </is>
      </c>
      <c r="E839" t="inlineStr">
        <is>
          <t>LAHOLM</t>
        </is>
      </c>
      <c r="G839" t="n">
        <v>0.7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9124-2020</t>
        </is>
      </c>
      <c r="B840" s="1" t="n">
        <v>43879</v>
      </c>
      <c r="C840" s="1" t="n">
        <v>45358</v>
      </c>
      <c r="D840" t="inlineStr">
        <is>
          <t>HALLANDS LÄN</t>
        </is>
      </c>
      <c r="E840" t="inlineStr">
        <is>
          <t>VARBERG</t>
        </is>
      </c>
      <c r="G840" t="n">
        <v>2.8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9477-2020</t>
        </is>
      </c>
      <c r="B841" s="1" t="n">
        <v>43880</v>
      </c>
      <c r="C841" s="1" t="n">
        <v>45358</v>
      </c>
      <c r="D841" t="inlineStr">
        <is>
          <t>HALLANDS LÄN</t>
        </is>
      </c>
      <c r="E841" t="inlineStr">
        <is>
          <t>HALMSTAD</t>
        </is>
      </c>
      <c r="G841" t="n">
        <v>2.2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9417-2020</t>
        </is>
      </c>
      <c r="B842" s="1" t="n">
        <v>43880</v>
      </c>
      <c r="C842" s="1" t="n">
        <v>45358</v>
      </c>
      <c r="D842" t="inlineStr">
        <is>
          <t>HALLANDS LÄN</t>
        </is>
      </c>
      <c r="E842" t="inlineStr">
        <is>
          <t>HYLTE</t>
        </is>
      </c>
      <c r="G842" t="n">
        <v>2.9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9489-2020</t>
        </is>
      </c>
      <c r="B843" s="1" t="n">
        <v>43880</v>
      </c>
      <c r="C843" s="1" t="n">
        <v>45358</v>
      </c>
      <c r="D843" t="inlineStr">
        <is>
          <t>HALLANDS LÄN</t>
        </is>
      </c>
      <c r="E843" t="inlineStr">
        <is>
          <t>HYLTE</t>
        </is>
      </c>
      <c r="G843" t="n">
        <v>0.8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9452-2020</t>
        </is>
      </c>
      <c r="B844" s="1" t="n">
        <v>43880</v>
      </c>
      <c r="C844" s="1" t="n">
        <v>45358</v>
      </c>
      <c r="D844" t="inlineStr">
        <is>
          <t>HALLANDS LÄN</t>
        </is>
      </c>
      <c r="E844" t="inlineStr">
        <is>
          <t>HALMSTAD</t>
        </is>
      </c>
      <c r="G844" t="n">
        <v>1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9440-2020</t>
        </is>
      </c>
      <c r="B845" s="1" t="n">
        <v>43880</v>
      </c>
      <c r="C845" s="1" t="n">
        <v>45358</v>
      </c>
      <c r="D845" t="inlineStr">
        <is>
          <t>HALLANDS LÄN</t>
        </is>
      </c>
      <c r="E845" t="inlineStr">
        <is>
          <t>FALKENBERG</t>
        </is>
      </c>
      <c r="G845" t="n">
        <v>0.8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9459-2020</t>
        </is>
      </c>
      <c r="B846" s="1" t="n">
        <v>43880</v>
      </c>
      <c r="C846" s="1" t="n">
        <v>45358</v>
      </c>
      <c r="D846" t="inlineStr">
        <is>
          <t>HALLANDS LÄN</t>
        </is>
      </c>
      <c r="E846" t="inlineStr">
        <is>
          <t>HALMSTAD</t>
        </is>
      </c>
      <c r="G846" t="n">
        <v>3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9640-2020</t>
        </is>
      </c>
      <c r="B847" s="1" t="n">
        <v>43881</v>
      </c>
      <c r="C847" s="1" t="n">
        <v>45358</v>
      </c>
      <c r="D847" t="inlineStr">
        <is>
          <t>HALLANDS LÄN</t>
        </is>
      </c>
      <c r="E847" t="inlineStr">
        <is>
          <t>FALKENBERG</t>
        </is>
      </c>
      <c r="G847" t="n">
        <v>1.5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10026-2020</t>
        </is>
      </c>
      <c r="B848" s="1" t="n">
        <v>43882</v>
      </c>
      <c r="C848" s="1" t="n">
        <v>45358</v>
      </c>
      <c r="D848" t="inlineStr">
        <is>
          <t>HALLANDS LÄN</t>
        </is>
      </c>
      <c r="E848" t="inlineStr">
        <is>
          <t>LAHOLM</t>
        </is>
      </c>
      <c r="G848" t="n">
        <v>5.3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10195-2020</t>
        </is>
      </c>
      <c r="B849" s="1" t="n">
        <v>43885</v>
      </c>
      <c r="C849" s="1" t="n">
        <v>45358</v>
      </c>
      <c r="D849" t="inlineStr">
        <is>
          <t>HALLANDS LÄN</t>
        </is>
      </c>
      <c r="E849" t="inlineStr">
        <is>
          <t>KUNGSBACKA</t>
        </is>
      </c>
      <c r="G849" t="n">
        <v>0.7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10370-2020</t>
        </is>
      </c>
      <c r="B850" s="1" t="n">
        <v>43885</v>
      </c>
      <c r="C850" s="1" t="n">
        <v>45358</v>
      </c>
      <c r="D850" t="inlineStr">
        <is>
          <t>HALLANDS LÄN</t>
        </is>
      </c>
      <c r="E850" t="inlineStr">
        <is>
          <t>KUNGSBACKA</t>
        </is>
      </c>
      <c r="G850" t="n">
        <v>3.3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11349-2020</t>
        </is>
      </c>
      <c r="B851" s="1" t="n">
        <v>43886</v>
      </c>
      <c r="C851" s="1" t="n">
        <v>45358</v>
      </c>
      <c r="D851" t="inlineStr">
        <is>
          <t>HALLANDS LÄN</t>
        </is>
      </c>
      <c r="E851" t="inlineStr">
        <is>
          <t>HYLTE</t>
        </is>
      </c>
      <c r="F851" t="inlineStr">
        <is>
          <t>Bergvik skog väst AB</t>
        </is>
      </c>
      <c r="G851" t="n">
        <v>5.3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10232-2020</t>
        </is>
      </c>
      <c r="B852" s="1" t="n">
        <v>43887</v>
      </c>
      <c r="C852" s="1" t="n">
        <v>45358</v>
      </c>
      <c r="D852" t="inlineStr">
        <is>
          <t>HALLANDS LÄN</t>
        </is>
      </c>
      <c r="E852" t="inlineStr">
        <is>
          <t>HALMSTAD</t>
        </is>
      </c>
      <c r="G852" t="n">
        <v>0.6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10592-2020</t>
        </is>
      </c>
      <c r="B853" s="1" t="n">
        <v>43887</v>
      </c>
      <c r="C853" s="1" t="n">
        <v>45358</v>
      </c>
      <c r="D853" t="inlineStr">
        <is>
          <t>HALLANDS LÄN</t>
        </is>
      </c>
      <c r="E853" t="inlineStr">
        <is>
          <t>VARBERG</t>
        </is>
      </c>
      <c r="G853" t="n">
        <v>17.7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10617-2020</t>
        </is>
      </c>
      <c r="B854" s="1" t="n">
        <v>43887</v>
      </c>
      <c r="C854" s="1" t="n">
        <v>45358</v>
      </c>
      <c r="D854" t="inlineStr">
        <is>
          <t>HALLANDS LÄN</t>
        </is>
      </c>
      <c r="E854" t="inlineStr">
        <is>
          <t>VARBERG</t>
        </is>
      </c>
      <c r="G854" t="n">
        <v>4.9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10611-2020</t>
        </is>
      </c>
      <c r="B855" s="1" t="n">
        <v>43887</v>
      </c>
      <c r="C855" s="1" t="n">
        <v>45358</v>
      </c>
      <c r="D855" t="inlineStr">
        <is>
          <t>HALLANDS LÄN</t>
        </is>
      </c>
      <c r="E855" t="inlineStr">
        <is>
          <t>VARBERG</t>
        </is>
      </c>
      <c r="G855" t="n">
        <v>0.5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11459-2020</t>
        </is>
      </c>
      <c r="B856" s="1" t="n">
        <v>43893</v>
      </c>
      <c r="C856" s="1" t="n">
        <v>45358</v>
      </c>
      <c r="D856" t="inlineStr">
        <is>
          <t>HALLANDS LÄN</t>
        </is>
      </c>
      <c r="E856" t="inlineStr">
        <is>
          <t>KUNGSBACKA</t>
        </is>
      </c>
      <c r="G856" t="n">
        <v>0.7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11734-2020</t>
        </is>
      </c>
      <c r="B857" s="1" t="n">
        <v>43894</v>
      </c>
      <c r="C857" s="1" t="n">
        <v>45358</v>
      </c>
      <c r="D857" t="inlineStr">
        <is>
          <t>HALLANDS LÄN</t>
        </is>
      </c>
      <c r="E857" t="inlineStr">
        <is>
          <t>VARBERG</t>
        </is>
      </c>
      <c r="G857" t="n">
        <v>2.4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11918-2020</t>
        </is>
      </c>
      <c r="B858" s="1" t="n">
        <v>43894</v>
      </c>
      <c r="C858" s="1" t="n">
        <v>45358</v>
      </c>
      <c r="D858" t="inlineStr">
        <is>
          <t>HALLANDS LÄN</t>
        </is>
      </c>
      <c r="E858" t="inlineStr">
        <is>
          <t>LAHOLM</t>
        </is>
      </c>
      <c r="G858" t="n">
        <v>2.6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12019-2020</t>
        </is>
      </c>
      <c r="B859" s="1" t="n">
        <v>43894</v>
      </c>
      <c r="C859" s="1" t="n">
        <v>45358</v>
      </c>
      <c r="D859" t="inlineStr">
        <is>
          <t>HALLANDS LÄN</t>
        </is>
      </c>
      <c r="E859" t="inlineStr">
        <is>
          <t>VARBERG</t>
        </is>
      </c>
      <c r="G859" t="n">
        <v>4.9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12017-2020</t>
        </is>
      </c>
      <c r="B860" s="1" t="n">
        <v>43894</v>
      </c>
      <c r="C860" s="1" t="n">
        <v>45358</v>
      </c>
      <c r="D860" t="inlineStr">
        <is>
          <t>HALLANDS LÄN</t>
        </is>
      </c>
      <c r="E860" t="inlineStr">
        <is>
          <t>VARBERG</t>
        </is>
      </c>
      <c r="G860" t="n">
        <v>0.6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12015-2020</t>
        </is>
      </c>
      <c r="B861" s="1" t="n">
        <v>43894</v>
      </c>
      <c r="C861" s="1" t="n">
        <v>45358</v>
      </c>
      <c r="D861" t="inlineStr">
        <is>
          <t>HALLANDS LÄN</t>
        </is>
      </c>
      <c r="E861" t="inlineStr">
        <is>
          <t>VARBERG</t>
        </is>
      </c>
      <c r="G861" t="n">
        <v>0.7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12071-2020</t>
        </is>
      </c>
      <c r="B862" s="1" t="n">
        <v>43895</v>
      </c>
      <c r="C862" s="1" t="n">
        <v>45358</v>
      </c>
      <c r="D862" t="inlineStr">
        <is>
          <t>HALLANDS LÄN</t>
        </is>
      </c>
      <c r="E862" t="inlineStr">
        <is>
          <t>VARBERG</t>
        </is>
      </c>
      <c r="G862" t="n">
        <v>1.7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12189-2020</t>
        </is>
      </c>
      <c r="B863" s="1" t="n">
        <v>43895</v>
      </c>
      <c r="C863" s="1" t="n">
        <v>45358</v>
      </c>
      <c r="D863" t="inlineStr">
        <is>
          <t>HALLANDS LÄN</t>
        </is>
      </c>
      <c r="E863" t="inlineStr">
        <is>
          <t>HALMSTAD</t>
        </is>
      </c>
      <c r="F863" t="inlineStr">
        <is>
          <t>Kommuner</t>
        </is>
      </c>
      <c r="G863" t="n">
        <v>1.6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13646-2020</t>
        </is>
      </c>
      <c r="B864" s="1" t="n">
        <v>43895</v>
      </c>
      <c r="C864" s="1" t="n">
        <v>45358</v>
      </c>
      <c r="D864" t="inlineStr">
        <is>
          <t>HALLANDS LÄN</t>
        </is>
      </c>
      <c r="E864" t="inlineStr">
        <is>
          <t>LAHOLM</t>
        </is>
      </c>
      <c r="G864" t="n">
        <v>1.2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12367-2020</t>
        </is>
      </c>
      <c r="B865" s="1" t="n">
        <v>43896</v>
      </c>
      <c r="C865" s="1" t="n">
        <v>45358</v>
      </c>
      <c r="D865" t="inlineStr">
        <is>
          <t>HALLANDS LÄN</t>
        </is>
      </c>
      <c r="E865" t="inlineStr">
        <is>
          <t>LAHOLM</t>
        </is>
      </c>
      <c r="G865" t="n">
        <v>0.9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12448-2020</t>
        </is>
      </c>
      <c r="B866" s="1" t="n">
        <v>43896</v>
      </c>
      <c r="C866" s="1" t="n">
        <v>45358</v>
      </c>
      <c r="D866" t="inlineStr">
        <is>
          <t>HALLANDS LÄN</t>
        </is>
      </c>
      <c r="E866" t="inlineStr">
        <is>
          <t>VARBERG</t>
        </is>
      </c>
      <c r="G866" t="n">
        <v>2.9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12947-2020</t>
        </is>
      </c>
      <c r="B867" s="1" t="n">
        <v>43900</v>
      </c>
      <c r="C867" s="1" t="n">
        <v>45358</v>
      </c>
      <c r="D867" t="inlineStr">
        <is>
          <t>HALLANDS LÄN</t>
        </is>
      </c>
      <c r="E867" t="inlineStr">
        <is>
          <t>VARBERG</t>
        </is>
      </c>
      <c r="G867" t="n">
        <v>5.2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13152-2020</t>
        </is>
      </c>
      <c r="B868" s="1" t="n">
        <v>43901</v>
      </c>
      <c r="C868" s="1" t="n">
        <v>45358</v>
      </c>
      <c r="D868" t="inlineStr">
        <is>
          <t>HALLANDS LÄN</t>
        </is>
      </c>
      <c r="E868" t="inlineStr">
        <is>
          <t>HYLTE</t>
        </is>
      </c>
      <c r="G868" t="n">
        <v>0.6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13114-2020</t>
        </is>
      </c>
      <c r="B869" s="1" t="n">
        <v>43901</v>
      </c>
      <c r="C869" s="1" t="n">
        <v>45358</v>
      </c>
      <c r="D869" t="inlineStr">
        <is>
          <t>HALLANDS LÄN</t>
        </is>
      </c>
      <c r="E869" t="inlineStr">
        <is>
          <t>HYLTE</t>
        </is>
      </c>
      <c r="G869" t="n">
        <v>2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13150-2020</t>
        </is>
      </c>
      <c r="B870" s="1" t="n">
        <v>43901</v>
      </c>
      <c r="C870" s="1" t="n">
        <v>45358</v>
      </c>
      <c r="D870" t="inlineStr">
        <is>
          <t>HALLANDS LÄN</t>
        </is>
      </c>
      <c r="E870" t="inlineStr">
        <is>
          <t>HYLTE</t>
        </is>
      </c>
      <c r="G870" t="n">
        <v>2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13405-2020</t>
        </is>
      </c>
      <c r="B871" s="1" t="n">
        <v>43902</v>
      </c>
      <c r="C871" s="1" t="n">
        <v>45358</v>
      </c>
      <c r="D871" t="inlineStr">
        <is>
          <t>HALLANDS LÄN</t>
        </is>
      </c>
      <c r="E871" t="inlineStr">
        <is>
          <t>HALMSTAD</t>
        </is>
      </c>
      <c r="G871" t="n">
        <v>0.5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13398-2020</t>
        </is>
      </c>
      <c r="B872" s="1" t="n">
        <v>43902</v>
      </c>
      <c r="C872" s="1" t="n">
        <v>45358</v>
      </c>
      <c r="D872" t="inlineStr">
        <is>
          <t>HALLANDS LÄN</t>
        </is>
      </c>
      <c r="E872" t="inlineStr">
        <is>
          <t>HALMSTAD</t>
        </is>
      </c>
      <c r="G872" t="n">
        <v>1.7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13341-2020</t>
        </is>
      </c>
      <c r="B873" s="1" t="n">
        <v>43902</v>
      </c>
      <c r="C873" s="1" t="n">
        <v>45358</v>
      </c>
      <c r="D873" t="inlineStr">
        <is>
          <t>HALLANDS LÄN</t>
        </is>
      </c>
      <c r="E873" t="inlineStr">
        <is>
          <t>FALKENBERG</t>
        </is>
      </c>
      <c r="G873" t="n">
        <v>1.5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13631-2020</t>
        </is>
      </c>
      <c r="B874" s="1" t="n">
        <v>43903</v>
      </c>
      <c r="C874" s="1" t="n">
        <v>45358</v>
      </c>
      <c r="D874" t="inlineStr">
        <is>
          <t>HALLANDS LÄN</t>
        </is>
      </c>
      <c r="E874" t="inlineStr">
        <is>
          <t>KUNGSBACKA</t>
        </is>
      </c>
      <c r="G874" t="n">
        <v>1.1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13642-2020</t>
        </is>
      </c>
      <c r="B875" s="1" t="n">
        <v>43903</v>
      </c>
      <c r="C875" s="1" t="n">
        <v>45358</v>
      </c>
      <c r="D875" t="inlineStr">
        <is>
          <t>HALLANDS LÄN</t>
        </is>
      </c>
      <c r="E875" t="inlineStr">
        <is>
          <t>HYLTE</t>
        </is>
      </c>
      <c r="G875" t="n">
        <v>2.2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13761-2020</t>
        </is>
      </c>
      <c r="B876" s="1" t="n">
        <v>43903</v>
      </c>
      <c r="C876" s="1" t="n">
        <v>45358</v>
      </c>
      <c r="D876" t="inlineStr">
        <is>
          <t>HALLANDS LÄN</t>
        </is>
      </c>
      <c r="E876" t="inlineStr">
        <is>
          <t>HYLTE</t>
        </is>
      </c>
      <c r="G876" t="n">
        <v>1.5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13842-2020</t>
        </is>
      </c>
      <c r="B877" s="1" t="n">
        <v>43906</v>
      </c>
      <c r="C877" s="1" t="n">
        <v>45358</v>
      </c>
      <c r="D877" t="inlineStr">
        <is>
          <t>HALLANDS LÄN</t>
        </is>
      </c>
      <c r="E877" t="inlineStr">
        <is>
          <t>FALKENBERG</t>
        </is>
      </c>
      <c r="G877" t="n">
        <v>1.2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14299-2020</t>
        </is>
      </c>
      <c r="B878" s="1" t="n">
        <v>43907</v>
      </c>
      <c r="C878" s="1" t="n">
        <v>45358</v>
      </c>
      <c r="D878" t="inlineStr">
        <is>
          <t>HALLANDS LÄN</t>
        </is>
      </c>
      <c r="E878" t="inlineStr">
        <is>
          <t>KUNGSBACKA</t>
        </is>
      </c>
      <c r="G878" t="n">
        <v>1.2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14296-2020</t>
        </is>
      </c>
      <c r="B879" s="1" t="n">
        <v>43907</v>
      </c>
      <c r="C879" s="1" t="n">
        <v>45358</v>
      </c>
      <c r="D879" t="inlineStr">
        <is>
          <t>HALLANDS LÄN</t>
        </is>
      </c>
      <c r="E879" t="inlineStr">
        <is>
          <t>KUNGSBACKA</t>
        </is>
      </c>
      <c r="G879" t="n">
        <v>0.5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14520-2020</t>
        </is>
      </c>
      <c r="B880" s="1" t="n">
        <v>43908</v>
      </c>
      <c r="C880" s="1" t="n">
        <v>45358</v>
      </c>
      <c r="D880" t="inlineStr">
        <is>
          <t>HALLANDS LÄN</t>
        </is>
      </c>
      <c r="E880" t="inlineStr">
        <is>
          <t>HYLTE</t>
        </is>
      </c>
      <c r="G880" t="n">
        <v>1.2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14550-2020</t>
        </is>
      </c>
      <c r="B881" s="1" t="n">
        <v>43908</v>
      </c>
      <c r="C881" s="1" t="n">
        <v>45358</v>
      </c>
      <c r="D881" t="inlineStr">
        <is>
          <t>HALLANDS LÄN</t>
        </is>
      </c>
      <c r="E881" t="inlineStr">
        <is>
          <t>FALKENBERG</t>
        </is>
      </c>
      <c r="G881" t="n">
        <v>9.9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14474-2020</t>
        </is>
      </c>
      <c r="B882" s="1" t="n">
        <v>43908</v>
      </c>
      <c r="C882" s="1" t="n">
        <v>45358</v>
      </c>
      <c r="D882" t="inlineStr">
        <is>
          <t>HALLANDS LÄN</t>
        </is>
      </c>
      <c r="E882" t="inlineStr">
        <is>
          <t>VARBERG</t>
        </is>
      </c>
      <c r="G882" t="n">
        <v>1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14523-2020</t>
        </is>
      </c>
      <c r="B883" s="1" t="n">
        <v>43908</v>
      </c>
      <c r="C883" s="1" t="n">
        <v>45358</v>
      </c>
      <c r="D883" t="inlineStr">
        <is>
          <t>HALLANDS LÄN</t>
        </is>
      </c>
      <c r="E883" t="inlineStr">
        <is>
          <t>HYLTE</t>
        </is>
      </c>
      <c r="G883" t="n">
        <v>1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16582-2020</t>
        </is>
      </c>
      <c r="B884" s="1" t="n">
        <v>43909</v>
      </c>
      <c r="C884" s="1" t="n">
        <v>45358</v>
      </c>
      <c r="D884" t="inlineStr">
        <is>
          <t>HALLANDS LÄN</t>
        </is>
      </c>
      <c r="E884" t="inlineStr">
        <is>
          <t>HALMSTAD</t>
        </is>
      </c>
      <c r="F884" t="inlineStr">
        <is>
          <t>Sveaskog</t>
        </is>
      </c>
      <c r="G884" t="n">
        <v>1.5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15160-2020</t>
        </is>
      </c>
      <c r="B885" s="1" t="n">
        <v>43912</v>
      </c>
      <c r="C885" s="1" t="n">
        <v>45358</v>
      </c>
      <c r="D885" t="inlineStr">
        <is>
          <t>HALLANDS LÄN</t>
        </is>
      </c>
      <c r="E885" t="inlineStr">
        <is>
          <t>LAHOLM</t>
        </is>
      </c>
      <c r="G885" t="n">
        <v>1.2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15299-2020</t>
        </is>
      </c>
      <c r="B886" s="1" t="n">
        <v>43913</v>
      </c>
      <c r="C886" s="1" t="n">
        <v>45358</v>
      </c>
      <c r="D886" t="inlineStr">
        <is>
          <t>HALLANDS LÄN</t>
        </is>
      </c>
      <c r="E886" t="inlineStr">
        <is>
          <t>LAHOLM</t>
        </is>
      </c>
      <c r="G886" t="n">
        <v>1.7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15227-2020</t>
        </is>
      </c>
      <c r="B887" s="1" t="n">
        <v>43913</v>
      </c>
      <c r="C887" s="1" t="n">
        <v>45358</v>
      </c>
      <c r="D887" t="inlineStr">
        <is>
          <t>HALLANDS LÄN</t>
        </is>
      </c>
      <c r="E887" t="inlineStr">
        <is>
          <t>HYLTE</t>
        </is>
      </c>
      <c r="G887" t="n">
        <v>0.8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15418-2020</t>
        </is>
      </c>
      <c r="B888" s="1" t="n">
        <v>43914</v>
      </c>
      <c r="C888" s="1" t="n">
        <v>45358</v>
      </c>
      <c r="D888" t="inlineStr">
        <is>
          <t>HALLANDS LÄN</t>
        </is>
      </c>
      <c r="E888" t="inlineStr">
        <is>
          <t>FALKENBERG</t>
        </is>
      </c>
      <c r="G888" t="n">
        <v>0.6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15417-2020</t>
        </is>
      </c>
      <c r="B889" s="1" t="n">
        <v>43914</v>
      </c>
      <c r="C889" s="1" t="n">
        <v>45358</v>
      </c>
      <c r="D889" t="inlineStr">
        <is>
          <t>HALLANDS LÄN</t>
        </is>
      </c>
      <c r="E889" t="inlineStr">
        <is>
          <t>FALKENBERG</t>
        </is>
      </c>
      <c r="G889" t="n">
        <v>0.8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17557-2020</t>
        </is>
      </c>
      <c r="B890" s="1" t="n">
        <v>43914</v>
      </c>
      <c r="C890" s="1" t="n">
        <v>45358</v>
      </c>
      <c r="D890" t="inlineStr">
        <is>
          <t>HALLANDS LÄN</t>
        </is>
      </c>
      <c r="E890" t="inlineStr">
        <is>
          <t>FALKENBERG</t>
        </is>
      </c>
      <c r="G890" t="n">
        <v>2.2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15707-2020</t>
        </is>
      </c>
      <c r="B891" s="1" t="n">
        <v>43915</v>
      </c>
      <c r="C891" s="1" t="n">
        <v>45358</v>
      </c>
      <c r="D891" t="inlineStr">
        <is>
          <t>HALLANDS LÄN</t>
        </is>
      </c>
      <c r="E891" t="inlineStr">
        <is>
          <t>FALKENBERG</t>
        </is>
      </c>
      <c r="G891" t="n">
        <v>0.3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15902-2020</t>
        </is>
      </c>
      <c r="B892" s="1" t="n">
        <v>43916</v>
      </c>
      <c r="C892" s="1" t="n">
        <v>45358</v>
      </c>
      <c r="D892" t="inlineStr">
        <is>
          <t>HALLANDS LÄN</t>
        </is>
      </c>
      <c r="E892" t="inlineStr">
        <is>
          <t>FALKENBERG</t>
        </is>
      </c>
      <c r="G892" t="n">
        <v>13.9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16103-2020</t>
        </is>
      </c>
      <c r="B893" s="1" t="n">
        <v>43916</v>
      </c>
      <c r="C893" s="1" t="n">
        <v>45358</v>
      </c>
      <c r="D893" t="inlineStr">
        <is>
          <t>HALLANDS LÄN</t>
        </is>
      </c>
      <c r="E893" t="inlineStr">
        <is>
          <t>FALKENBERG</t>
        </is>
      </c>
      <c r="G893" t="n">
        <v>3.6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15905-2020</t>
        </is>
      </c>
      <c r="B894" s="1" t="n">
        <v>43916</v>
      </c>
      <c r="C894" s="1" t="n">
        <v>45358</v>
      </c>
      <c r="D894" t="inlineStr">
        <is>
          <t>HALLANDS LÄN</t>
        </is>
      </c>
      <c r="E894" t="inlineStr">
        <is>
          <t>FALKENBERG</t>
        </is>
      </c>
      <c r="G894" t="n">
        <v>0.9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17367-2020</t>
        </is>
      </c>
      <c r="B895" s="1" t="n">
        <v>43916</v>
      </c>
      <c r="C895" s="1" t="n">
        <v>45358</v>
      </c>
      <c r="D895" t="inlineStr">
        <is>
          <t>HALLANDS LÄN</t>
        </is>
      </c>
      <c r="E895" t="inlineStr">
        <is>
          <t>HYLTE</t>
        </is>
      </c>
      <c r="G895" t="n">
        <v>2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16029-2020</t>
        </is>
      </c>
      <c r="B896" s="1" t="n">
        <v>43916</v>
      </c>
      <c r="C896" s="1" t="n">
        <v>45358</v>
      </c>
      <c r="D896" t="inlineStr">
        <is>
          <t>HALLANDS LÄN</t>
        </is>
      </c>
      <c r="E896" t="inlineStr">
        <is>
          <t>HALMSTAD</t>
        </is>
      </c>
      <c r="G896" t="n">
        <v>1.2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17364-2020</t>
        </is>
      </c>
      <c r="B897" s="1" t="n">
        <v>43916</v>
      </c>
      <c r="C897" s="1" t="n">
        <v>45358</v>
      </c>
      <c r="D897" t="inlineStr">
        <is>
          <t>HALLANDS LÄN</t>
        </is>
      </c>
      <c r="E897" t="inlineStr">
        <is>
          <t>HYLTE</t>
        </is>
      </c>
      <c r="G897" t="n">
        <v>1.2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16250-2020</t>
        </is>
      </c>
      <c r="B898" s="1" t="n">
        <v>43917</v>
      </c>
      <c r="C898" s="1" t="n">
        <v>45358</v>
      </c>
      <c r="D898" t="inlineStr">
        <is>
          <t>HALLANDS LÄN</t>
        </is>
      </c>
      <c r="E898" t="inlineStr">
        <is>
          <t>KUNGSBACKA</t>
        </is>
      </c>
      <c r="G898" t="n">
        <v>0.9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17808-2020</t>
        </is>
      </c>
      <c r="B899" s="1" t="n">
        <v>43917</v>
      </c>
      <c r="C899" s="1" t="n">
        <v>45358</v>
      </c>
      <c r="D899" t="inlineStr">
        <is>
          <t>HALLANDS LÄN</t>
        </is>
      </c>
      <c r="E899" t="inlineStr">
        <is>
          <t>FALKENBERG</t>
        </is>
      </c>
      <c r="F899" t="inlineStr">
        <is>
          <t>Kyrkan</t>
        </is>
      </c>
      <c r="G899" t="n">
        <v>3.2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16405-2020</t>
        </is>
      </c>
      <c r="B900" s="1" t="n">
        <v>43918</v>
      </c>
      <c r="C900" s="1" t="n">
        <v>45358</v>
      </c>
      <c r="D900" t="inlineStr">
        <is>
          <t>HALLANDS LÄN</t>
        </is>
      </c>
      <c r="E900" t="inlineStr">
        <is>
          <t>LAHOLM</t>
        </is>
      </c>
      <c r="G900" t="n">
        <v>3.9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16406-2020</t>
        </is>
      </c>
      <c r="B901" s="1" t="n">
        <v>43918</v>
      </c>
      <c r="C901" s="1" t="n">
        <v>45358</v>
      </c>
      <c r="D901" t="inlineStr">
        <is>
          <t>HALLANDS LÄN</t>
        </is>
      </c>
      <c r="E901" t="inlineStr">
        <is>
          <t>LAHOLM</t>
        </is>
      </c>
      <c r="G901" t="n">
        <v>4.3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16612-2020</t>
        </is>
      </c>
      <c r="B902" s="1" t="n">
        <v>43920</v>
      </c>
      <c r="C902" s="1" t="n">
        <v>45358</v>
      </c>
      <c r="D902" t="inlineStr">
        <is>
          <t>HALLANDS LÄN</t>
        </is>
      </c>
      <c r="E902" t="inlineStr">
        <is>
          <t>VARBERG</t>
        </is>
      </c>
      <c r="F902" t="inlineStr">
        <is>
          <t>Övriga statliga verk och myndigheter</t>
        </is>
      </c>
      <c r="G902" t="n">
        <v>0.9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16632-2020</t>
        </is>
      </c>
      <c r="B903" s="1" t="n">
        <v>43920</v>
      </c>
      <c r="C903" s="1" t="n">
        <v>45358</v>
      </c>
      <c r="D903" t="inlineStr">
        <is>
          <t>HALLANDS LÄN</t>
        </is>
      </c>
      <c r="E903" t="inlineStr">
        <is>
          <t>VARBERG</t>
        </is>
      </c>
      <c r="F903" t="inlineStr">
        <is>
          <t>Övriga statliga verk och myndigheter</t>
        </is>
      </c>
      <c r="G903" t="n">
        <v>2.5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17819-2020</t>
        </is>
      </c>
      <c r="B904" s="1" t="n">
        <v>43920</v>
      </c>
      <c r="C904" s="1" t="n">
        <v>45358</v>
      </c>
      <c r="D904" t="inlineStr">
        <is>
          <t>HALLANDS LÄN</t>
        </is>
      </c>
      <c r="E904" t="inlineStr">
        <is>
          <t>FALKENBERG</t>
        </is>
      </c>
      <c r="G904" t="n">
        <v>0.6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16959-2020</t>
        </is>
      </c>
      <c r="B905" s="1" t="n">
        <v>43921</v>
      </c>
      <c r="C905" s="1" t="n">
        <v>45358</v>
      </c>
      <c r="D905" t="inlineStr">
        <is>
          <t>HALLANDS LÄN</t>
        </is>
      </c>
      <c r="E905" t="inlineStr">
        <is>
          <t>VARBERG</t>
        </is>
      </c>
      <c r="F905" t="inlineStr">
        <is>
          <t>Övriga statliga verk och myndigheter</t>
        </is>
      </c>
      <c r="G905" t="n">
        <v>0.5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17057-2020</t>
        </is>
      </c>
      <c r="B906" s="1" t="n">
        <v>43921</v>
      </c>
      <c r="C906" s="1" t="n">
        <v>45358</v>
      </c>
      <c r="D906" t="inlineStr">
        <is>
          <t>HALLANDS LÄN</t>
        </is>
      </c>
      <c r="E906" t="inlineStr">
        <is>
          <t>FALKENBERG</t>
        </is>
      </c>
      <c r="G906" t="n">
        <v>0.4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16902-2020</t>
        </is>
      </c>
      <c r="B907" s="1" t="n">
        <v>43921</v>
      </c>
      <c r="C907" s="1" t="n">
        <v>45358</v>
      </c>
      <c r="D907" t="inlineStr">
        <is>
          <t>HALLANDS LÄN</t>
        </is>
      </c>
      <c r="E907" t="inlineStr">
        <is>
          <t>KUNGSBACKA</t>
        </is>
      </c>
      <c r="G907" t="n">
        <v>0.9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17323-2020</t>
        </is>
      </c>
      <c r="B908" s="1" t="n">
        <v>43922</v>
      </c>
      <c r="C908" s="1" t="n">
        <v>45358</v>
      </c>
      <c r="D908" t="inlineStr">
        <is>
          <t>HALLANDS LÄN</t>
        </is>
      </c>
      <c r="E908" t="inlineStr">
        <is>
          <t>VARBERG</t>
        </is>
      </c>
      <c r="G908" t="n">
        <v>0.7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17283-2020</t>
        </is>
      </c>
      <c r="B909" s="1" t="n">
        <v>43922</v>
      </c>
      <c r="C909" s="1" t="n">
        <v>45358</v>
      </c>
      <c r="D909" t="inlineStr">
        <is>
          <t>HALLANDS LÄN</t>
        </is>
      </c>
      <c r="E909" t="inlineStr">
        <is>
          <t>LAHOLM</t>
        </is>
      </c>
      <c r="G909" t="n">
        <v>1.2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17280-2020</t>
        </is>
      </c>
      <c r="B910" s="1" t="n">
        <v>43922</v>
      </c>
      <c r="C910" s="1" t="n">
        <v>45358</v>
      </c>
      <c r="D910" t="inlineStr">
        <is>
          <t>HALLANDS LÄN</t>
        </is>
      </c>
      <c r="E910" t="inlineStr">
        <is>
          <t>LAHOLM</t>
        </is>
      </c>
      <c r="G910" t="n">
        <v>1.5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17324-2020</t>
        </is>
      </c>
      <c r="B911" s="1" t="n">
        <v>43922</v>
      </c>
      <c r="C911" s="1" t="n">
        <v>45358</v>
      </c>
      <c r="D911" t="inlineStr">
        <is>
          <t>HALLANDS LÄN</t>
        </is>
      </c>
      <c r="E911" t="inlineStr">
        <is>
          <t>VARBERG</t>
        </is>
      </c>
      <c r="G911" t="n">
        <v>2.2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17258-2020</t>
        </is>
      </c>
      <c r="B912" s="1" t="n">
        <v>43922</v>
      </c>
      <c r="C912" s="1" t="n">
        <v>45358</v>
      </c>
      <c r="D912" t="inlineStr">
        <is>
          <t>HALLANDS LÄN</t>
        </is>
      </c>
      <c r="E912" t="inlineStr">
        <is>
          <t>KUNGSBACKA</t>
        </is>
      </c>
      <c r="G912" t="n">
        <v>0.9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17724-2020</t>
        </is>
      </c>
      <c r="B913" s="1" t="n">
        <v>43924</v>
      </c>
      <c r="C913" s="1" t="n">
        <v>45358</v>
      </c>
      <c r="D913" t="inlineStr">
        <is>
          <t>HALLANDS LÄN</t>
        </is>
      </c>
      <c r="E913" t="inlineStr">
        <is>
          <t>HALMSTAD</t>
        </is>
      </c>
      <c r="G913" t="n">
        <v>0.9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17725-2020</t>
        </is>
      </c>
      <c r="B914" s="1" t="n">
        <v>43924</v>
      </c>
      <c r="C914" s="1" t="n">
        <v>45358</v>
      </c>
      <c r="D914" t="inlineStr">
        <is>
          <t>HALLANDS LÄN</t>
        </is>
      </c>
      <c r="E914" t="inlineStr">
        <is>
          <t>HALMSTAD</t>
        </is>
      </c>
      <c r="G914" t="n">
        <v>2.5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18125-2020</t>
        </is>
      </c>
      <c r="B915" s="1" t="n">
        <v>43927</v>
      </c>
      <c r="C915" s="1" t="n">
        <v>45358</v>
      </c>
      <c r="D915" t="inlineStr">
        <is>
          <t>HALLANDS LÄN</t>
        </is>
      </c>
      <c r="E915" t="inlineStr">
        <is>
          <t>HALMSTAD</t>
        </is>
      </c>
      <c r="G915" t="n">
        <v>0.5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18100-2020</t>
        </is>
      </c>
      <c r="B916" s="1" t="n">
        <v>43927</v>
      </c>
      <c r="C916" s="1" t="n">
        <v>45358</v>
      </c>
      <c r="D916" t="inlineStr">
        <is>
          <t>HALLANDS LÄN</t>
        </is>
      </c>
      <c r="E916" t="inlineStr">
        <is>
          <t>HYLTE</t>
        </is>
      </c>
      <c r="G916" t="n">
        <v>3.5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18328-2020</t>
        </is>
      </c>
      <c r="B917" s="1" t="n">
        <v>43928</v>
      </c>
      <c r="C917" s="1" t="n">
        <v>45358</v>
      </c>
      <c r="D917" t="inlineStr">
        <is>
          <t>HALLANDS LÄN</t>
        </is>
      </c>
      <c r="E917" t="inlineStr">
        <is>
          <t>KUNGSBACKA</t>
        </is>
      </c>
      <c r="G917" t="n">
        <v>0.8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18321-2020</t>
        </is>
      </c>
      <c r="B918" s="1" t="n">
        <v>43928</v>
      </c>
      <c r="C918" s="1" t="n">
        <v>45358</v>
      </c>
      <c r="D918" t="inlineStr">
        <is>
          <t>HALLANDS LÄN</t>
        </is>
      </c>
      <c r="E918" t="inlineStr">
        <is>
          <t>KUNGSBACKA</t>
        </is>
      </c>
      <c r="G918" t="n">
        <v>12.4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18400-2020</t>
        </is>
      </c>
      <c r="B919" s="1" t="n">
        <v>43928</v>
      </c>
      <c r="C919" s="1" t="n">
        <v>45358</v>
      </c>
      <c r="D919" t="inlineStr">
        <is>
          <t>HALLANDS LÄN</t>
        </is>
      </c>
      <c r="E919" t="inlineStr">
        <is>
          <t>LAHOLM</t>
        </is>
      </c>
      <c r="G919" t="n">
        <v>1.9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18599-2020</t>
        </is>
      </c>
      <c r="B920" s="1" t="n">
        <v>43929</v>
      </c>
      <c r="C920" s="1" t="n">
        <v>45358</v>
      </c>
      <c r="D920" t="inlineStr">
        <is>
          <t>HALLANDS LÄN</t>
        </is>
      </c>
      <c r="E920" t="inlineStr">
        <is>
          <t>FALKENBERG</t>
        </is>
      </c>
      <c r="G920" t="n">
        <v>2.4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18454-2020</t>
        </is>
      </c>
      <c r="B921" s="1" t="n">
        <v>43929</v>
      </c>
      <c r="C921" s="1" t="n">
        <v>45358</v>
      </c>
      <c r="D921" t="inlineStr">
        <is>
          <t>HALLANDS LÄN</t>
        </is>
      </c>
      <c r="E921" t="inlineStr">
        <is>
          <t>FALKENBERG</t>
        </is>
      </c>
      <c r="G921" t="n">
        <v>1.5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18621-2020</t>
        </is>
      </c>
      <c r="B922" s="1" t="n">
        <v>43930</v>
      </c>
      <c r="C922" s="1" t="n">
        <v>45358</v>
      </c>
      <c r="D922" t="inlineStr">
        <is>
          <t>HALLANDS LÄN</t>
        </is>
      </c>
      <c r="E922" t="inlineStr">
        <is>
          <t>FALKENBERG</t>
        </is>
      </c>
      <c r="G922" t="n">
        <v>3.3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19060-2020</t>
        </is>
      </c>
      <c r="B923" s="1" t="n">
        <v>43936</v>
      </c>
      <c r="C923" s="1" t="n">
        <v>45358</v>
      </c>
      <c r="D923" t="inlineStr">
        <is>
          <t>HALLANDS LÄN</t>
        </is>
      </c>
      <c r="E923" t="inlineStr">
        <is>
          <t>LAHOLM</t>
        </is>
      </c>
      <c r="G923" t="n">
        <v>2.8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19082-2020</t>
        </is>
      </c>
      <c r="B924" s="1" t="n">
        <v>43936</v>
      </c>
      <c r="C924" s="1" t="n">
        <v>45358</v>
      </c>
      <c r="D924" t="inlineStr">
        <is>
          <t>HALLANDS LÄN</t>
        </is>
      </c>
      <c r="E924" t="inlineStr">
        <is>
          <t>HYLTE</t>
        </is>
      </c>
      <c r="G924" t="n">
        <v>2.3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19237-2020</t>
        </is>
      </c>
      <c r="B925" s="1" t="n">
        <v>43937</v>
      </c>
      <c r="C925" s="1" t="n">
        <v>45358</v>
      </c>
      <c r="D925" t="inlineStr">
        <is>
          <t>HALLANDS LÄN</t>
        </is>
      </c>
      <c r="E925" t="inlineStr">
        <is>
          <t>HYLTE</t>
        </is>
      </c>
      <c r="G925" t="n">
        <v>1.3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19209-2020</t>
        </is>
      </c>
      <c r="B926" s="1" t="n">
        <v>43937</v>
      </c>
      <c r="C926" s="1" t="n">
        <v>45358</v>
      </c>
      <c r="D926" t="inlineStr">
        <is>
          <t>HALLANDS LÄN</t>
        </is>
      </c>
      <c r="E926" t="inlineStr">
        <is>
          <t>HALMSTAD</t>
        </is>
      </c>
      <c r="G926" t="n">
        <v>5.7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19235-2020</t>
        </is>
      </c>
      <c r="B927" s="1" t="n">
        <v>43937</v>
      </c>
      <c r="C927" s="1" t="n">
        <v>45358</v>
      </c>
      <c r="D927" t="inlineStr">
        <is>
          <t>HALLANDS LÄN</t>
        </is>
      </c>
      <c r="E927" t="inlineStr">
        <is>
          <t>HYLTE</t>
        </is>
      </c>
      <c r="G927" t="n">
        <v>0.8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19331-2020</t>
        </is>
      </c>
      <c r="B928" s="1" t="n">
        <v>43937</v>
      </c>
      <c r="C928" s="1" t="n">
        <v>45358</v>
      </c>
      <c r="D928" t="inlineStr">
        <is>
          <t>HALLANDS LÄN</t>
        </is>
      </c>
      <c r="E928" t="inlineStr">
        <is>
          <t>FALKENBERG</t>
        </is>
      </c>
      <c r="F928" t="inlineStr">
        <is>
          <t>Kyrkan</t>
        </is>
      </c>
      <c r="G928" t="n">
        <v>1.5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19879-2020</t>
        </is>
      </c>
      <c r="B929" s="1" t="n">
        <v>43941</v>
      </c>
      <c r="C929" s="1" t="n">
        <v>45358</v>
      </c>
      <c r="D929" t="inlineStr">
        <is>
          <t>HALLANDS LÄN</t>
        </is>
      </c>
      <c r="E929" t="inlineStr">
        <is>
          <t>HYLTE</t>
        </is>
      </c>
      <c r="G929" t="n">
        <v>1.1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19756-2020</t>
        </is>
      </c>
      <c r="B930" s="1" t="n">
        <v>43942</v>
      </c>
      <c r="C930" s="1" t="n">
        <v>45358</v>
      </c>
      <c r="D930" t="inlineStr">
        <is>
          <t>HALLANDS LÄN</t>
        </is>
      </c>
      <c r="E930" t="inlineStr">
        <is>
          <t>FALKENBERG</t>
        </is>
      </c>
      <c r="G930" t="n">
        <v>3.9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19737-2020</t>
        </is>
      </c>
      <c r="B931" s="1" t="n">
        <v>43942</v>
      </c>
      <c r="C931" s="1" t="n">
        <v>45358</v>
      </c>
      <c r="D931" t="inlineStr">
        <is>
          <t>HALLANDS LÄN</t>
        </is>
      </c>
      <c r="E931" t="inlineStr">
        <is>
          <t>HALMSTAD</t>
        </is>
      </c>
      <c r="G931" t="n">
        <v>1.5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19739-2020</t>
        </is>
      </c>
      <c r="B932" s="1" t="n">
        <v>43942</v>
      </c>
      <c r="C932" s="1" t="n">
        <v>45358</v>
      </c>
      <c r="D932" t="inlineStr">
        <is>
          <t>HALLANDS LÄN</t>
        </is>
      </c>
      <c r="E932" t="inlineStr">
        <is>
          <t>VARBERG</t>
        </is>
      </c>
      <c r="G932" t="n">
        <v>2.8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19762-2020</t>
        </is>
      </c>
      <c r="B933" s="1" t="n">
        <v>43942</v>
      </c>
      <c r="C933" s="1" t="n">
        <v>45358</v>
      </c>
      <c r="D933" t="inlineStr">
        <is>
          <t>HALLANDS LÄN</t>
        </is>
      </c>
      <c r="E933" t="inlineStr">
        <is>
          <t>FALKENBERG</t>
        </is>
      </c>
      <c r="G933" t="n">
        <v>1.7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20053-2020</t>
        </is>
      </c>
      <c r="B934" s="1" t="n">
        <v>43943</v>
      </c>
      <c r="C934" s="1" t="n">
        <v>45358</v>
      </c>
      <c r="D934" t="inlineStr">
        <is>
          <t>HALLANDS LÄN</t>
        </is>
      </c>
      <c r="E934" t="inlineStr">
        <is>
          <t>HYLTE</t>
        </is>
      </c>
      <c r="G934" t="n">
        <v>4.8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20049-2020</t>
        </is>
      </c>
      <c r="B935" s="1" t="n">
        <v>43943</v>
      </c>
      <c r="C935" s="1" t="n">
        <v>45358</v>
      </c>
      <c r="D935" t="inlineStr">
        <is>
          <t>HALLANDS LÄN</t>
        </is>
      </c>
      <c r="E935" t="inlineStr">
        <is>
          <t>HYLTE</t>
        </is>
      </c>
      <c r="G935" t="n">
        <v>2.5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20188-2020</t>
        </is>
      </c>
      <c r="B936" s="1" t="n">
        <v>43944</v>
      </c>
      <c r="C936" s="1" t="n">
        <v>45358</v>
      </c>
      <c r="D936" t="inlineStr">
        <is>
          <t>HALLANDS LÄN</t>
        </is>
      </c>
      <c r="E936" t="inlineStr">
        <is>
          <t>FALKENBERG</t>
        </is>
      </c>
      <c r="G936" t="n">
        <v>0.7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20186-2020</t>
        </is>
      </c>
      <c r="B937" s="1" t="n">
        <v>43944</v>
      </c>
      <c r="C937" s="1" t="n">
        <v>45358</v>
      </c>
      <c r="D937" t="inlineStr">
        <is>
          <t>HALLANDS LÄN</t>
        </is>
      </c>
      <c r="E937" t="inlineStr">
        <is>
          <t>FALKENBERG</t>
        </is>
      </c>
      <c r="G937" t="n">
        <v>0.8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20180-2020</t>
        </is>
      </c>
      <c r="B938" s="1" t="n">
        <v>43944</v>
      </c>
      <c r="C938" s="1" t="n">
        <v>45358</v>
      </c>
      <c r="D938" t="inlineStr">
        <is>
          <t>HALLANDS LÄN</t>
        </is>
      </c>
      <c r="E938" t="inlineStr">
        <is>
          <t>FALKENBERG</t>
        </is>
      </c>
      <c r="G938" t="n">
        <v>3.5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20183-2020</t>
        </is>
      </c>
      <c r="B939" s="1" t="n">
        <v>43944</v>
      </c>
      <c r="C939" s="1" t="n">
        <v>45358</v>
      </c>
      <c r="D939" t="inlineStr">
        <is>
          <t>HALLANDS LÄN</t>
        </is>
      </c>
      <c r="E939" t="inlineStr">
        <is>
          <t>FALKENBERG</t>
        </is>
      </c>
      <c r="G939" t="n">
        <v>2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20208-2020</t>
        </is>
      </c>
      <c r="B940" s="1" t="n">
        <v>43944</v>
      </c>
      <c r="C940" s="1" t="n">
        <v>45358</v>
      </c>
      <c r="D940" t="inlineStr">
        <is>
          <t>HALLANDS LÄN</t>
        </is>
      </c>
      <c r="E940" t="inlineStr">
        <is>
          <t>HALMSTAD</t>
        </is>
      </c>
      <c r="G940" t="n">
        <v>2.4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20297-2020</t>
        </is>
      </c>
      <c r="B941" s="1" t="n">
        <v>43944</v>
      </c>
      <c r="C941" s="1" t="n">
        <v>45358</v>
      </c>
      <c r="D941" t="inlineStr">
        <is>
          <t>HALLANDS LÄN</t>
        </is>
      </c>
      <c r="E941" t="inlineStr">
        <is>
          <t>HALMSTAD</t>
        </is>
      </c>
      <c r="G941" t="n">
        <v>2.2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20281-2020</t>
        </is>
      </c>
      <c r="B942" s="1" t="n">
        <v>43945</v>
      </c>
      <c r="C942" s="1" t="n">
        <v>45358</v>
      </c>
      <c r="D942" t="inlineStr">
        <is>
          <t>HALLANDS LÄN</t>
        </is>
      </c>
      <c r="E942" t="inlineStr">
        <is>
          <t>FALKENBERG</t>
        </is>
      </c>
      <c r="G942" t="n">
        <v>2.8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20457-2020</t>
        </is>
      </c>
      <c r="B943" s="1" t="n">
        <v>43948</v>
      </c>
      <c r="C943" s="1" t="n">
        <v>45358</v>
      </c>
      <c r="D943" t="inlineStr">
        <is>
          <t>HALLANDS LÄN</t>
        </is>
      </c>
      <c r="E943" t="inlineStr">
        <is>
          <t>HALMSTAD</t>
        </is>
      </c>
      <c r="G943" t="n">
        <v>3.7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20589-2020</t>
        </is>
      </c>
      <c r="B944" s="1" t="n">
        <v>43948</v>
      </c>
      <c r="C944" s="1" t="n">
        <v>45358</v>
      </c>
      <c r="D944" t="inlineStr">
        <is>
          <t>HALLANDS LÄN</t>
        </is>
      </c>
      <c r="E944" t="inlineStr">
        <is>
          <t>VARBERG</t>
        </is>
      </c>
      <c r="G944" t="n">
        <v>0.6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20588-2020</t>
        </is>
      </c>
      <c r="B945" s="1" t="n">
        <v>43948</v>
      </c>
      <c r="C945" s="1" t="n">
        <v>45358</v>
      </c>
      <c r="D945" t="inlineStr">
        <is>
          <t>HALLANDS LÄN</t>
        </is>
      </c>
      <c r="E945" t="inlineStr">
        <is>
          <t>VARBERG</t>
        </is>
      </c>
      <c r="G945" t="n">
        <v>1.3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20717-2020</t>
        </is>
      </c>
      <c r="B946" s="1" t="n">
        <v>43949</v>
      </c>
      <c r="C946" s="1" t="n">
        <v>45358</v>
      </c>
      <c r="D946" t="inlineStr">
        <is>
          <t>HALLANDS LÄN</t>
        </is>
      </c>
      <c r="E946" t="inlineStr">
        <is>
          <t>HYLTE</t>
        </is>
      </c>
      <c r="G946" t="n">
        <v>1.3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20637-2020</t>
        </is>
      </c>
      <c r="B947" s="1" t="n">
        <v>43949</v>
      </c>
      <c r="C947" s="1" t="n">
        <v>45358</v>
      </c>
      <c r="D947" t="inlineStr">
        <is>
          <t>HALLANDS LÄN</t>
        </is>
      </c>
      <c r="E947" t="inlineStr">
        <is>
          <t>HALMSTAD</t>
        </is>
      </c>
      <c r="G947" t="n">
        <v>0.9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20777-2020</t>
        </is>
      </c>
      <c r="B948" s="1" t="n">
        <v>43949</v>
      </c>
      <c r="C948" s="1" t="n">
        <v>45358</v>
      </c>
      <c r="D948" t="inlineStr">
        <is>
          <t>HALLANDS LÄN</t>
        </is>
      </c>
      <c r="E948" t="inlineStr">
        <is>
          <t>VARBERG</t>
        </is>
      </c>
      <c r="G948" t="n">
        <v>0.5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20828-2020</t>
        </is>
      </c>
      <c r="B949" s="1" t="n">
        <v>43949</v>
      </c>
      <c r="C949" s="1" t="n">
        <v>45358</v>
      </c>
      <c r="D949" t="inlineStr">
        <is>
          <t>HALLANDS LÄN</t>
        </is>
      </c>
      <c r="E949" t="inlineStr">
        <is>
          <t>HALMSTAD</t>
        </is>
      </c>
      <c r="G949" t="n">
        <v>1.5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20896-2020</t>
        </is>
      </c>
      <c r="B950" s="1" t="n">
        <v>43950</v>
      </c>
      <c r="C950" s="1" t="n">
        <v>45358</v>
      </c>
      <c r="D950" t="inlineStr">
        <is>
          <t>HALLANDS LÄN</t>
        </is>
      </c>
      <c r="E950" t="inlineStr">
        <is>
          <t>HALMSTAD</t>
        </is>
      </c>
      <c r="G950" t="n">
        <v>2.7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21365-2020</t>
        </is>
      </c>
      <c r="B951" s="1" t="n">
        <v>43950</v>
      </c>
      <c r="C951" s="1" t="n">
        <v>45358</v>
      </c>
      <c r="D951" t="inlineStr">
        <is>
          <t>HALLANDS LÄN</t>
        </is>
      </c>
      <c r="E951" t="inlineStr">
        <is>
          <t>LAHOLM</t>
        </is>
      </c>
      <c r="G951" t="n">
        <v>0.7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21190-2020</t>
        </is>
      </c>
      <c r="B952" s="1" t="n">
        <v>43951</v>
      </c>
      <c r="C952" s="1" t="n">
        <v>45358</v>
      </c>
      <c r="D952" t="inlineStr">
        <is>
          <t>HALLANDS LÄN</t>
        </is>
      </c>
      <c r="E952" t="inlineStr">
        <is>
          <t>LAHOLM</t>
        </is>
      </c>
      <c r="G952" t="n">
        <v>5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21831-2020</t>
        </is>
      </c>
      <c r="B953" s="1" t="n">
        <v>43955</v>
      </c>
      <c r="C953" s="1" t="n">
        <v>45358</v>
      </c>
      <c r="D953" t="inlineStr">
        <is>
          <t>HALLANDS LÄN</t>
        </is>
      </c>
      <c r="E953" t="inlineStr">
        <is>
          <t>FALKENBERG</t>
        </is>
      </c>
      <c r="F953" t="inlineStr">
        <is>
          <t>Kyrkan</t>
        </is>
      </c>
      <c r="G953" t="n">
        <v>1.2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21813-2020</t>
        </is>
      </c>
      <c r="B954" s="1" t="n">
        <v>43955</v>
      </c>
      <c r="C954" s="1" t="n">
        <v>45358</v>
      </c>
      <c r="D954" t="inlineStr">
        <is>
          <t>HALLANDS LÄN</t>
        </is>
      </c>
      <c r="E954" t="inlineStr">
        <is>
          <t>FALKENBERG</t>
        </is>
      </c>
      <c r="F954" t="inlineStr">
        <is>
          <t>Kyrkan</t>
        </is>
      </c>
      <c r="G954" t="n">
        <v>2.2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21441-2020</t>
        </is>
      </c>
      <c r="B955" s="1" t="n">
        <v>43956</v>
      </c>
      <c r="C955" s="1" t="n">
        <v>45358</v>
      </c>
      <c r="D955" t="inlineStr">
        <is>
          <t>HALLANDS LÄN</t>
        </is>
      </c>
      <c r="E955" t="inlineStr">
        <is>
          <t>LAHOLM</t>
        </is>
      </c>
      <c r="G955" t="n">
        <v>1.4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21668-2020</t>
        </is>
      </c>
      <c r="B956" s="1" t="n">
        <v>43957</v>
      </c>
      <c r="C956" s="1" t="n">
        <v>45358</v>
      </c>
      <c r="D956" t="inlineStr">
        <is>
          <t>HALLANDS LÄN</t>
        </is>
      </c>
      <c r="E956" t="inlineStr">
        <is>
          <t>HYLTE</t>
        </is>
      </c>
      <c r="G956" t="n">
        <v>1.3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21665-2020</t>
        </is>
      </c>
      <c r="B957" s="1" t="n">
        <v>43957</v>
      </c>
      <c r="C957" s="1" t="n">
        <v>45358</v>
      </c>
      <c r="D957" t="inlineStr">
        <is>
          <t>HALLANDS LÄN</t>
        </is>
      </c>
      <c r="E957" t="inlineStr">
        <is>
          <t>HYLTE</t>
        </is>
      </c>
      <c r="G957" t="n">
        <v>0.7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21678-2020</t>
        </is>
      </c>
      <c r="B958" s="1" t="n">
        <v>43957</v>
      </c>
      <c r="C958" s="1" t="n">
        <v>45358</v>
      </c>
      <c r="D958" t="inlineStr">
        <is>
          <t>HALLANDS LÄN</t>
        </is>
      </c>
      <c r="E958" t="inlineStr">
        <is>
          <t>KUNGSBACKA</t>
        </is>
      </c>
      <c r="G958" t="n">
        <v>1.3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22073-2020</t>
        </is>
      </c>
      <c r="B959" s="1" t="n">
        <v>43959</v>
      </c>
      <c r="C959" s="1" t="n">
        <v>45358</v>
      </c>
      <c r="D959" t="inlineStr">
        <is>
          <t>HALLANDS LÄN</t>
        </is>
      </c>
      <c r="E959" t="inlineStr">
        <is>
          <t>LAHOLM</t>
        </is>
      </c>
      <c r="G959" t="n">
        <v>0.5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22014-2020</t>
        </is>
      </c>
      <c r="B960" s="1" t="n">
        <v>43959</v>
      </c>
      <c r="C960" s="1" t="n">
        <v>45358</v>
      </c>
      <c r="D960" t="inlineStr">
        <is>
          <t>HALLANDS LÄN</t>
        </is>
      </c>
      <c r="E960" t="inlineStr">
        <is>
          <t>KUNGSBACKA</t>
        </is>
      </c>
      <c r="G960" t="n">
        <v>0.7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22813-2020</t>
        </is>
      </c>
      <c r="B961" s="1" t="n">
        <v>43963</v>
      </c>
      <c r="C961" s="1" t="n">
        <v>45358</v>
      </c>
      <c r="D961" t="inlineStr">
        <is>
          <t>HALLANDS LÄN</t>
        </is>
      </c>
      <c r="E961" t="inlineStr">
        <is>
          <t>LAHOLM</t>
        </is>
      </c>
      <c r="G961" t="n">
        <v>1.7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22639-2020</t>
        </is>
      </c>
      <c r="B962" s="1" t="n">
        <v>43963</v>
      </c>
      <c r="C962" s="1" t="n">
        <v>45358</v>
      </c>
      <c r="D962" t="inlineStr">
        <is>
          <t>HALLANDS LÄN</t>
        </is>
      </c>
      <c r="E962" t="inlineStr">
        <is>
          <t>HYLTE</t>
        </is>
      </c>
      <c r="G962" t="n">
        <v>1.7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22801-2020</t>
        </is>
      </c>
      <c r="B963" s="1" t="n">
        <v>43964</v>
      </c>
      <c r="C963" s="1" t="n">
        <v>45358</v>
      </c>
      <c r="D963" t="inlineStr">
        <is>
          <t>HALLANDS LÄN</t>
        </is>
      </c>
      <c r="E963" t="inlineStr">
        <is>
          <t>VARBERG</t>
        </is>
      </c>
      <c r="G963" t="n">
        <v>1.9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22764-2020</t>
        </is>
      </c>
      <c r="B964" s="1" t="n">
        <v>43964</v>
      </c>
      <c r="C964" s="1" t="n">
        <v>45358</v>
      </c>
      <c r="D964" t="inlineStr">
        <is>
          <t>HALLANDS LÄN</t>
        </is>
      </c>
      <c r="E964" t="inlineStr">
        <is>
          <t>VARBERG</t>
        </is>
      </c>
      <c r="G964" t="n">
        <v>5.7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23003-2020</t>
        </is>
      </c>
      <c r="B965" s="1" t="n">
        <v>43965</v>
      </c>
      <c r="C965" s="1" t="n">
        <v>45358</v>
      </c>
      <c r="D965" t="inlineStr">
        <is>
          <t>HALLANDS LÄN</t>
        </is>
      </c>
      <c r="E965" t="inlineStr">
        <is>
          <t>VARBERG</t>
        </is>
      </c>
      <c r="G965" t="n">
        <v>1.9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23091-2020</t>
        </is>
      </c>
      <c r="B966" s="1" t="n">
        <v>43965</v>
      </c>
      <c r="C966" s="1" t="n">
        <v>45358</v>
      </c>
      <c r="D966" t="inlineStr">
        <is>
          <t>HALLANDS LÄN</t>
        </is>
      </c>
      <c r="E966" t="inlineStr">
        <is>
          <t>LAHOLM</t>
        </is>
      </c>
      <c r="G966" t="n">
        <v>2.5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23017-2020</t>
        </is>
      </c>
      <c r="B967" s="1" t="n">
        <v>43965</v>
      </c>
      <c r="C967" s="1" t="n">
        <v>45358</v>
      </c>
      <c r="D967" t="inlineStr">
        <is>
          <t>HALLANDS LÄN</t>
        </is>
      </c>
      <c r="E967" t="inlineStr">
        <is>
          <t>LAHOLM</t>
        </is>
      </c>
      <c r="G967" t="n">
        <v>1.2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23189-2020</t>
        </is>
      </c>
      <c r="B968" s="1" t="n">
        <v>43966</v>
      </c>
      <c r="C968" s="1" t="n">
        <v>45358</v>
      </c>
      <c r="D968" t="inlineStr">
        <is>
          <t>HALLANDS LÄN</t>
        </is>
      </c>
      <c r="E968" t="inlineStr">
        <is>
          <t>HYLTE</t>
        </is>
      </c>
      <c r="G968" t="n">
        <v>2.2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23226-2020</t>
        </is>
      </c>
      <c r="B969" s="1" t="n">
        <v>43966</v>
      </c>
      <c r="C969" s="1" t="n">
        <v>45358</v>
      </c>
      <c r="D969" t="inlineStr">
        <is>
          <t>HALLANDS LÄN</t>
        </is>
      </c>
      <c r="E969" t="inlineStr">
        <is>
          <t>KUNGSBACKA</t>
        </is>
      </c>
      <c r="G969" t="n">
        <v>10.1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23488-2020</t>
        </is>
      </c>
      <c r="B970" s="1" t="n">
        <v>43969</v>
      </c>
      <c r="C970" s="1" t="n">
        <v>45358</v>
      </c>
      <c r="D970" t="inlineStr">
        <is>
          <t>HALLANDS LÄN</t>
        </is>
      </c>
      <c r="E970" t="inlineStr">
        <is>
          <t>HYLTE</t>
        </is>
      </c>
      <c r="G970" t="n">
        <v>1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23846-2020</t>
        </is>
      </c>
      <c r="B971" s="1" t="n">
        <v>43971</v>
      </c>
      <c r="C971" s="1" t="n">
        <v>45358</v>
      </c>
      <c r="D971" t="inlineStr">
        <is>
          <t>HALLANDS LÄN</t>
        </is>
      </c>
      <c r="E971" t="inlineStr">
        <is>
          <t>LAHOLM</t>
        </is>
      </c>
      <c r="G971" t="n">
        <v>2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23852-2020</t>
        </is>
      </c>
      <c r="B972" s="1" t="n">
        <v>43971</v>
      </c>
      <c r="C972" s="1" t="n">
        <v>45358</v>
      </c>
      <c r="D972" t="inlineStr">
        <is>
          <t>HALLANDS LÄN</t>
        </is>
      </c>
      <c r="E972" t="inlineStr">
        <is>
          <t>VARBERG</t>
        </is>
      </c>
      <c r="G972" t="n">
        <v>1.2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24545-2020</t>
        </is>
      </c>
      <c r="B973" s="1" t="n">
        <v>43977</v>
      </c>
      <c r="C973" s="1" t="n">
        <v>45358</v>
      </c>
      <c r="D973" t="inlineStr">
        <is>
          <t>HALLANDS LÄN</t>
        </is>
      </c>
      <c r="E973" t="inlineStr">
        <is>
          <t>HALMSTAD</t>
        </is>
      </c>
      <c r="G973" t="n">
        <v>0.6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24544-2020</t>
        </is>
      </c>
      <c r="B974" s="1" t="n">
        <v>43977</v>
      </c>
      <c r="C974" s="1" t="n">
        <v>45358</v>
      </c>
      <c r="D974" t="inlineStr">
        <is>
          <t>HALLANDS LÄN</t>
        </is>
      </c>
      <c r="E974" t="inlineStr">
        <is>
          <t>HALMSTAD</t>
        </is>
      </c>
      <c r="G974" t="n">
        <v>0.8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24631-2020</t>
        </is>
      </c>
      <c r="B975" s="1" t="n">
        <v>43977</v>
      </c>
      <c r="C975" s="1" t="n">
        <v>45358</v>
      </c>
      <c r="D975" t="inlineStr">
        <is>
          <t>HALLANDS LÄN</t>
        </is>
      </c>
      <c r="E975" t="inlineStr">
        <is>
          <t>KUNGSBACKA</t>
        </is>
      </c>
      <c r="G975" t="n">
        <v>2.7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24634-2020</t>
        </is>
      </c>
      <c r="B976" s="1" t="n">
        <v>43977</v>
      </c>
      <c r="C976" s="1" t="n">
        <v>45358</v>
      </c>
      <c r="D976" t="inlineStr">
        <is>
          <t>HALLANDS LÄN</t>
        </is>
      </c>
      <c r="E976" t="inlineStr">
        <is>
          <t>KUNGSBACKA</t>
        </is>
      </c>
      <c r="G976" t="n">
        <v>3.3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24745-2020</t>
        </is>
      </c>
      <c r="B977" s="1" t="n">
        <v>43978</v>
      </c>
      <c r="C977" s="1" t="n">
        <v>45358</v>
      </c>
      <c r="D977" t="inlineStr">
        <is>
          <t>HALLANDS LÄN</t>
        </is>
      </c>
      <c r="E977" t="inlineStr">
        <is>
          <t>FALKENBERG</t>
        </is>
      </c>
      <c r="G977" t="n">
        <v>2.9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24848-2020</t>
        </is>
      </c>
      <c r="B978" s="1" t="n">
        <v>43978</v>
      </c>
      <c r="C978" s="1" t="n">
        <v>45358</v>
      </c>
      <c r="D978" t="inlineStr">
        <is>
          <t>HALLANDS LÄN</t>
        </is>
      </c>
      <c r="E978" t="inlineStr">
        <is>
          <t>HALMSTAD</t>
        </is>
      </c>
      <c r="G978" t="n">
        <v>6.3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25077-2020</t>
        </is>
      </c>
      <c r="B979" s="1" t="n">
        <v>43978</v>
      </c>
      <c r="C979" s="1" t="n">
        <v>45358</v>
      </c>
      <c r="D979" t="inlineStr">
        <is>
          <t>HALLANDS LÄN</t>
        </is>
      </c>
      <c r="E979" t="inlineStr">
        <is>
          <t>FALKENBERG</t>
        </is>
      </c>
      <c r="G979" t="n">
        <v>0.8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24686-2020</t>
        </is>
      </c>
      <c r="B980" s="1" t="n">
        <v>43978</v>
      </c>
      <c r="C980" s="1" t="n">
        <v>45358</v>
      </c>
      <c r="D980" t="inlineStr">
        <is>
          <t>HALLANDS LÄN</t>
        </is>
      </c>
      <c r="E980" t="inlineStr">
        <is>
          <t>HALMSTAD</t>
        </is>
      </c>
      <c r="G980" t="n">
        <v>0.2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24717-2020</t>
        </is>
      </c>
      <c r="B981" s="1" t="n">
        <v>43978</v>
      </c>
      <c r="C981" s="1" t="n">
        <v>45358</v>
      </c>
      <c r="D981" t="inlineStr">
        <is>
          <t>HALLANDS LÄN</t>
        </is>
      </c>
      <c r="E981" t="inlineStr">
        <is>
          <t>FALKENBERG</t>
        </is>
      </c>
      <c r="G981" t="n">
        <v>5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25083-2020</t>
        </is>
      </c>
      <c r="B982" s="1" t="n">
        <v>43979</v>
      </c>
      <c r="C982" s="1" t="n">
        <v>45358</v>
      </c>
      <c r="D982" t="inlineStr">
        <is>
          <t>HALLANDS LÄN</t>
        </is>
      </c>
      <c r="E982" t="inlineStr">
        <is>
          <t>VARBERG</t>
        </is>
      </c>
      <c r="G982" t="n">
        <v>1.2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25371-2020</t>
        </is>
      </c>
      <c r="B983" s="1" t="n">
        <v>43980</v>
      </c>
      <c r="C983" s="1" t="n">
        <v>45358</v>
      </c>
      <c r="D983" t="inlineStr">
        <is>
          <t>HALLANDS LÄN</t>
        </is>
      </c>
      <c r="E983" t="inlineStr">
        <is>
          <t>VARBERG</t>
        </is>
      </c>
      <c r="G983" t="n">
        <v>1.2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25278-2020</t>
        </is>
      </c>
      <c r="B984" s="1" t="n">
        <v>43980</v>
      </c>
      <c r="C984" s="1" t="n">
        <v>45358</v>
      </c>
      <c r="D984" t="inlineStr">
        <is>
          <t>HALLANDS LÄN</t>
        </is>
      </c>
      <c r="E984" t="inlineStr">
        <is>
          <t>FALKENBERG</t>
        </is>
      </c>
      <c r="G984" t="n">
        <v>0.5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25636-2020</t>
        </is>
      </c>
      <c r="B985" s="1" t="n">
        <v>43983</v>
      </c>
      <c r="C985" s="1" t="n">
        <v>45358</v>
      </c>
      <c r="D985" t="inlineStr">
        <is>
          <t>HALLANDS LÄN</t>
        </is>
      </c>
      <c r="E985" t="inlineStr">
        <is>
          <t>HYLTE</t>
        </is>
      </c>
      <c r="G985" t="n">
        <v>1.4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25626-2020</t>
        </is>
      </c>
      <c r="B986" s="1" t="n">
        <v>43983</v>
      </c>
      <c r="C986" s="1" t="n">
        <v>45358</v>
      </c>
      <c r="D986" t="inlineStr">
        <is>
          <t>HALLANDS LÄN</t>
        </is>
      </c>
      <c r="E986" t="inlineStr">
        <is>
          <t>HYLTE</t>
        </is>
      </c>
      <c r="G986" t="n">
        <v>0.9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25637-2020</t>
        </is>
      </c>
      <c r="B987" s="1" t="n">
        <v>43983</v>
      </c>
      <c r="C987" s="1" t="n">
        <v>45358</v>
      </c>
      <c r="D987" t="inlineStr">
        <is>
          <t>HALLANDS LÄN</t>
        </is>
      </c>
      <c r="E987" t="inlineStr">
        <is>
          <t>HYLTE</t>
        </is>
      </c>
      <c r="G987" t="n">
        <v>1.8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25638-2020</t>
        </is>
      </c>
      <c r="B988" s="1" t="n">
        <v>43983</v>
      </c>
      <c r="C988" s="1" t="n">
        <v>45358</v>
      </c>
      <c r="D988" t="inlineStr">
        <is>
          <t>HALLANDS LÄN</t>
        </is>
      </c>
      <c r="E988" t="inlineStr">
        <is>
          <t>HYLTE</t>
        </is>
      </c>
      <c r="G988" t="n">
        <v>1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25960-2020</t>
        </is>
      </c>
      <c r="B989" s="1" t="n">
        <v>43985</v>
      </c>
      <c r="C989" s="1" t="n">
        <v>45358</v>
      </c>
      <c r="D989" t="inlineStr">
        <is>
          <t>HALLANDS LÄN</t>
        </is>
      </c>
      <c r="E989" t="inlineStr">
        <is>
          <t>KUNGSBACKA</t>
        </is>
      </c>
      <c r="G989" t="n">
        <v>2.2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26042-2020</t>
        </is>
      </c>
      <c r="B990" s="1" t="n">
        <v>43985</v>
      </c>
      <c r="C990" s="1" t="n">
        <v>45358</v>
      </c>
      <c r="D990" t="inlineStr">
        <is>
          <t>HALLANDS LÄN</t>
        </is>
      </c>
      <c r="E990" t="inlineStr">
        <is>
          <t>LAHOLM</t>
        </is>
      </c>
      <c r="G990" t="n">
        <v>0.5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26231-2020</t>
        </is>
      </c>
      <c r="B991" s="1" t="n">
        <v>43986</v>
      </c>
      <c r="C991" s="1" t="n">
        <v>45358</v>
      </c>
      <c r="D991" t="inlineStr">
        <is>
          <t>HALLANDS LÄN</t>
        </is>
      </c>
      <c r="E991" t="inlineStr">
        <is>
          <t>FALKENBERG</t>
        </is>
      </c>
      <c r="G991" t="n">
        <v>2.6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26294-2020</t>
        </is>
      </c>
      <c r="B992" s="1" t="n">
        <v>43986</v>
      </c>
      <c r="C992" s="1" t="n">
        <v>45358</v>
      </c>
      <c r="D992" t="inlineStr">
        <is>
          <t>HALLANDS LÄN</t>
        </is>
      </c>
      <c r="E992" t="inlineStr">
        <is>
          <t>HALMSTAD</t>
        </is>
      </c>
      <c r="G992" t="n">
        <v>0.7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26692-2020</t>
        </is>
      </c>
      <c r="B993" s="1" t="n">
        <v>43990</v>
      </c>
      <c r="C993" s="1" t="n">
        <v>45358</v>
      </c>
      <c r="D993" t="inlineStr">
        <is>
          <t>HALLANDS LÄN</t>
        </is>
      </c>
      <c r="E993" t="inlineStr">
        <is>
          <t>VARBERG</t>
        </is>
      </c>
      <c r="G993" t="n">
        <v>1.3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26960-2020</t>
        </is>
      </c>
      <c r="B994" s="1" t="n">
        <v>43990</v>
      </c>
      <c r="C994" s="1" t="n">
        <v>45358</v>
      </c>
      <c r="D994" t="inlineStr">
        <is>
          <t>HALLANDS LÄN</t>
        </is>
      </c>
      <c r="E994" t="inlineStr">
        <is>
          <t>LAHOLM</t>
        </is>
      </c>
      <c r="G994" t="n">
        <v>1.9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27024-2020</t>
        </is>
      </c>
      <c r="B995" s="1" t="n">
        <v>43991</v>
      </c>
      <c r="C995" s="1" t="n">
        <v>45358</v>
      </c>
      <c r="D995" t="inlineStr">
        <is>
          <t>HALLANDS LÄN</t>
        </is>
      </c>
      <c r="E995" t="inlineStr">
        <is>
          <t>HALMSTAD</t>
        </is>
      </c>
      <c r="G995" t="n">
        <v>3.3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27021-2020</t>
        </is>
      </c>
      <c r="B996" s="1" t="n">
        <v>43991</v>
      </c>
      <c r="C996" s="1" t="n">
        <v>45358</v>
      </c>
      <c r="D996" t="inlineStr">
        <is>
          <t>HALLANDS LÄN</t>
        </is>
      </c>
      <c r="E996" t="inlineStr">
        <is>
          <t>HALMSTAD</t>
        </is>
      </c>
      <c r="G996" t="n">
        <v>3.3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27386-2020</t>
        </is>
      </c>
      <c r="B997" s="1" t="n">
        <v>43992</v>
      </c>
      <c r="C997" s="1" t="n">
        <v>45358</v>
      </c>
      <c r="D997" t="inlineStr">
        <is>
          <t>HALLANDS LÄN</t>
        </is>
      </c>
      <c r="E997" t="inlineStr">
        <is>
          <t>VARBERG</t>
        </is>
      </c>
      <c r="G997" t="n">
        <v>4.2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27795-2020</t>
        </is>
      </c>
      <c r="B998" s="1" t="n">
        <v>43994</v>
      </c>
      <c r="C998" s="1" t="n">
        <v>45358</v>
      </c>
      <c r="D998" t="inlineStr">
        <is>
          <t>HALLANDS LÄN</t>
        </is>
      </c>
      <c r="E998" t="inlineStr">
        <is>
          <t>HALMSTAD</t>
        </is>
      </c>
      <c r="G998" t="n">
        <v>0.5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28111-2020</t>
        </is>
      </c>
      <c r="B999" s="1" t="n">
        <v>43994</v>
      </c>
      <c r="C999" s="1" t="n">
        <v>45358</v>
      </c>
      <c r="D999" t="inlineStr">
        <is>
          <t>HALLANDS LÄN</t>
        </is>
      </c>
      <c r="E999" t="inlineStr">
        <is>
          <t>KUNGSBACKA</t>
        </is>
      </c>
      <c r="G999" t="n">
        <v>5.8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28651-2020</t>
        </is>
      </c>
      <c r="B1000" s="1" t="n">
        <v>43999</v>
      </c>
      <c r="C1000" s="1" t="n">
        <v>45358</v>
      </c>
      <c r="D1000" t="inlineStr">
        <is>
          <t>HALLANDS LÄN</t>
        </is>
      </c>
      <c r="E1000" t="inlineStr">
        <is>
          <t>HALMSTAD</t>
        </is>
      </c>
      <c r="F1000" t="inlineStr">
        <is>
          <t>Bergvik skog väst AB</t>
        </is>
      </c>
      <c r="G1000" t="n">
        <v>1.7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28657-2020</t>
        </is>
      </c>
      <c r="B1001" s="1" t="n">
        <v>43999</v>
      </c>
      <c r="C1001" s="1" t="n">
        <v>45358</v>
      </c>
      <c r="D1001" t="inlineStr">
        <is>
          <t>HALLANDS LÄN</t>
        </is>
      </c>
      <c r="E1001" t="inlineStr">
        <is>
          <t>HALMSTAD</t>
        </is>
      </c>
      <c r="F1001" t="inlineStr">
        <is>
          <t>Bergvik skog väst AB</t>
        </is>
      </c>
      <c r="G1001" t="n">
        <v>1.3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28639-2020</t>
        </is>
      </c>
      <c r="B1002" s="1" t="n">
        <v>43999</v>
      </c>
      <c r="C1002" s="1" t="n">
        <v>45358</v>
      </c>
      <c r="D1002" t="inlineStr">
        <is>
          <t>HALLANDS LÄN</t>
        </is>
      </c>
      <c r="E1002" t="inlineStr">
        <is>
          <t>HALMSTAD</t>
        </is>
      </c>
      <c r="F1002" t="inlineStr">
        <is>
          <t>Bergvik skog väst AB</t>
        </is>
      </c>
      <c r="G1002" t="n">
        <v>1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28847-2020</t>
        </is>
      </c>
      <c r="B1003" s="1" t="n">
        <v>44000</v>
      </c>
      <c r="C1003" s="1" t="n">
        <v>45358</v>
      </c>
      <c r="D1003" t="inlineStr">
        <is>
          <t>HALLANDS LÄN</t>
        </is>
      </c>
      <c r="E1003" t="inlineStr">
        <is>
          <t>HALMSTAD</t>
        </is>
      </c>
      <c r="G1003" t="n">
        <v>1.6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28841-2020</t>
        </is>
      </c>
      <c r="B1004" s="1" t="n">
        <v>44000</v>
      </c>
      <c r="C1004" s="1" t="n">
        <v>45358</v>
      </c>
      <c r="D1004" t="inlineStr">
        <is>
          <t>HALLANDS LÄN</t>
        </is>
      </c>
      <c r="E1004" t="inlineStr">
        <is>
          <t>HALMSTAD</t>
        </is>
      </c>
      <c r="G1004" t="n">
        <v>2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28822-2020</t>
        </is>
      </c>
      <c r="B1005" s="1" t="n">
        <v>44000</v>
      </c>
      <c r="C1005" s="1" t="n">
        <v>45358</v>
      </c>
      <c r="D1005" t="inlineStr">
        <is>
          <t>HALLANDS LÄN</t>
        </is>
      </c>
      <c r="E1005" t="inlineStr">
        <is>
          <t>HYLTE</t>
        </is>
      </c>
      <c r="G1005" t="n">
        <v>3.2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29265-2020</t>
        </is>
      </c>
      <c r="B1006" s="1" t="n">
        <v>44004</v>
      </c>
      <c r="C1006" s="1" t="n">
        <v>45358</v>
      </c>
      <c r="D1006" t="inlineStr">
        <is>
          <t>HALLANDS LÄN</t>
        </is>
      </c>
      <c r="E1006" t="inlineStr">
        <is>
          <t>HALMSTAD</t>
        </is>
      </c>
      <c r="G1006" t="n">
        <v>1.3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29535-2020</t>
        </is>
      </c>
      <c r="B1007" s="1" t="n">
        <v>44005</v>
      </c>
      <c r="C1007" s="1" t="n">
        <v>45358</v>
      </c>
      <c r="D1007" t="inlineStr">
        <is>
          <t>HALLANDS LÄN</t>
        </is>
      </c>
      <c r="E1007" t="inlineStr">
        <is>
          <t>HALMSTAD</t>
        </is>
      </c>
      <c r="F1007" t="inlineStr">
        <is>
          <t>Kommuner</t>
        </is>
      </c>
      <c r="G1007" t="n">
        <v>1.5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29553-2020</t>
        </is>
      </c>
      <c r="B1008" s="1" t="n">
        <v>44005</v>
      </c>
      <c r="C1008" s="1" t="n">
        <v>45358</v>
      </c>
      <c r="D1008" t="inlineStr">
        <is>
          <t>HALLANDS LÄN</t>
        </is>
      </c>
      <c r="E1008" t="inlineStr">
        <is>
          <t>FALKENBERG</t>
        </is>
      </c>
      <c r="G1008" t="n">
        <v>7.3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29619-2020</t>
        </is>
      </c>
      <c r="B1009" s="1" t="n">
        <v>44005</v>
      </c>
      <c r="C1009" s="1" t="n">
        <v>45358</v>
      </c>
      <c r="D1009" t="inlineStr">
        <is>
          <t>HALLANDS LÄN</t>
        </is>
      </c>
      <c r="E1009" t="inlineStr">
        <is>
          <t>LAHOLM</t>
        </is>
      </c>
      <c r="G1009" t="n">
        <v>2.2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29629-2020</t>
        </is>
      </c>
      <c r="B1010" s="1" t="n">
        <v>44005</v>
      </c>
      <c r="C1010" s="1" t="n">
        <v>45358</v>
      </c>
      <c r="D1010" t="inlineStr">
        <is>
          <t>HALLANDS LÄN</t>
        </is>
      </c>
      <c r="E1010" t="inlineStr">
        <is>
          <t>KUNGSBACKA</t>
        </is>
      </c>
      <c r="G1010" t="n">
        <v>0.5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30440-2020</t>
        </is>
      </c>
      <c r="B1011" s="1" t="n">
        <v>44007</v>
      </c>
      <c r="C1011" s="1" t="n">
        <v>45358</v>
      </c>
      <c r="D1011" t="inlineStr">
        <is>
          <t>HALLANDS LÄN</t>
        </is>
      </c>
      <c r="E1011" t="inlineStr">
        <is>
          <t>LAHOLM</t>
        </is>
      </c>
      <c r="G1011" t="n">
        <v>0.4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30416-2020</t>
        </is>
      </c>
      <c r="B1012" s="1" t="n">
        <v>44007</v>
      </c>
      <c r="C1012" s="1" t="n">
        <v>45358</v>
      </c>
      <c r="D1012" t="inlineStr">
        <is>
          <t>HALLANDS LÄN</t>
        </is>
      </c>
      <c r="E1012" t="inlineStr">
        <is>
          <t>HYLTE</t>
        </is>
      </c>
      <c r="G1012" t="n">
        <v>0.4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30539-2020</t>
        </is>
      </c>
      <c r="B1013" s="1" t="n">
        <v>44008</v>
      </c>
      <c r="C1013" s="1" t="n">
        <v>45358</v>
      </c>
      <c r="D1013" t="inlineStr">
        <is>
          <t>HALLANDS LÄN</t>
        </is>
      </c>
      <c r="E1013" t="inlineStr">
        <is>
          <t>FALKENBERG</t>
        </is>
      </c>
      <c r="G1013" t="n">
        <v>0.9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30536-2020</t>
        </is>
      </c>
      <c r="B1014" s="1" t="n">
        <v>44008</v>
      </c>
      <c r="C1014" s="1" t="n">
        <v>45358</v>
      </c>
      <c r="D1014" t="inlineStr">
        <is>
          <t>HALLANDS LÄN</t>
        </is>
      </c>
      <c r="E1014" t="inlineStr">
        <is>
          <t>FALKENBERG</t>
        </is>
      </c>
      <c r="G1014" t="n">
        <v>1.3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30693-2020</t>
        </is>
      </c>
      <c r="B1015" s="1" t="n">
        <v>44008</v>
      </c>
      <c r="C1015" s="1" t="n">
        <v>45358</v>
      </c>
      <c r="D1015" t="inlineStr">
        <is>
          <t>HALLANDS LÄN</t>
        </is>
      </c>
      <c r="E1015" t="inlineStr">
        <is>
          <t>HALMSTAD</t>
        </is>
      </c>
      <c r="F1015" t="inlineStr">
        <is>
          <t>Bergvik skog väst AB</t>
        </is>
      </c>
      <c r="G1015" t="n">
        <v>1.5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31104-2020</t>
        </is>
      </c>
      <c r="B1016" s="1" t="n">
        <v>44012</v>
      </c>
      <c r="C1016" s="1" t="n">
        <v>45358</v>
      </c>
      <c r="D1016" t="inlineStr">
        <is>
          <t>HALLANDS LÄN</t>
        </is>
      </c>
      <c r="E1016" t="inlineStr">
        <is>
          <t>KUNGSBACKA</t>
        </is>
      </c>
      <c r="G1016" t="n">
        <v>7.1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31304-2020</t>
        </is>
      </c>
      <c r="B1017" s="1" t="n">
        <v>44012</v>
      </c>
      <c r="C1017" s="1" t="n">
        <v>45358</v>
      </c>
      <c r="D1017" t="inlineStr">
        <is>
          <t>HALLANDS LÄN</t>
        </is>
      </c>
      <c r="E1017" t="inlineStr">
        <is>
          <t>LAHOLM</t>
        </is>
      </c>
      <c r="G1017" t="n">
        <v>1.2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31306-2020</t>
        </is>
      </c>
      <c r="B1018" s="1" t="n">
        <v>44012</v>
      </c>
      <c r="C1018" s="1" t="n">
        <v>45358</v>
      </c>
      <c r="D1018" t="inlineStr">
        <is>
          <t>HALLANDS LÄN</t>
        </is>
      </c>
      <c r="E1018" t="inlineStr">
        <is>
          <t>LAHOLM</t>
        </is>
      </c>
      <c r="G1018" t="n">
        <v>1.3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31672-2020</t>
        </is>
      </c>
      <c r="B1019" s="1" t="n">
        <v>44014</v>
      </c>
      <c r="C1019" s="1" t="n">
        <v>45358</v>
      </c>
      <c r="D1019" t="inlineStr">
        <is>
          <t>HALLANDS LÄN</t>
        </is>
      </c>
      <c r="E1019" t="inlineStr">
        <is>
          <t>LAHOLM</t>
        </is>
      </c>
      <c r="G1019" t="n">
        <v>1.2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32092-2020</t>
        </is>
      </c>
      <c r="B1020" s="1" t="n">
        <v>44015</v>
      </c>
      <c r="C1020" s="1" t="n">
        <v>45358</v>
      </c>
      <c r="D1020" t="inlineStr">
        <is>
          <t>HALLANDS LÄN</t>
        </is>
      </c>
      <c r="E1020" t="inlineStr">
        <is>
          <t>FALKENBERG</t>
        </is>
      </c>
      <c r="G1020" t="n">
        <v>0.5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32083-2020</t>
        </is>
      </c>
      <c r="B1021" s="1" t="n">
        <v>44015</v>
      </c>
      <c r="C1021" s="1" t="n">
        <v>45358</v>
      </c>
      <c r="D1021" t="inlineStr">
        <is>
          <t>HALLANDS LÄN</t>
        </is>
      </c>
      <c r="E1021" t="inlineStr">
        <is>
          <t>VARBERG</t>
        </is>
      </c>
      <c r="G1021" t="n">
        <v>2.2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32086-2020</t>
        </is>
      </c>
      <c r="B1022" s="1" t="n">
        <v>44015</v>
      </c>
      <c r="C1022" s="1" t="n">
        <v>45358</v>
      </c>
      <c r="D1022" t="inlineStr">
        <is>
          <t>HALLANDS LÄN</t>
        </is>
      </c>
      <c r="E1022" t="inlineStr">
        <is>
          <t>VARBERG</t>
        </is>
      </c>
      <c r="G1022" t="n">
        <v>1.4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32557-2020</t>
        </is>
      </c>
      <c r="B1023" s="1" t="n">
        <v>44018</v>
      </c>
      <c r="C1023" s="1" t="n">
        <v>45358</v>
      </c>
      <c r="D1023" t="inlineStr">
        <is>
          <t>HALLANDS LÄN</t>
        </is>
      </c>
      <c r="E1023" t="inlineStr">
        <is>
          <t>VARBERG</t>
        </is>
      </c>
      <c r="G1023" t="n">
        <v>0.3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32446-2020</t>
        </is>
      </c>
      <c r="B1024" s="1" t="n">
        <v>44018</v>
      </c>
      <c r="C1024" s="1" t="n">
        <v>45358</v>
      </c>
      <c r="D1024" t="inlineStr">
        <is>
          <t>HALLANDS LÄN</t>
        </is>
      </c>
      <c r="E1024" t="inlineStr">
        <is>
          <t>FALKENBERG</t>
        </is>
      </c>
      <c r="G1024" t="n">
        <v>0.7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32491-2020</t>
        </is>
      </c>
      <c r="B1025" s="1" t="n">
        <v>44018</v>
      </c>
      <c r="C1025" s="1" t="n">
        <v>45358</v>
      </c>
      <c r="D1025" t="inlineStr">
        <is>
          <t>HALLANDS LÄN</t>
        </is>
      </c>
      <c r="E1025" t="inlineStr">
        <is>
          <t>FALKENBERG</t>
        </is>
      </c>
      <c r="G1025" t="n">
        <v>4.3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32946-2020</t>
        </is>
      </c>
      <c r="B1026" s="1" t="n">
        <v>44019</v>
      </c>
      <c r="C1026" s="1" t="n">
        <v>45358</v>
      </c>
      <c r="D1026" t="inlineStr">
        <is>
          <t>HALLANDS LÄN</t>
        </is>
      </c>
      <c r="E1026" t="inlineStr">
        <is>
          <t>HYLTE</t>
        </is>
      </c>
      <c r="G1026" t="n">
        <v>3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32898-2020</t>
        </is>
      </c>
      <c r="B1027" s="1" t="n">
        <v>44020</v>
      </c>
      <c r="C1027" s="1" t="n">
        <v>45358</v>
      </c>
      <c r="D1027" t="inlineStr">
        <is>
          <t>HALLANDS LÄN</t>
        </is>
      </c>
      <c r="E1027" t="inlineStr">
        <is>
          <t>HYLTE</t>
        </is>
      </c>
      <c r="G1027" t="n">
        <v>0.5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32893-2020</t>
        </is>
      </c>
      <c r="B1028" s="1" t="n">
        <v>44020</v>
      </c>
      <c r="C1028" s="1" t="n">
        <v>45358</v>
      </c>
      <c r="D1028" t="inlineStr">
        <is>
          <t>HALLANDS LÄN</t>
        </is>
      </c>
      <c r="E1028" t="inlineStr">
        <is>
          <t>HYLTE</t>
        </is>
      </c>
      <c r="G1028" t="n">
        <v>0.8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32802-2020</t>
        </is>
      </c>
      <c r="B1029" s="1" t="n">
        <v>44020</v>
      </c>
      <c r="C1029" s="1" t="n">
        <v>45358</v>
      </c>
      <c r="D1029" t="inlineStr">
        <is>
          <t>HALLANDS LÄN</t>
        </is>
      </c>
      <c r="E1029" t="inlineStr">
        <is>
          <t>HYLTE</t>
        </is>
      </c>
      <c r="G1029" t="n">
        <v>1.1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33077-2020</t>
        </is>
      </c>
      <c r="B1030" s="1" t="n">
        <v>44021</v>
      </c>
      <c r="C1030" s="1" t="n">
        <v>45358</v>
      </c>
      <c r="D1030" t="inlineStr">
        <is>
          <t>HALLANDS LÄN</t>
        </is>
      </c>
      <c r="E1030" t="inlineStr">
        <is>
          <t>HYLTE</t>
        </is>
      </c>
      <c r="F1030" t="inlineStr">
        <is>
          <t>Bergvik skog väst AB</t>
        </is>
      </c>
      <c r="G1030" t="n">
        <v>0.5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33527-2020</t>
        </is>
      </c>
      <c r="B1031" s="1" t="n">
        <v>44021</v>
      </c>
      <c r="C1031" s="1" t="n">
        <v>45358</v>
      </c>
      <c r="D1031" t="inlineStr">
        <is>
          <t>HALLANDS LÄN</t>
        </is>
      </c>
      <c r="E1031" t="inlineStr">
        <is>
          <t>HYLTE</t>
        </is>
      </c>
      <c r="G1031" t="n">
        <v>3.4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33266-2020</t>
        </is>
      </c>
      <c r="B1032" s="1" t="n">
        <v>44022</v>
      </c>
      <c r="C1032" s="1" t="n">
        <v>45358</v>
      </c>
      <c r="D1032" t="inlineStr">
        <is>
          <t>HALLANDS LÄN</t>
        </is>
      </c>
      <c r="E1032" t="inlineStr">
        <is>
          <t>HYLTE</t>
        </is>
      </c>
      <c r="G1032" t="n">
        <v>0.8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33238-2020</t>
        </is>
      </c>
      <c r="B1033" s="1" t="n">
        <v>44022</v>
      </c>
      <c r="C1033" s="1" t="n">
        <v>45358</v>
      </c>
      <c r="D1033" t="inlineStr">
        <is>
          <t>HALLANDS LÄN</t>
        </is>
      </c>
      <c r="E1033" t="inlineStr">
        <is>
          <t>LAHOLM</t>
        </is>
      </c>
      <c r="G1033" t="n">
        <v>1.1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33308-2020</t>
        </is>
      </c>
      <c r="B1034" s="1" t="n">
        <v>44022</v>
      </c>
      <c r="C1034" s="1" t="n">
        <v>45358</v>
      </c>
      <c r="D1034" t="inlineStr">
        <is>
          <t>HALLANDS LÄN</t>
        </is>
      </c>
      <c r="E1034" t="inlineStr">
        <is>
          <t>HALMSTAD</t>
        </is>
      </c>
      <c r="G1034" t="n">
        <v>2.3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33403-2020</t>
        </is>
      </c>
      <c r="B1035" s="1" t="n">
        <v>44022</v>
      </c>
      <c r="C1035" s="1" t="n">
        <v>45358</v>
      </c>
      <c r="D1035" t="inlineStr">
        <is>
          <t>HALLANDS LÄN</t>
        </is>
      </c>
      <c r="E1035" t="inlineStr">
        <is>
          <t>HYLTE</t>
        </is>
      </c>
      <c r="G1035" t="n">
        <v>1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33241-2020</t>
        </is>
      </c>
      <c r="B1036" s="1" t="n">
        <v>44022</v>
      </c>
      <c r="C1036" s="1" t="n">
        <v>45358</v>
      </c>
      <c r="D1036" t="inlineStr">
        <is>
          <t>HALLANDS LÄN</t>
        </is>
      </c>
      <c r="E1036" t="inlineStr">
        <is>
          <t>LAHOLM</t>
        </is>
      </c>
      <c r="G1036" t="n">
        <v>4.3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33242-2020</t>
        </is>
      </c>
      <c r="B1037" s="1" t="n">
        <v>44022</v>
      </c>
      <c r="C1037" s="1" t="n">
        <v>45358</v>
      </c>
      <c r="D1037" t="inlineStr">
        <is>
          <t>HALLANDS LÄN</t>
        </is>
      </c>
      <c r="E1037" t="inlineStr">
        <is>
          <t>LAHOLM</t>
        </is>
      </c>
      <c r="G1037" t="n">
        <v>0.9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33599-2020</t>
        </is>
      </c>
      <c r="B1038" s="1" t="n">
        <v>44025</v>
      </c>
      <c r="C1038" s="1" t="n">
        <v>45358</v>
      </c>
      <c r="D1038" t="inlineStr">
        <is>
          <t>HALLANDS LÄN</t>
        </is>
      </c>
      <c r="E1038" t="inlineStr">
        <is>
          <t>VARBERG</t>
        </is>
      </c>
      <c r="G1038" t="n">
        <v>0.5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33528-2020</t>
        </is>
      </c>
      <c r="B1039" s="1" t="n">
        <v>44025</v>
      </c>
      <c r="C1039" s="1" t="n">
        <v>45358</v>
      </c>
      <c r="D1039" t="inlineStr">
        <is>
          <t>HALLANDS LÄN</t>
        </is>
      </c>
      <c r="E1039" t="inlineStr">
        <is>
          <t>KUNGSBACKA</t>
        </is>
      </c>
      <c r="G1039" t="n">
        <v>1.3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33529-2020</t>
        </is>
      </c>
      <c r="B1040" s="1" t="n">
        <v>44025</v>
      </c>
      <c r="C1040" s="1" t="n">
        <v>45358</v>
      </c>
      <c r="D1040" t="inlineStr">
        <is>
          <t>HALLANDS LÄN</t>
        </is>
      </c>
      <c r="E1040" t="inlineStr">
        <is>
          <t>HYLTE</t>
        </is>
      </c>
      <c r="G1040" t="n">
        <v>1.8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33772-2020</t>
        </is>
      </c>
      <c r="B1041" s="1" t="n">
        <v>44026</v>
      </c>
      <c r="C1041" s="1" t="n">
        <v>45358</v>
      </c>
      <c r="D1041" t="inlineStr">
        <is>
          <t>HALLANDS LÄN</t>
        </is>
      </c>
      <c r="E1041" t="inlineStr">
        <is>
          <t>FALKENBERG</t>
        </is>
      </c>
      <c r="G1041" t="n">
        <v>1.8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33971-2020</t>
        </is>
      </c>
      <c r="B1042" s="1" t="n">
        <v>44028</v>
      </c>
      <c r="C1042" s="1" t="n">
        <v>45358</v>
      </c>
      <c r="D1042" t="inlineStr">
        <is>
          <t>HALLANDS LÄN</t>
        </is>
      </c>
      <c r="E1042" t="inlineStr">
        <is>
          <t>HYLTE</t>
        </is>
      </c>
      <c r="G1042" t="n">
        <v>1.3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34879-2020</t>
        </is>
      </c>
      <c r="B1043" s="1" t="n">
        <v>44036</v>
      </c>
      <c r="C1043" s="1" t="n">
        <v>45358</v>
      </c>
      <c r="D1043" t="inlineStr">
        <is>
          <t>HALLANDS LÄN</t>
        </is>
      </c>
      <c r="E1043" t="inlineStr">
        <is>
          <t>HYLTE</t>
        </is>
      </c>
      <c r="G1043" t="n">
        <v>2.9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34936-2020</t>
        </is>
      </c>
      <c r="B1044" s="1" t="n">
        <v>44037</v>
      </c>
      <c r="C1044" s="1" t="n">
        <v>45358</v>
      </c>
      <c r="D1044" t="inlineStr">
        <is>
          <t>HALLANDS LÄN</t>
        </is>
      </c>
      <c r="E1044" t="inlineStr">
        <is>
          <t>KUNGSBACKA</t>
        </is>
      </c>
      <c r="G1044" t="n">
        <v>1.9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34964-2020</t>
        </is>
      </c>
      <c r="B1045" s="1" t="n">
        <v>44039</v>
      </c>
      <c r="C1045" s="1" t="n">
        <v>45358</v>
      </c>
      <c r="D1045" t="inlineStr">
        <is>
          <t>HALLANDS LÄN</t>
        </is>
      </c>
      <c r="E1045" t="inlineStr">
        <is>
          <t>KUNGSBACKA</t>
        </is>
      </c>
      <c r="F1045" t="inlineStr">
        <is>
          <t>Sveaskog</t>
        </is>
      </c>
      <c r="G1045" t="n">
        <v>7.4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35040-2020</t>
        </is>
      </c>
      <c r="B1046" s="1" t="n">
        <v>44039</v>
      </c>
      <c r="C1046" s="1" t="n">
        <v>45358</v>
      </c>
      <c r="D1046" t="inlineStr">
        <is>
          <t>HALLANDS LÄN</t>
        </is>
      </c>
      <c r="E1046" t="inlineStr">
        <is>
          <t>HYLTE</t>
        </is>
      </c>
      <c r="G1046" t="n">
        <v>1.9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35145-2020</t>
        </is>
      </c>
      <c r="B1047" s="1" t="n">
        <v>44040</v>
      </c>
      <c r="C1047" s="1" t="n">
        <v>45358</v>
      </c>
      <c r="D1047" t="inlineStr">
        <is>
          <t>HALLANDS LÄN</t>
        </is>
      </c>
      <c r="E1047" t="inlineStr">
        <is>
          <t>LAHOLM</t>
        </is>
      </c>
      <c r="G1047" t="n">
        <v>1.9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35275-2020</t>
        </is>
      </c>
      <c r="B1048" s="1" t="n">
        <v>44041</v>
      </c>
      <c r="C1048" s="1" t="n">
        <v>45358</v>
      </c>
      <c r="D1048" t="inlineStr">
        <is>
          <t>HALLANDS LÄN</t>
        </is>
      </c>
      <c r="E1048" t="inlineStr">
        <is>
          <t>KUNGSBACKA</t>
        </is>
      </c>
      <c r="G1048" t="n">
        <v>5.4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35325-2020</t>
        </is>
      </c>
      <c r="B1049" s="1" t="n">
        <v>44041</v>
      </c>
      <c r="C1049" s="1" t="n">
        <v>45358</v>
      </c>
      <c r="D1049" t="inlineStr">
        <is>
          <t>HALLANDS LÄN</t>
        </is>
      </c>
      <c r="E1049" t="inlineStr">
        <is>
          <t>HYLTE</t>
        </is>
      </c>
      <c r="G1049" t="n">
        <v>0.7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35321-2020</t>
        </is>
      </c>
      <c r="B1050" s="1" t="n">
        <v>44041</v>
      </c>
      <c r="C1050" s="1" t="n">
        <v>45358</v>
      </c>
      <c r="D1050" t="inlineStr">
        <is>
          <t>HALLANDS LÄN</t>
        </is>
      </c>
      <c r="E1050" t="inlineStr">
        <is>
          <t>HYLTE</t>
        </is>
      </c>
      <c r="G1050" t="n">
        <v>0.5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35530-2020</t>
        </is>
      </c>
      <c r="B1051" s="1" t="n">
        <v>44043</v>
      </c>
      <c r="C1051" s="1" t="n">
        <v>45358</v>
      </c>
      <c r="D1051" t="inlineStr">
        <is>
          <t>HALLANDS LÄN</t>
        </is>
      </c>
      <c r="E1051" t="inlineStr">
        <is>
          <t>HYLTE</t>
        </is>
      </c>
      <c r="G1051" t="n">
        <v>1.9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35667-2020</t>
        </is>
      </c>
      <c r="B1052" s="1" t="n">
        <v>44046</v>
      </c>
      <c r="C1052" s="1" t="n">
        <v>45358</v>
      </c>
      <c r="D1052" t="inlineStr">
        <is>
          <t>HALLANDS LÄN</t>
        </is>
      </c>
      <c r="E1052" t="inlineStr">
        <is>
          <t>KUNGSBACKA</t>
        </is>
      </c>
      <c r="G1052" t="n">
        <v>1.8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35653-2020</t>
        </is>
      </c>
      <c r="B1053" s="1" t="n">
        <v>44046</v>
      </c>
      <c r="C1053" s="1" t="n">
        <v>45358</v>
      </c>
      <c r="D1053" t="inlineStr">
        <is>
          <t>HALLANDS LÄN</t>
        </is>
      </c>
      <c r="E1053" t="inlineStr">
        <is>
          <t>FALKENBERG</t>
        </is>
      </c>
      <c r="G1053" t="n">
        <v>0.7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35685-2020</t>
        </is>
      </c>
      <c r="B1054" s="1" t="n">
        <v>44046</v>
      </c>
      <c r="C1054" s="1" t="n">
        <v>45358</v>
      </c>
      <c r="D1054" t="inlineStr">
        <is>
          <t>HALLANDS LÄN</t>
        </is>
      </c>
      <c r="E1054" t="inlineStr">
        <is>
          <t>HYLTE</t>
        </is>
      </c>
      <c r="G1054" t="n">
        <v>0.4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35956-2020</t>
        </is>
      </c>
      <c r="B1055" s="1" t="n">
        <v>44047</v>
      </c>
      <c r="C1055" s="1" t="n">
        <v>45358</v>
      </c>
      <c r="D1055" t="inlineStr">
        <is>
          <t>HALLANDS LÄN</t>
        </is>
      </c>
      <c r="E1055" t="inlineStr">
        <is>
          <t>LAHOLM</t>
        </is>
      </c>
      <c r="G1055" t="n">
        <v>0.9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36129-2020</t>
        </is>
      </c>
      <c r="B1056" s="1" t="n">
        <v>44048</v>
      </c>
      <c r="C1056" s="1" t="n">
        <v>45358</v>
      </c>
      <c r="D1056" t="inlineStr">
        <is>
          <t>HALLANDS LÄN</t>
        </is>
      </c>
      <c r="E1056" t="inlineStr">
        <is>
          <t>HALMSTAD</t>
        </is>
      </c>
      <c r="G1056" t="n">
        <v>1.2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36483-2020</t>
        </is>
      </c>
      <c r="B1057" s="1" t="n">
        <v>44050</v>
      </c>
      <c r="C1057" s="1" t="n">
        <v>45358</v>
      </c>
      <c r="D1057" t="inlineStr">
        <is>
          <t>HALLANDS LÄN</t>
        </is>
      </c>
      <c r="E1057" t="inlineStr">
        <is>
          <t>LAHOLM</t>
        </is>
      </c>
      <c r="G1057" t="n">
        <v>1.4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37477-2020</t>
        </is>
      </c>
      <c r="B1058" s="1" t="n">
        <v>44055</v>
      </c>
      <c r="C1058" s="1" t="n">
        <v>45358</v>
      </c>
      <c r="D1058" t="inlineStr">
        <is>
          <t>HALLANDS LÄN</t>
        </is>
      </c>
      <c r="E1058" t="inlineStr">
        <is>
          <t>HYLTE</t>
        </is>
      </c>
      <c r="G1058" t="n">
        <v>8.6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37539-2020</t>
        </is>
      </c>
      <c r="B1059" s="1" t="n">
        <v>44056</v>
      </c>
      <c r="C1059" s="1" t="n">
        <v>45358</v>
      </c>
      <c r="D1059" t="inlineStr">
        <is>
          <t>HALLANDS LÄN</t>
        </is>
      </c>
      <c r="E1059" t="inlineStr">
        <is>
          <t>VARBERG</t>
        </is>
      </c>
      <c r="G1059" t="n">
        <v>1.5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37607-2020</t>
        </is>
      </c>
      <c r="B1060" s="1" t="n">
        <v>44056</v>
      </c>
      <c r="C1060" s="1" t="n">
        <v>45358</v>
      </c>
      <c r="D1060" t="inlineStr">
        <is>
          <t>HALLANDS LÄN</t>
        </is>
      </c>
      <c r="E1060" t="inlineStr">
        <is>
          <t>VARBERG</t>
        </is>
      </c>
      <c r="G1060" t="n">
        <v>0.5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37792-2020</t>
        </is>
      </c>
      <c r="B1061" s="1" t="n">
        <v>44057</v>
      </c>
      <c r="C1061" s="1" t="n">
        <v>45358</v>
      </c>
      <c r="D1061" t="inlineStr">
        <is>
          <t>HALLANDS LÄN</t>
        </is>
      </c>
      <c r="E1061" t="inlineStr">
        <is>
          <t>HALMSTAD</t>
        </is>
      </c>
      <c r="G1061" t="n">
        <v>0.5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38378-2020</t>
        </is>
      </c>
      <c r="B1062" s="1" t="n">
        <v>44060</v>
      </c>
      <c r="C1062" s="1" t="n">
        <v>45358</v>
      </c>
      <c r="D1062" t="inlineStr">
        <is>
          <t>HALLANDS LÄN</t>
        </is>
      </c>
      <c r="E1062" t="inlineStr">
        <is>
          <t>HYLTE</t>
        </is>
      </c>
      <c r="G1062" t="n">
        <v>0.5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38906-2020</t>
        </is>
      </c>
      <c r="B1063" s="1" t="n">
        <v>44062</v>
      </c>
      <c r="C1063" s="1" t="n">
        <v>45358</v>
      </c>
      <c r="D1063" t="inlineStr">
        <is>
          <t>HALLANDS LÄN</t>
        </is>
      </c>
      <c r="E1063" t="inlineStr">
        <is>
          <t>HYLTE</t>
        </is>
      </c>
      <c r="G1063" t="n">
        <v>1.6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39247-2020</t>
        </is>
      </c>
      <c r="B1064" s="1" t="n">
        <v>44063</v>
      </c>
      <c r="C1064" s="1" t="n">
        <v>45358</v>
      </c>
      <c r="D1064" t="inlineStr">
        <is>
          <t>HALLANDS LÄN</t>
        </is>
      </c>
      <c r="E1064" t="inlineStr">
        <is>
          <t>VARBERG</t>
        </is>
      </c>
      <c r="G1064" t="n">
        <v>1.2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39232-2020</t>
        </is>
      </c>
      <c r="B1065" s="1" t="n">
        <v>44063</v>
      </c>
      <c r="C1065" s="1" t="n">
        <v>45358</v>
      </c>
      <c r="D1065" t="inlineStr">
        <is>
          <t>HALLANDS LÄN</t>
        </is>
      </c>
      <c r="E1065" t="inlineStr">
        <is>
          <t>VARBERG</t>
        </is>
      </c>
      <c r="G1065" t="n">
        <v>2.7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39483-2020</t>
        </is>
      </c>
      <c r="B1066" s="1" t="n">
        <v>44064</v>
      </c>
      <c r="C1066" s="1" t="n">
        <v>45358</v>
      </c>
      <c r="D1066" t="inlineStr">
        <is>
          <t>HALLANDS LÄN</t>
        </is>
      </c>
      <c r="E1066" t="inlineStr">
        <is>
          <t>HALMSTAD</t>
        </is>
      </c>
      <c r="G1066" t="n">
        <v>0.7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42246-2020</t>
        </is>
      </c>
      <c r="B1067" s="1" t="n">
        <v>44067</v>
      </c>
      <c r="C1067" s="1" t="n">
        <v>45358</v>
      </c>
      <c r="D1067" t="inlineStr">
        <is>
          <t>HALLANDS LÄN</t>
        </is>
      </c>
      <c r="E1067" t="inlineStr">
        <is>
          <t>VARBERG</t>
        </is>
      </c>
      <c r="G1067" t="n">
        <v>6.3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40270-2020</t>
        </is>
      </c>
      <c r="B1068" s="1" t="n">
        <v>44068</v>
      </c>
      <c r="C1068" s="1" t="n">
        <v>45358</v>
      </c>
      <c r="D1068" t="inlineStr">
        <is>
          <t>HALLANDS LÄN</t>
        </is>
      </c>
      <c r="E1068" t="inlineStr">
        <is>
          <t>HALMSTAD</t>
        </is>
      </c>
      <c r="G1068" t="n">
        <v>0.8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40488-2020</t>
        </is>
      </c>
      <c r="B1069" s="1" t="n">
        <v>44069</v>
      </c>
      <c r="C1069" s="1" t="n">
        <v>45358</v>
      </c>
      <c r="D1069" t="inlineStr">
        <is>
          <t>HALLANDS LÄN</t>
        </is>
      </c>
      <c r="E1069" t="inlineStr">
        <is>
          <t>HALMSTAD</t>
        </is>
      </c>
      <c r="G1069" t="n">
        <v>1.2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40862-2020</t>
        </is>
      </c>
      <c r="B1070" s="1" t="n">
        <v>44070</v>
      </c>
      <c r="C1070" s="1" t="n">
        <v>45358</v>
      </c>
      <c r="D1070" t="inlineStr">
        <is>
          <t>HALLANDS LÄN</t>
        </is>
      </c>
      <c r="E1070" t="inlineStr">
        <is>
          <t>FALKENBERG</t>
        </is>
      </c>
      <c r="G1070" t="n">
        <v>1.2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41041-2020</t>
        </is>
      </c>
      <c r="B1071" s="1" t="n">
        <v>44070</v>
      </c>
      <c r="C1071" s="1" t="n">
        <v>45358</v>
      </c>
      <c r="D1071" t="inlineStr">
        <is>
          <t>HALLANDS LÄN</t>
        </is>
      </c>
      <c r="E1071" t="inlineStr">
        <is>
          <t>FALKENBERG</t>
        </is>
      </c>
      <c r="G1071" t="n">
        <v>1.5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41045-2020</t>
        </is>
      </c>
      <c r="B1072" s="1" t="n">
        <v>44071</v>
      </c>
      <c r="C1072" s="1" t="n">
        <v>45358</v>
      </c>
      <c r="D1072" t="inlineStr">
        <is>
          <t>HALLANDS LÄN</t>
        </is>
      </c>
      <c r="E1072" t="inlineStr">
        <is>
          <t>FALKENBERG</t>
        </is>
      </c>
      <c r="G1072" t="n">
        <v>2.5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42015-2020</t>
        </is>
      </c>
      <c r="B1073" s="1" t="n">
        <v>44075</v>
      </c>
      <c r="C1073" s="1" t="n">
        <v>45358</v>
      </c>
      <c r="D1073" t="inlineStr">
        <is>
          <t>HALLANDS LÄN</t>
        </is>
      </c>
      <c r="E1073" t="inlineStr">
        <is>
          <t>HALMSTAD</t>
        </is>
      </c>
      <c r="G1073" t="n">
        <v>1.4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42122-2020</t>
        </is>
      </c>
      <c r="B1074" s="1" t="n">
        <v>44075</v>
      </c>
      <c r="C1074" s="1" t="n">
        <v>45358</v>
      </c>
      <c r="D1074" t="inlineStr">
        <is>
          <t>HALLANDS LÄN</t>
        </is>
      </c>
      <c r="E1074" t="inlineStr">
        <is>
          <t>HALMSTAD</t>
        </is>
      </c>
      <c r="G1074" t="n">
        <v>0.8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42339-2020</t>
        </is>
      </c>
      <c r="B1075" s="1" t="n">
        <v>44076</v>
      </c>
      <c r="C1075" s="1" t="n">
        <v>45358</v>
      </c>
      <c r="D1075" t="inlineStr">
        <is>
          <t>HALLANDS LÄN</t>
        </is>
      </c>
      <c r="E1075" t="inlineStr">
        <is>
          <t>HALMSTAD</t>
        </is>
      </c>
      <c r="G1075" t="n">
        <v>1.6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42600-2020</t>
        </is>
      </c>
      <c r="B1076" s="1" t="n">
        <v>44077</v>
      </c>
      <c r="C1076" s="1" t="n">
        <v>45358</v>
      </c>
      <c r="D1076" t="inlineStr">
        <is>
          <t>HALLANDS LÄN</t>
        </is>
      </c>
      <c r="E1076" t="inlineStr">
        <is>
          <t>FALKENBERG</t>
        </is>
      </c>
      <c r="G1076" t="n">
        <v>2.6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44023-2020</t>
        </is>
      </c>
      <c r="B1077" s="1" t="n">
        <v>44083</v>
      </c>
      <c r="C1077" s="1" t="n">
        <v>45358</v>
      </c>
      <c r="D1077" t="inlineStr">
        <is>
          <t>HALLANDS LÄN</t>
        </is>
      </c>
      <c r="E1077" t="inlineStr">
        <is>
          <t>FALKENBERG</t>
        </is>
      </c>
      <c r="G1077" t="n">
        <v>4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44402-2020</t>
        </is>
      </c>
      <c r="B1078" s="1" t="n">
        <v>44084</v>
      </c>
      <c r="C1078" s="1" t="n">
        <v>45358</v>
      </c>
      <c r="D1078" t="inlineStr">
        <is>
          <t>HALLANDS LÄN</t>
        </is>
      </c>
      <c r="E1078" t="inlineStr">
        <is>
          <t>HALMSTAD</t>
        </is>
      </c>
      <c r="G1078" t="n">
        <v>5.4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44760-2020</t>
        </is>
      </c>
      <c r="B1079" s="1" t="n">
        <v>44085</v>
      </c>
      <c r="C1079" s="1" t="n">
        <v>45358</v>
      </c>
      <c r="D1079" t="inlineStr">
        <is>
          <t>HALLANDS LÄN</t>
        </is>
      </c>
      <c r="E1079" t="inlineStr">
        <is>
          <t>HYLTE</t>
        </is>
      </c>
      <c r="G1079" t="n">
        <v>0.4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45019-2020</t>
        </is>
      </c>
      <c r="B1080" s="1" t="n">
        <v>44088</v>
      </c>
      <c r="C1080" s="1" t="n">
        <v>45358</v>
      </c>
      <c r="D1080" t="inlineStr">
        <is>
          <t>HALLANDS LÄN</t>
        </is>
      </c>
      <c r="E1080" t="inlineStr">
        <is>
          <t>HYLTE</t>
        </is>
      </c>
      <c r="G1080" t="n">
        <v>0.4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46693-2020</t>
        </is>
      </c>
      <c r="B1081" s="1" t="n">
        <v>44089</v>
      </c>
      <c r="C1081" s="1" t="n">
        <v>45358</v>
      </c>
      <c r="D1081" t="inlineStr">
        <is>
          <t>HALLANDS LÄN</t>
        </is>
      </c>
      <c r="E1081" t="inlineStr">
        <is>
          <t>LAHOLM</t>
        </is>
      </c>
      <c r="G1081" t="n">
        <v>2.1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46032-2020</t>
        </is>
      </c>
      <c r="B1082" s="1" t="n">
        <v>44091</v>
      </c>
      <c r="C1082" s="1" t="n">
        <v>45358</v>
      </c>
      <c r="D1082" t="inlineStr">
        <is>
          <t>HALLANDS LÄN</t>
        </is>
      </c>
      <c r="E1082" t="inlineStr">
        <is>
          <t>FALKENBERG</t>
        </is>
      </c>
      <c r="G1082" t="n">
        <v>9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46011-2020</t>
        </is>
      </c>
      <c r="B1083" s="1" t="n">
        <v>44091</v>
      </c>
      <c r="C1083" s="1" t="n">
        <v>45358</v>
      </c>
      <c r="D1083" t="inlineStr">
        <is>
          <t>HALLANDS LÄN</t>
        </is>
      </c>
      <c r="E1083" t="inlineStr">
        <is>
          <t>FALKENBERG</t>
        </is>
      </c>
      <c r="G1083" t="n">
        <v>2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46074-2020</t>
        </is>
      </c>
      <c r="B1084" s="1" t="n">
        <v>44091</v>
      </c>
      <c r="C1084" s="1" t="n">
        <v>45358</v>
      </c>
      <c r="D1084" t="inlineStr">
        <is>
          <t>HALLANDS LÄN</t>
        </is>
      </c>
      <c r="E1084" t="inlineStr">
        <is>
          <t>FALKENBERG</t>
        </is>
      </c>
      <c r="G1084" t="n">
        <v>1.6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46056-2020</t>
        </is>
      </c>
      <c r="B1085" s="1" t="n">
        <v>44091</v>
      </c>
      <c r="C1085" s="1" t="n">
        <v>45358</v>
      </c>
      <c r="D1085" t="inlineStr">
        <is>
          <t>HALLANDS LÄN</t>
        </is>
      </c>
      <c r="E1085" t="inlineStr">
        <is>
          <t>FALKENBERG</t>
        </is>
      </c>
      <c r="G1085" t="n">
        <v>0.6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46148-2020</t>
        </is>
      </c>
      <c r="B1086" s="1" t="n">
        <v>44092</v>
      </c>
      <c r="C1086" s="1" t="n">
        <v>45358</v>
      </c>
      <c r="D1086" t="inlineStr">
        <is>
          <t>HALLANDS LÄN</t>
        </is>
      </c>
      <c r="E1086" t="inlineStr">
        <is>
          <t>HYLTE</t>
        </is>
      </c>
      <c r="G1086" t="n">
        <v>1.2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46610-2020</t>
        </is>
      </c>
      <c r="B1087" s="1" t="n">
        <v>44095</v>
      </c>
      <c r="C1087" s="1" t="n">
        <v>45358</v>
      </c>
      <c r="D1087" t="inlineStr">
        <is>
          <t>HALLANDS LÄN</t>
        </is>
      </c>
      <c r="E1087" t="inlineStr">
        <is>
          <t>HYLTE</t>
        </is>
      </c>
      <c r="G1087" t="n">
        <v>4.9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46466-2020</t>
        </is>
      </c>
      <c r="B1088" s="1" t="n">
        <v>44095</v>
      </c>
      <c r="C1088" s="1" t="n">
        <v>45358</v>
      </c>
      <c r="D1088" t="inlineStr">
        <is>
          <t>HALLANDS LÄN</t>
        </is>
      </c>
      <c r="E1088" t="inlineStr">
        <is>
          <t>HYLTE</t>
        </is>
      </c>
      <c r="G1088" t="n">
        <v>1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47336-2020</t>
        </is>
      </c>
      <c r="B1089" s="1" t="n">
        <v>44095</v>
      </c>
      <c r="C1089" s="1" t="n">
        <v>45358</v>
      </c>
      <c r="D1089" t="inlineStr">
        <is>
          <t>HALLANDS LÄN</t>
        </is>
      </c>
      <c r="E1089" t="inlineStr">
        <is>
          <t>HYLTE</t>
        </is>
      </c>
      <c r="F1089" t="inlineStr">
        <is>
          <t>Kommuner</t>
        </is>
      </c>
      <c r="G1089" t="n">
        <v>1.4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47025-2020</t>
        </is>
      </c>
      <c r="B1090" s="1" t="n">
        <v>44096</v>
      </c>
      <c r="C1090" s="1" t="n">
        <v>45358</v>
      </c>
      <c r="D1090" t="inlineStr">
        <is>
          <t>HALLANDS LÄN</t>
        </is>
      </c>
      <c r="E1090" t="inlineStr">
        <is>
          <t>FALKENBERG</t>
        </is>
      </c>
      <c r="F1090" t="inlineStr">
        <is>
          <t>Bergvik skog väst AB</t>
        </is>
      </c>
      <c r="G1090" t="n">
        <v>5.9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47492-2020</t>
        </is>
      </c>
      <c r="B1091" s="1" t="n">
        <v>44098</v>
      </c>
      <c r="C1091" s="1" t="n">
        <v>45358</v>
      </c>
      <c r="D1091" t="inlineStr">
        <is>
          <t>HALLANDS LÄN</t>
        </is>
      </c>
      <c r="E1091" t="inlineStr">
        <is>
          <t>HALMSTAD</t>
        </is>
      </c>
      <c r="G1091" t="n">
        <v>0.6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47691-2020</t>
        </is>
      </c>
      <c r="B1092" s="1" t="n">
        <v>44098</v>
      </c>
      <c r="C1092" s="1" t="n">
        <v>45358</v>
      </c>
      <c r="D1092" t="inlineStr">
        <is>
          <t>HALLANDS LÄN</t>
        </is>
      </c>
      <c r="E1092" t="inlineStr">
        <is>
          <t>FALKENBERG</t>
        </is>
      </c>
      <c r="G1092" t="n">
        <v>3.9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47741-2020</t>
        </is>
      </c>
      <c r="B1093" s="1" t="n">
        <v>44098</v>
      </c>
      <c r="C1093" s="1" t="n">
        <v>45358</v>
      </c>
      <c r="D1093" t="inlineStr">
        <is>
          <t>HALLANDS LÄN</t>
        </is>
      </c>
      <c r="E1093" t="inlineStr">
        <is>
          <t>VARBERG</t>
        </is>
      </c>
      <c r="G1093" t="n">
        <v>1.4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48047-2020</t>
        </is>
      </c>
      <c r="B1094" s="1" t="n">
        <v>44099</v>
      </c>
      <c r="C1094" s="1" t="n">
        <v>45358</v>
      </c>
      <c r="D1094" t="inlineStr">
        <is>
          <t>HALLANDS LÄN</t>
        </is>
      </c>
      <c r="E1094" t="inlineStr">
        <is>
          <t>FALKENBERG</t>
        </is>
      </c>
      <c r="G1094" t="n">
        <v>5.1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48216-2020</t>
        </is>
      </c>
      <c r="B1095" s="1" t="n">
        <v>44102</v>
      </c>
      <c r="C1095" s="1" t="n">
        <v>45358</v>
      </c>
      <c r="D1095" t="inlineStr">
        <is>
          <t>HALLANDS LÄN</t>
        </is>
      </c>
      <c r="E1095" t="inlineStr">
        <is>
          <t>LAHOLM</t>
        </is>
      </c>
      <c r="G1095" t="n">
        <v>1.2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48120-2020</t>
        </is>
      </c>
      <c r="B1096" s="1" t="n">
        <v>44102</v>
      </c>
      <c r="C1096" s="1" t="n">
        <v>45358</v>
      </c>
      <c r="D1096" t="inlineStr">
        <is>
          <t>HALLANDS LÄN</t>
        </is>
      </c>
      <c r="E1096" t="inlineStr">
        <is>
          <t>VARBERG</t>
        </is>
      </c>
      <c r="G1096" t="n">
        <v>1.9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48657-2020</t>
        </is>
      </c>
      <c r="B1097" s="1" t="n">
        <v>44103</v>
      </c>
      <c r="C1097" s="1" t="n">
        <v>45358</v>
      </c>
      <c r="D1097" t="inlineStr">
        <is>
          <t>HALLANDS LÄN</t>
        </is>
      </c>
      <c r="E1097" t="inlineStr">
        <is>
          <t>HYLTE</t>
        </is>
      </c>
      <c r="G1097" t="n">
        <v>0.5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48694-2020</t>
        </is>
      </c>
      <c r="B1098" s="1" t="n">
        <v>44103</v>
      </c>
      <c r="C1098" s="1" t="n">
        <v>45358</v>
      </c>
      <c r="D1098" t="inlineStr">
        <is>
          <t>HALLANDS LÄN</t>
        </is>
      </c>
      <c r="E1098" t="inlineStr">
        <is>
          <t>VARBERG</t>
        </is>
      </c>
      <c r="G1098" t="n">
        <v>4.1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49850-2020</t>
        </is>
      </c>
      <c r="B1099" s="1" t="n">
        <v>44107</v>
      </c>
      <c r="C1099" s="1" t="n">
        <v>45358</v>
      </c>
      <c r="D1099" t="inlineStr">
        <is>
          <t>HALLANDS LÄN</t>
        </is>
      </c>
      <c r="E1099" t="inlineStr">
        <is>
          <t>HYLTE</t>
        </is>
      </c>
      <c r="G1099" t="n">
        <v>3.3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49851-2020</t>
        </is>
      </c>
      <c r="B1100" s="1" t="n">
        <v>44107</v>
      </c>
      <c r="C1100" s="1" t="n">
        <v>45358</v>
      </c>
      <c r="D1100" t="inlineStr">
        <is>
          <t>HALLANDS LÄN</t>
        </is>
      </c>
      <c r="E1100" t="inlineStr">
        <is>
          <t>HYLTE</t>
        </is>
      </c>
      <c r="G1100" t="n">
        <v>1.3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50228-2020</t>
        </is>
      </c>
      <c r="B1101" s="1" t="n">
        <v>44109</v>
      </c>
      <c r="C1101" s="1" t="n">
        <v>45358</v>
      </c>
      <c r="D1101" t="inlineStr">
        <is>
          <t>HALLANDS LÄN</t>
        </is>
      </c>
      <c r="E1101" t="inlineStr">
        <is>
          <t>FALKENBERG</t>
        </is>
      </c>
      <c r="G1101" t="n">
        <v>2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50242-2020</t>
        </is>
      </c>
      <c r="B1102" s="1" t="n">
        <v>44109</v>
      </c>
      <c r="C1102" s="1" t="n">
        <v>45358</v>
      </c>
      <c r="D1102" t="inlineStr">
        <is>
          <t>HALLANDS LÄN</t>
        </is>
      </c>
      <c r="E1102" t="inlineStr">
        <is>
          <t>FALKENBERG</t>
        </is>
      </c>
      <c r="G1102" t="n">
        <v>2.4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51651-2020</t>
        </is>
      </c>
      <c r="B1103" s="1" t="n">
        <v>44109</v>
      </c>
      <c r="C1103" s="1" t="n">
        <v>45358</v>
      </c>
      <c r="D1103" t="inlineStr">
        <is>
          <t>HALLANDS LÄN</t>
        </is>
      </c>
      <c r="E1103" t="inlineStr">
        <is>
          <t>FALKENBERG</t>
        </is>
      </c>
      <c r="G1103" t="n">
        <v>1.3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51656-2020</t>
        </is>
      </c>
      <c r="B1104" s="1" t="n">
        <v>44109</v>
      </c>
      <c r="C1104" s="1" t="n">
        <v>45358</v>
      </c>
      <c r="D1104" t="inlineStr">
        <is>
          <t>HALLANDS LÄN</t>
        </is>
      </c>
      <c r="E1104" t="inlineStr">
        <is>
          <t>FALKENBERG</t>
        </is>
      </c>
      <c r="G1104" t="n">
        <v>9.5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51645-2020</t>
        </is>
      </c>
      <c r="B1105" s="1" t="n">
        <v>44109</v>
      </c>
      <c r="C1105" s="1" t="n">
        <v>45358</v>
      </c>
      <c r="D1105" t="inlineStr">
        <is>
          <t>HALLANDS LÄN</t>
        </is>
      </c>
      <c r="E1105" t="inlineStr">
        <is>
          <t>FALKENBERG</t>
        </is>
      </c>
      <c r="G1105" t="n">
        <v>0.6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50246-2020</t>
        </is>
      </c>
      <c r="B1106" s="1" t="n">
        <v>44109</v>
      </c>
      <c r="C1106" s="1" t="n">
        <v>45358</v>
      </c>
      <c r="D1106" t="inlineStr">
        <is>
          <t>HALLANDS LÄN</t>
        </is>
      </c>
      <c r="E1106" t="inlineStr">
        <is>
          <t>VARBERG</t>
        </is>
      </c>
      <c r="G1106" t="n">
        <v>8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51155-2020</t>
        </is>
      </c>
      <c r="B1107" s="1" t="n">
        <v>44112</v>
      </c>
      <c r="C1107" s="1" t="n">
        <v>45358</v>
      </c>
      <c r="D1107" t="inlineStr">
        <is>
          <t>HALLANDS LÄN</t>
        </is>
      </c>
      <c r="E1107" t="inlineStr">
        <is>
          <t>KUNGSBACKA</t>
        </is>
      </c>
      <c r="G1107" t="n">
        <v>0.7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51198-2020</t>
        </is>
      </c>
      <c r="B1108" s="1" t="n">
        <v>44112</v>
      </c>
      <c r="C1108" s="1" t="n">
        <v>45358</v>
      </c>
      <c r="D1108" t="inlineStr">
        <is>
          <t>HALLANDS LÄN</t>
        </is>
      </c>
      <c r="E1108" t="inlineStr">
        <is>
          <t>KUNGSBACKA</t>
        </is>
      </c>
      <c r="G1108" t="n">
        <v>0.4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52369-2020</t>
        </is>
      </c>
      <c r="B1109" s="1" t="n">
        <v>44112</v>
      </c>
      <c r="C1109" s="1" t="n">
        <v>45358</v>
      </c>
      <c r="D1109" t="inlineStr">
        <is>
          <t>HALLANDS LÄN</t>
        </is>
      </c>
      <c r="E1109" t="inlineStr">
        <is>
          <t>KUNGSBACKA</t>
        </is>
      </c>
      <c r="G1109" t="n">
        <v>1.5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51553-2020</t>
        </is>
      </c>
      <c r="B1110" s="1" t="n">
        <v>44113</v>
      </c>
      <c r="C1110" s="1" t="n">
        <v>45358</v>
      </c>
      <c r="D1110" t="inlineStr">
        <is>
          <t>HALLANDS LÄN</t>
        </is>
      </c>
      <c r="E1110" t="inlineStr">
        <is>
          <t>VARBERG</t>
        </is>
      </c>
      <c r="G1110" t="n">
        <v>8.1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51417-2020</t>
        </is>
      </c>
      <c r="B1111" s="1" t="n">
        <v>44113</v>
      </c>
      <c r="C1111" s="1" t="n">
        <v>45358</v>
      </c>
      <c r="D1111" t="inlineStr">
        <is>
          <t>HALLANDS LÄN</t>
        </is>
      </c>
      <c r="E1111" t="inlineStr">
        <is>
          <t>KUNGSBACKA</t>
        </is>
      </c>
      <c r="G1111" t="n">
        <v>0.6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51603-2020</t>
        </is>
      </c>
      <c r="B1112" s="1" t="n">
        <v>44113</v>
      </c>
      <c r="C1112" s="1" t="n">
        <v>45358</v>
      </c>
      <c r="D1112" t="inlineStr">
        <is>
          <t>HALLANDS LÄN</t>
        </is>
      </c>
      <c r="E1112" t="inlineStr">
        <is>
          <t>FALKENBERG</t>
        </is>
      </c>
      <c r="G1112" t="n">
        <v>0.9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51566-2020</t>
        </is>
      </c>
      <c r="B1113" s="1" t="n">
        <v>44113</v>
      </c>
      <c r="C1113" s="1" t="n">
        <v>45358</v>
      </c>
      <c r="D1113" t="inlineStr">
        <is>
          <t>HALLANDS LÄN</t>
        </is>
      </c>
      <c r="E1113" t="inlineStr">
        <is>
          <t>VARBERG</t>
        </is>
      </c>
      <c r="G1113" t="n">
        <v>1.8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52322-2020</t>
        </is>
      </c>
      <c r="B1114" s="1" t="n">
        <v>44117</v>
      </c>
      <c r="C1114" s="1" t="n">
        <v>45358</v>
      </c>
      <c r="D1114" t="inlineStr">
        <is>
          <t>HALLANDS LÄN</t>
        </is>
      </c>
      <c r="E1114" t="inlineStr">
        <is>
          <t>FALKENBERG</t>
        </is>
      </c>
      <c r="G1114" t="n">
        <v>3.1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52303-2020</t>
        </is>
      </c>
      <c r="B1115" s="1" t="n">
        <v>44117</v>
      </c>
      <c r="C1115" s="1" t="n">
        <v>45358</v>
      </c>
      <c r="D1115" t="inlineStr">
        <is>
          <t>HALLANDS LÄN</t>
        </is>
      </c>
      <c r="E1115" t="inlineStr">
        <is>
          <t>KUNGSBACKA</t>
        </is>
      </c>
      <c r="G1115" t="n">
        <v>1.5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52982-2020</t>
        </is>
      </c>
      <c r="B1116" s="1" t="n">
        <v>44119</v>
      </c>
      <c r="C1116" s="1" t="n">
        <v>45358</v>
      </c>
      <c r="D1116" t="inlineStr">
        <is>
          <t>HALLANDS LÄN</t>
        </is>
      </c>
      <c r="E1116" t="inlineStr">
        <is>
          <t>FALKENBERG</t>
        </is>
      </c>
      <c r="F1116" t="inlineStr">
        <is>
          <t>Bergvik skog väst AB</t>
        </is>
      </c>
      <c r="G1116" t="n">
        <v>0.5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52988-2020</t>
        </is>
      </c>
      <c r="B1117" s="1" t="n">
        <v>44119</v>
      </c>
      <c r="C1117" s="1" t="n">
        <v>45358</v>
      </c>
      <c r="D1117" t="inlineStr">
        <is>
          <t>HALLANDS LÄN</t>
        </is>
      </c>
      <c r="E1117" t="inlineStr">
        <is>
          <t>LAHOLM</t>
        </is>
      </c>
      <c r="G1117" t="n">
        <v>3.8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52978-2020</t>
        </is>
      </c>
      <c r="B1118" s="1" t="n">
        <v>44119</v>
      </c>
      <c r="C1118" s="1" t="n">
        <v>45358</v>
      </c>
      <c r="D1118" t="inlineStr">
        <is>
          <t>HALLANDS LÄN</t>
        </is>
      </c>
      <c r="E1118" t="inlineStr">
        <is>
          <t>HALMSTAD</t>
        </is>
      </c>
      <c r="F1118" t="inlineStr">
        <is>
          <t>Bergvik skog väst AB</t>
        </is>
      </c>
      <c r="G1118" t="n">
        <v>5.8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53012-2020</t>
        </is>
      </c>
      <c r="B1119" s="1" t="n">
        <v>44120</v>
      </c>
      <c r="C1119" s="1" t="n">
        <v>45358</v>
      </c>
      <c r="D1119" t="inlineStr">
        <is>
          <t>HALLANDS LÄN</t>
        </is>
      </c>
      <c r="E1119" t="inlineStr">
        <is>
          <t>HALMSTAD</t>
        </is>
      </c>
      <c r="G1119" t="n">
        <v>12.1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53210-2020</t>
        </is>
      </c>
      <c r="B1120" s="1" t="n">
        <v>44122</v>
      </c>
      <c r="C1120" s="1" t="n">
        <v>45358</v>
      </c>
      <c r="D1120" t="inlineStr">
        <is>
          <t>HALLANDS LÄN</t>
        </is>
      </c>
      <c r="E1120" t="inlineStr">
        <is>
          <t>HYLTE</t>
        </is>
      </c>
      <c r="G1120" t="n">
        <v>0.1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53208-2020</t>
        </is>
      </c>
      <c r="B1121" s="1" t="n">
        <v>44122</v>
      </c>
      <c r="C1121" s="1" t="n">
        <v>45358</v>
      </c>
      <c r="D1121" t="inlineStr">
        <is>
          <t>HALLANDS LÄN</t>
        </is>
      </c>
      <c r="E1121" t="inlineStr">
        <is>
          <t>HYLTE</t>
        </is>
      </c>
      <c r="G1121" t="n">
        <v>3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53366-2020</t>
        </is>
      </c>
      <c r="B1122" s="1" t="n">
        <v>44123</v>
      </c>
      <c r="C1122" s="1" t="n">
        <v>45358</v>
      </c>
      <c r="D1122" t="inlineStr">
        <is>
          <t>HALLANDS LÄN</t>
        </is>
      </c>
      <c r="E1122" t="inlineStr">
        <is>
          <t>LAHOLM</t>
        </is>
      </c>
      <c r="G1122" t="n">
        <v>0.5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53371-2020</t>
        </is>
      </c>
      <c r="B1123" s="1" t="n">
        <v>44123</v>
      </c>
      <c r="C1123" s="1" t="n">
        <v>45358</v>
      </c>
      <c r="D1123" t="inlineStr">
        <is>
          <t>HALLANDS LÄN</t>
        </is>
      </c>
      <c r="E1123" t="inlineStr">
        <is>
          <t>HYLTE</t>
        </is>
      </c>
      <c r="G1123" t="n">
        <v>3.4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53217-2020</t>
        </is>
      </c>
      <c r="B1124" s="1" t="n">
        <v>44123</v>
      </c>
      <c r="C1124" s="1" t="n">
        <v>45358</v>
      </c>
      <c r="D1124" t="inlineStr">
        <is>
          <t>HALLANDS LÄN</t>
        </is>
      </c>
      <c r="E1124" t="inlineStr">
        <is>
          <t>VARBERG</t>
        </is>
      </c>
      <c r="G1124" t="n">
        <v>1.6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53372-2020</t>
        </is>
      </c>
      <c r="B1125" s="1" t="n">
        <v>44123</v>
      </c>
      <c r="C1125" s="1" t="n">
        <v>45358</v>
      </c>
      <c r="D1125" t="inlineStr">
        <is>
          <t>HALLANDS LÄN</t>
        </is>
      </c>
      <c r="E1125" t="inlineStr">
        <is>
          <t>HYLTE</t>
        </is>
      </c>
      <c r="G1125" t="n">
        <v>2.1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53513-2020</t>
        </is>
      </c>
      <c r="B1126" s="1" t="n">
        <v>44124</v>
      </c>
      <c r="C1126" s="1" t="n">
        <v>45358</v>
      </c>
      <c r="D1126" t="inlineStr">
        <is>
          <t>HALLANDS LÄN</t>
        </is>
      </c>
      <c r="E1126" t="inlineStr">
        <is>
          <t>VARBERG</t>
        </is>
      </c>
      <c r="G1126" t="n">
        <v>1.8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53631-2020</t>
        </is>
      </c>
      <c r="B1127" s="1" t="n">
        <v>44124</v>
      </c>
      <c r="C1127" s="1" t="n">
        <v>45358</v>
      </c>
      <c r="D1127" t="inlineStr">
        <is>
          <t>HALLANDS LÄN</t>
        </is>
      </c>
      <c r="E1127" t="inlineStr">
        <is>
          <t>HALMSTAD</t>
        </is>
      </c>
      <c r="G1127" t="n">
        <v>2.6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54259-2020</t>
        </is>
      </c>
      <c r="B1128" s="1" t="n">
        <v>44124</v>
      </c>
      <c r="C1128" s="1" t="n">
        <v>45358</v>
      </c>
      <c r="D1128" t="inlineStr">
        <is>
          <t>HALLANDS LÄN</t>
        </is>
      </c>
      <c r="E1128" t="inlineStr">
        <is>
          <t>HYLTE</t>
        </is>
      </c>
      <c r="G1128" t="n">
        <v>2.3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54442-2020</t>
        </is>
      </c>
      <c r="B1129" s="1" t="n">
        <v>44126</v>
      </c>
      <c r="C1129" s="1" t="n">
        <v>45358</v>
      </c>
      <c r="D1129" t="inlineStr">
        <is>
          <t>HALLANDS LÄN</t>
        </is>
      </c>
      <c r="E1129" t="inlineStr">
        <is>
          <t>FALKENBERG</t>
        </is>
      </c>
      <c r="G1129" t="n">
        <v>1.7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54558-2020</t>
        </is>
      </c>
      <c r="B1130" s="1" t="n">
        <v>44126</v>
      </c>
      <c r="C1130" s="1" t="n">
        <v>45358</v>
      </c>
      <c r="D1130" t="inlineStr">
        <is>
          <t>HALLANDS LÄN</t>
        </is>
      </c>
      <c r="E1130" t="inlineStr">
        <is>
          <t>FALKENBERG</t>
        </is>
      </c>
      <c r="G1130" t="n">
        <v>4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54654-2020</t>
        </is>
      </c>
      <c r="B1131" s="1" t="n">
        <v>44127</v>
      </c>
      <c r="C1131" s="1" t="n">
        <v>45358</v>
      </c>
      <c r="D1131" t="inlineStr">
        <is>
          <t>HALLANDS LÄN</t>
        </is>
      </c>
      <c r="E1131" t="inlineStr">
        <is>
          <t>LAHOLM</t>
        </is>
      </c>
      <c r="G1131" t="n">
        <v>1.3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54649-2020</t>
        </is>
      </c>
      <c r="B1132" s="1" t="n">
        <v>44127</v>
      </c>
      <c r="C1132" s="1" t="n">
        <v>45358</v>
      </c>
      <c r="D1132" t="inlineStr">
        <is>
          <t>HALLANDS LÄN</t>
        </is>
      </c>
      <c r="E1132" t="inlineStr">
        <is>
          <t>LAHOLM</t>
        </is>
      </c>
      <c r="G1132" t="n">
        <v>1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55049-2020</t>
        </is>
      </c>
      <c r="B1133" s="1" t="n">
        <v>44130</v>
      </c>
      <c r="C1133" s="1" t="n">
        <v>45358</v>
      </c>
      <c r="D1133" t="inlineStr">
        <is>
          <t>HALLANDS LÄN</t>
        </is>
      </c>
      <c r="E1133" t="inlineStr">
        <is>
          <t>KUNGSBACKA</t>
        </is>
      </c>
      <c r="G1133" t="n">
        <v>0.8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55734-2020</t>
        </is>
      </c>
      <c r="B1134" s="1" t="n">
        <v>44132</v>
      </c>
      <c r="C1134" s="1" t="n">
        <v>45358</v>
      </c>
      <c r="D1134" t="inlineStr">
        <is>
          <t>HALLANDS LÄN</t>
        </is>
      </c>
      <c r="E1134" t="inlineStr">
        <is>
          <t>HYLTE</t>
        </is>
      </c>
      <c r="G1134" t="n">
        <v>0.8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55798-2020</t>
        </is>
      </c>
      <c r="B1135" s="1" t="n">
        <v>44132</v>
      </c>
      <c r="C1135" s="1" t="n">
        <v>45358</v>
      </c>
      <c r="D1135" t="inlineStr">
        <is>
          <t>HALLANDS LÄN</t>
        </is>
      </c>
      <c r="E1135" t="inlineStr">
        <is>
          <t>FALKENBERG</t>
        </is>
      </c>
      <c r="G1135" t="n">
        <v>2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55738-2020</t>
        </is>
      </c>
      <c r="B1136" s="1" t="n">
        <v>44132</v>
      </c>
      <c r="C1136" s="1" t="n">
        <v>45358</v>
      </c>
      <c r="D1136" t="inlineStr">
        <is>
          <t>HALLANDS LÄN</t>
        </is>
      </c>
      <c r="E1136" t="inlineStr">
        <is>
          <t>HYLTE</t>
        </is>
      </c>
      <c r="G1136" t="n">
        <v>1.5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55796-2020</t>
        </is>
      </c>
      <c r="B1137" s="1" t="n">
        <v>44132</v>
      </c>
      <c r="C1137" s="1" t="n">
        <v>45358</v>
      </c>
      <c r="D1137" t="inlineStr">
        <is>
          <t>HALLANDS LÄN</t>
        </is>
      </c>
      <c r="E1137" t="inlineStr">
        <is>
          <t>FALKENBERG</t>
        </is>
      </c>
      <c r="G1137" t="n">
        <v>0.6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55980-2020</t>
        </is>
      </c>
      <c r="B1138" s="1" t="n">
        <v>44133</v>
      </c>
      <c r="C1138" s="1" t="n">
        <v>45358</v>
      </c>
      <c r="D1138" t="inlineStr">
        <is>
          <t>HALLANDS LÄN</t>
        </is>
      </c>
      <c r="E1138" t="inlineStr">
        <is>
          <t>HYLTE</t>
        </is>
      </c>
      <c r="G1138" t="n">
        <v>1.6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56152-2020</t>
        </is>
      </c>
      <c r="B1139" s="1" t="n">
        <v>44133</v>
      </c>
      <c r="C1139" s="1" t="n">
        <v>45358</v>
      </c>
      <c r="D1139" t="inlineStr">
        <is>
          <t>HALLANDS LÄN</t>
        </is>
      </c>
      <c r="E1139" t="inlineStr">
        <is>
          <t>FALKENBERG</t>
        </is>
      </c>
      <c r="F1139" t="inlineStr">
        <is>
          <t>Kyrkan</t>
        </is>
      </c>
      <c r="G1139" t="n">
        <v>0.7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55978-2020</t>
        </is>
      </c>
      <c r="B1140" s="1" t="n">
        <v>44133</v>
      </c>
      <c r="C1140" s="1" t="n">
        <v>45358</v>
      </c>
      <c r="D1140" t="inlineStr">
        <is>
          <t>HALLANDS LÄN</t>
        </is>
      </c>
      <c r="E1140" t="inlineStr">
        <is>
          <t>HYLTE</t>
        </is>
      </c>
      <c r="G1140" t="n">
        <v>2.3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56876-2020</t>
        </is>
      </c>
      <c r="B1141" s="1" t="n">
        <v>44134</v>
      </c>
      <c r="C1141" s="1" t="n">
        <v>45358</v>
      </c>
      <c r="D1141" t="inlineStr">
        <is>
          <t>HALLANDS LÄN</t>
        </is>
      </c>
      <c r="E1141" t="inlineStr">
        <is>
          <t>FALKENBERG</t>
        </is>
      </c>
      <c r="F1141" t="inlineStr">
        <is>
          <t>Kyrkan</t>
        </is>
      </c>
      <c r="G1141" t="n">
        <v>0.5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56629-2020</t>
        </is>
      </c>
      <c r="B1142" s="1" t="n">
        <v>44137</v>
      </c>
      <c r="C1142" s="1" t="n">
        <v>45358</v>
      </c>
      <c r="D1142" t="inlineStr">
        <is>
          <t>HALLANDS LÄN</t>
        </is>
      </c>
      <c r="E1142" t="inlineStr">
        <is>
          <t>KUNGSBACKA</t>
        </is>
      </c>
      <c r="G1142" t="n">
        <v>3.9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56665-2020</t>
        </is>
      </c>
      <c r="B1143" s="1" t="n">
        <v>44137</v>
      </c>
      <c r="C1143" s="1" t="n">
        <v>45358</v>
      </c>
      <c r="D1143" t="inlineStr">
        <is>
          <t>HALLANDS LÄN</t>
        </is>
      </c>
      <c r="E1143" t="inlineStr">
        <is>
          <t>FALKENBERG</t>
        </is>
      </c>
      <c r="G1143" t="n">
        <v>1.8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56981-2020</t>
        </is>
      </c>
      <c r="B1144" s="1" t="n">
        <v>44138</v>
      </c>
      <c r="C1144" s="1" t="n">
        <v>45358</v>
      </c>
      <c r="D1144" t="inlineStr">
        <is>
          <t>HALLANDS LÄN</t>
        </is>
      </c>
      <c r="E1144" t="inlineStr">
        <is>
          <t>VARBERG</t>
        </is>
      </c>
      <c r="G1144" t="n">
        <v>8.5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56959-2020</t>
        </is>
      </c>
      <c r="B1145" s="1" t="n">
        <v>44138</v>
      </c>
      <c r="C1145" s="1" t="n">
        <v>45358</v>
      </c>
      <c r="D1145" t="inlineStr">
        <is>
          <t>HALLANDS LÄN</t>
        </is>
      </c>
      <c r="E1145" t="inlineStr">
        <is>
          <t>KUNGSBACKA</t>
        </is>
      </c>
      <c r="G1145" t="n">
        <v>0.8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57615-2020</t>
        </is>
      </c>
      <c r="B1146" s="1" t="n">
        <v>44140</v>
      </c>
      <c r="C1146" s="1" t="n">
        <v>45358</v>
      </c>
      <c r="D1146" t="inlineStr">
        <is>
          <t>HALLANDS LÄN</t>
        </is>
      </c>
      <c r="E1146" t="inlineStr">
        <is>
          <t>VARBERG</t>
        </is>
      </c>
      <c r="G1146" t="n">
        <v>1.2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57627-2020</t>
        </is>
      </c>
      <c r="B1147" s="1" t="n">
        <v>44140</v>
      </c>
      <c r="C1147" s="1" t="n">
        <v>45358</v>
      </c>
      <c r="D1147" t="inlineStr">
        <is>
          <t>HALLANDS LÄN</t>
        </is>
      </c>
      <c r="E1147" t="inlineStr">
        <is>
          <t>HYLTE</t>
        </is>
      </c>
      <c r="F1147" t="inlineStr">
        <is>
          <t>Kyrkan</t>
        </is>
      </c>
      <c r="G1147" t="n">
        <v>0.4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57426-2020</t>
        </is>
      </c>
      <c r="B1148" s="1" t="n">
        <v>44140</v>
      </c>
      <c r="C1148" s="1" t="n">
        <v>45358</v>
      </c>
      <c r="D1148" t="inlineStr">
        <is>
          <t>HALLANDS LÄN</t>
        </is>
      </c>
      <c r="E1148" t="inlineStr">
        <is>
          <t>HYLTE</t>
        </is>
      </c>
      <c r="G1148" t="n">
        <v>3.4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57608-2020</t>
        </is>
      </c>
      <c r="B1149" s="1" t="n">
        <v>44140</v>
      </c>
      <c r="C1149" s="1" t="n">
        <v>45358</v>
      </c>
      <c r="D1149" t="inlineStr">
        <is>
          <t>HALLANDS LÄN</t>
        </is>
      </c>
      <c r="E1149" t="inlineStr">
        <is>
          <t>VARBERG</t>
        </is>
      </c>
      <c r="G1149" t="n">
        <v>1.3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58081-2020</t>
        </is>
      </c>
      <c r="B1150" s="1" t="n">
        <v>44140</v>
      </c>
      <c r="C1150" s="1" t="n">
        <v>45358</v>
      </c>
      <c r="D1150" t="inlineStr">
        <is>
          <t>HALLANDS LÄN</t>
        </is>
      </c>
      <c r="E1150" t="inlineStr">
        <is>
          <t>VARBERG</t>
        </is>
      </c>
      <c r="F1150" t="inlineStr">
        <is>
          <t>Kyrkan</t>
        </is>
      </c>
      <c r="G1150" t="n">
        <v>3.3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58076-2020</t>
        </is>
      </c>
      <c r="B1151" s="1" t="n">
        <v>44140</v>
      </c>
      <c r="C1151" s="1" t="n">
        <v>45358</v>
      </c>
      <c r="D1151" t="inlineStr">
        <is>
          <t>HALLANDS LÄN</t>
        </is>
      </c>
      <c r="E1151" t="inlineStr">
        <is>
          <t>VARBERG</t>
        </is>
      </c>
      <c r="F1151" t="inlineStr">
        <is>
          <t>Kyrkan</t>
        </is>
      </c>
      <c r="G1151" t="n">
        <v>1.5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57849-2020</t>
        </is>
      </c>
      <c r="B1152" s="1" t="n">
        <v>44141</v>
      </c>
      <c r="C1152" s="1" t="n">
        <v>45358</v>
      </c>
      <c r="D1152" t="inlineStr">
        <is>
          <t>HALLANDS LÄN</t>
        </is>
      </c>
      <c r="E1152" t="inlineStr">
        <is>
          <t>HALMSTAD</t>
        </is>
      </c>
      <c r="G1152" t="n">
        <v>1.9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58306-2020</t>
        </is>
      </c>
      <c r="B1153" s="1" t="n">
        <v>44141</v>
      </c>
      <c r="C1153" s="1" t="n">
        <v>45358</v>
      </c>
      <c r="D1153" t="inlineStr">
        <is>
          <t>HALLANDS LÄN</t>
        </is>
      </c>
      <c r="E1153" t="inlineStr">
        <is>
          <t>FALKENBERG</t>
        </is>
      </c>
      <c r="F1153" t="inlineStr">
        <is>
          <t>Bergvik skog väst AB</t>
        </is>
      </c>
      <c r="G1153" t="n">
        <v>0.8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57743-2020</t>
        </is>
      </c>
      <c r="B1154" s="1" t="n">
        <v>44141</v>
      </c>
      <c r="C1154" s="1" t="n">
        <v>45358</v>
      </c>
      <c r="D1154" t="inlineStr">
        <is>
          <t>HALLANDS LÄN</t>
        </is>
      </c>
      <c r="E1154" t="inlineStr">
        <is>
          <t>HYLTE</t>
        </is>
      </c>
      <c r="F1154" t="inlineStr">
        <is>
          <t>Kyrkan</t>
        </is>
      </c>
      <c r="G1154" t="n">
        <v>0.6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58170-2020</t>
        </is>
      </c>
      <c r="B1155" s="1" t="n">
        <v>44144</v>
      </c>
      <c r="C1155" s="1" t="n">
        <v>45358</v>
      </c>
      <c r="D1155" t="inlineStr">
        <is>
          <t>HALLANDS LÄN</t>
        </is>
      </c>
      <c r="E1155" t="inlineStr">
        <is>
          <t>LAHOLM</t>
        </is>
      </c>
      <c r="G1155" t="n">
        <v>0.5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58165-2020</t>
        </is>
      </c>
      <c r="B1156" s="1" t="n">
        <v>44144</v>
      </c>
      <c r="C1156" s="1" t="n">
        <v>45358</v>
      </c>
      <c r="D1156" t="inlineStr">
        <is>
          <t>HALLANDS LÄN</t>
        </is>
      </c>
      <c r="E1156" t="inlineStr">
        <is>
          <t>LAHOLM</t>
        </is>
      </c>
      <c r="G1156" t="n">
        <v>0.5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58184-2020</t>
        </is>
      </c>
      <c r="B1157" s="1" t="n">
        <v>44144</v>
      </c>
      <c r="C1157" s="1" t="n">
        <v>45358</v>
      </c>
      <c r="D1157" t="inlineStr">
        <is>
          <t>HALLANDS LÄN</t>
        </is>
      </c>
      <c r="E1157" t="inlineStr">
        <is>
          <t>LAHOLM</t>
        </is>
      </c>
      <c r="G1157" t="n">
        <v>1.5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58227-2020</t>
        </is>
      </c>
      <c r="B1158" s="1" t="n">
        <v>44144</v>
      </c>
      <c r="C1158" s="1" t="n">
        <v>45358</v>
      </c>
      <c r="D1158" t="inlineStr">
        <is>
          <t>HALLANDS LÄN</t>
        </is>
      </c>
      <c r="E1158" t="inlineStr">
        <is>
          <t>HYLTE</t>
        </is>
      </c>
      <c r="G1158" t="n">
        <v>0.6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58581-2020</t>
        </is>
      </c>
      <c r="B1159" s="1" t="n">
        <v>44145</v>
      </c>
      <c r="C1159" s="1" t="n">
        <v>45358</v>
      </c>
      <c r="D1159" t="inlineStr">
        <is>
          <t>HALLANDS LÄN</t>
        </is>
      </c>
      <c r="E1159" t="inlineStr">
        <is>
          <t>VARBERG</t>
        </is>
      </c>
      <c r="G1159" t="n">
        <v>4.3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58373-2020</t>
        </is>
      </c>
      <c r="B1160" s="1" t="n">
        <v>44145</v>
      </c>
      <c r="C1160" s="1" t="n">
        <v>45358</v>
      </c>
      <c r="D1160" t="inlineStr">
        <is>
          <t>HALLANDS LÄN</t>
        </is>
      </c>
      <c r="E1160" t="inlineStr">
        <is>
          <t>HYLTE</t>
        </is>
      </c>
      <c r="F1160" t="inlineStr">
        <is>
          <t>Kyrkan</t>
        </is>
      </c>
      <c r="G1160" t="n">
        <v>2.1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58389-2020</t>
        </is>
      </c>
      <c r="B1161" s="1" t="n">
        <v>44145</v>
      </c>
      <c r="C1161" s="1" t="n">
        <v>45358</v>
      </c>
      <c r="D1161" t="inlineStr">
        <is>
          <t>HALLANDS LÄN</t>
        </is>
      </c>
      <c r="E1161" t="inlineStr">
        <is>
          <t>FALKENBERG</t>
        </is>
      </c>
      <c r="F1161" t="inlineStr">
        <is>
          <t>Kyrkan</t>
        </is>
      </c>
      <c r="G1161" t="n">
        <v>1.4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58655-2020</t>
        </is>
      </c>
      <c r="B1162" s="1" t="n">
        <v>44145</v>
      </c>
      <c r="C1162" s="1" t="n">
        <v>45358</v>
      </c>
      <c r="D1162" t="inlineStr">
        <is>
          <t>HALLANDS LÄN</t>
        </is>
      </c>
      <c r="E1162" t="inlineStr">
        <is>
          <t>FALKENBERG</t>
        </is>
      </c>
      <c r="F1162" t="inlineStr">
        <is>
          <t>Kyrkan</t>
        </is>
      </c>
      <c r="G1162" t="n">
        <v>0.8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58748-2020</t>
        </is>
      </c>
      <c r="B1163" s="1" t="n">
        <v>44146</v>
      </c>
      <c r="C1163" s="1" t="n">
        <v>45358</v>
      </c>
      <c r="D1163" t="inlineStr">
        <is>
          <t>HALLANDS LÄN</t>
        </is>
      </c>
      <c r="E1163" t="inlineStr">
        <is>
          <t>FALKENBERG</t>
        </is>
      </c>
      <c r="F1163" t="inlineStr">
        <is>
          <t>Bergvik skog väst AB</t>
        </is>
      </c>
      <c r="G1163" t="n">
        <v>1.7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58757-2020</t>
        </is>
      </c>
      <c r="B1164" s="1" t="n">
        <v>44146</v>
      </c>
      <c r="C1164" s="1" t="n">
        <v>45358</v>
      </c>
      <c r="D1164" t="inlineStr">
        <is>
          <t>HALLANDS LÄN</t>
        </is>
      </c>
      <c r="E1164" t="inlineStr">
        <is>
          <t>FALKENBERG</t>
        </is>
      </c>
      <c r="F1164" t="inlineStr">
        <is>
          <t>Bergvik skog väst AB</t>
        </is>
      </c>
      <c r="G1164" t="n">
        <v>1.4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58682-2020</t>
        </is>
      </c>
      <c r="B1165" s="1" t="n">
        <v>44146</v>
      </c>
      <c r="C1165" s="1" t="n">
        <v>45358</v>
      </c>
      <c r="D1165" t="inlineStr">
        <is>
          <t>HALLANDS LÄN</t>
        </is>
      </c>
      <c r="E1165" t="inlineStr">
        <is>
          <t>FALKENBERG</t>
        </is>
      </c>
      <c r="G1165" t="n">
        <v>10.4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58856-2020</t>
        </is>
      </c>
      <c r="B1166" s="1" t="n">
        <v>44146</v>
      </c>
      <c r="C1166" s="1" t="n">
        <v>45358</v>
      </c>
      <c r="D1166" t="inlineStr">
        <is>
          <t>HALLANDS LÄN</t>
        </is>
      </c>
      <c r="E1166" t="inlineStr">
        <is>
          <t>HYLTE</t>
        </is>
      </c>
      <c r="G1166" t="n">
        <v>1.1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58929-2020</t>
        </is>
      </c>
      <c r="B1167" s="1" t="n">
        <v>44146</v>
      </c>
      <c r="C1167" s="1" t="n">
        <v>45358</v>
      </c>
      <c r="D1167" t="inlineStr">
        <is>
          <t>HALLANDS LÄN</t>
        </is>
      </c>
      <c r="E1167" t="inlineStr">
        <is>
          <t>HYLTE</t>
        </is>
      </c>
      <c r="G1167" t="n">
        <v>2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59091-2020</t>
        </is>
      </c>
      <c r="B1168" s="1" t="n">
        <v>44147</v>
      </c>
      <c r="C1168" s="1" t="n">
        <v>45358</v>
      </c>
      <c r="D1168" t="inlineStr">
        <is>
          <t>HALLANDS LÄN</t>
        </is>
      </c>
      <c r="E1168" t="inlineStr">
        <is>
          <t>HYLTE</t>
        </is>
      </c>
      <c r="G1168" t="n">
        <v>0.4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59087-2020</t>
        </is>
      </c>
      <c r="B1169" s="1" t="n">
        <v>44147</v>
      </c>
      <c r="C1169" s="1" t="n">
        <v>45358</v>
      </c>
      <c r="D1169" t="inlineStr">
        <is>
          <t>HALLANDS LÄN</t>
        </is>
      </c>
      <c r="E1169" t="inlineStr">
        <is>
          <t>HYLTE</t>
        </is>
      </c>
      <c r="G1169" t="n">
        <v>0.7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59082-2020</t>
        </is>
      </c>
      <c r="B1170" s="1" t="n">
        <v>44147</v>
      </c>
      <c r="C1170" s="1" t="n">
        <v>45358</v>
      </c>
      <c r="D1170" t="inlineStr">
        <is>
          <t>HALLANDS LÄN</t>
        </is>
      </c>
      <c r="E1170" t="inlineStr">
        <is>
          <t>HYLTE</t>
        </is>
      </c>
      <c r="G1170" t="n">
        <v>0.4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59097-2020</t>
        </is>
      </c>
      <c r="B1171" s="1" t="n">
        <v>44147</v>
      </c>
      <c r="C1171" s="1" t="n">
        <v>45358</v>
      </c>
      <c r="D1171" t="inlineStr">
        <is>
          <t>HALLANDS LÄN</t>
        </is>
      </c>
      <c r="E1171" t="inlineStr">
        <is>
          <t>HYLTE</t>
        </is>
      </c>
      <c r="G1171" t="n">
        <v>0.5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59139-2020</t>
        </is>
      </c>
      <c r="B1172" s="1" t="n">
        <v>44147</v>
      </c>
      <c r="C1172" s="1" t="n">
        <v>45358</v>
      </c>
      <c r="D1172" t="inlineStr">
        <is>
          <t>HALLANDS LÄN</t>
        </is>
      </c>
      <c r="E1172" t="inlineStr">
        <is>
          <t>HYLTE</t>
        </is>
      </c>
      <c r="G1172" t="n">
        <v>2.7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59260-2020</t>
        </is>
      </c>
      <c r="B1173" s="1" t="n">
        <v>44147</v>
      </c>
      <c r="C1173" s="1" t="n">
        <v>45358</v>
      </c>
      <c r="D1173" t="inlineStr">
        <is>
          <t>HALLANDS LÄN</t>
        </is>
      </c>
      <c r="E1173" t="inlineStr">
        <is>
          <t>FALKENBERG</t>
        </is>
      </c>
      <c r="G1173" t="n">
        <v>0.9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59315-2020</t>
        </is>
      </c>
      <c r="B1174" s="1" t="n">
        <v>44147</v>
      </c>
      <c r="C1174" s="1" t="n">
        <v>45358</v>
      </c>
      <c r="D1174" t="inlineStr">
        <is>
          <t>HALLANDS LÄN</t>
        </is>
      </c>
      <c r="E1174" t="inlineStr">
        <is>
          <t>VARBERG</t>
        </is>
      </c>
      <c r="G1174" t="n">
        <v>3.3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59312-2020</t>
        </is>
      </c>
      <c r="B1175" s="1" t="n">
        <v>44147</v>
      </c>
      <c r="C1175" s="1" t="n">
        <v>45358</v>
      </c>
      <c r="D1175" t="inlineStr">
        <is>
          <t>HALLANDS LÄN</t>
        </is>
      </c>
      <c r="E1175" t="inlineStr">
        <is>
          <t>VARBERG</t>
        </is>
      </c>
      <c r="G1175" t="n">
        <v>6.1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59658-2020</t>
        </is>
      </c>
      <c r="B1176" s="1" t="n">
        <v>44151</v>
      </c>
      <c r="C1176" s="1" t="n">
        <v>45358</v>
      </c>
      <c r="D1176" t="inlineStr">
        <is>
          <t>HALLANDS LÄN</t>
        </is>
      </c>
      <c r="E1176" t="inlineStr">
        <is>
          <t>FALKENBERG</t>
        </is>
      </c>
      <c r="G1176" t="n">
        <v>2.9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59719-2020</t>
        </is>
      </c>
      <c r="B1177" s="1" t="n">
        <v>44151</v>
      </c>
      <c r="C1177" s="1" t="n">
        <v>45358</v>
      </c>
      <c r="D1177" t="inlineStr">
        <is>
          <t>HALLANDS LÄN</t>
        </is>
      </c>
      <c r="E1177" t="inlineStr">
        <is>
          <t>HALMSTAD</t>
        </is>
      </c>
      <c r="G1177" t="n">
        <v>1.3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59682-2020</t>
        </is>
      </c>
      <c r="B1178" s="1" t="n">
        <v>44151</v>
      </c>
      <c r="C1178" s="1" t="n">
        <v>45358</v>
      </c>
      <c r="D1178" t="inlineStr">
        <is>
          <t>HALLANDS LÄN</t>
        </is>
      </c>
      <c r="E1178" t="inlineStr">
        <is>
          <t>LAHOLM</t>
        </is>
      </c>
      <c r="G1178" t="n">
        <v>0.6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60468-2020</t>
        </is>
      </c>
      <c r="B1179" s="1" t="n">
        <v>44153</v>
      </c>
      <c r="C1179" s="1" t="n">
        <v>45358</v>
      </c>
      <c r="D1179" t="inlineStr">
        <is>
          <t>HALLANDS LÄN</t>
        </is>
      </c>
      <c r="E1179" t="inlineStr">
        <is>
          <t>VARBERG</t>
        </is>
      </c>
      <c r="G1179" t="n">
        <v>0.9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60790-2020</t>
        </is>
      </c>
      <c r="B1180" s="1" t="n">
        <v>44154</v>
      </c>
      <c r="C1180" s="1" t="n">
        <v>45358</v>
      </c>
      <c r="D1180" t="inlineStr">
        <is>
          <t>HALLANDS LÄN</t>
        </is>
      </c>
      <c r="E1180" t="inlineStr">
        <is>
          <t>KUNGSBACKA</t>
        </is>
      </c>
      <c r="F1180" t="inlineStr">
        <is>
          <t>Övriga Aktiebolag</t>
        </is>
      </c>
      <c r="G1180" t="n">
        <v>2.7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60775-2020</t>
        </is>
      </c>
      <c r="B1181" s="1" t="n">
        <v>44154</v>
      </c>
      <c r="C1181" s="1" t="n">
        <v>45358</v>
      </c>
      <c r="D1181" t="inlineStr">
        <is>
          <t>HALLANDS LÄN</t>
        </is>
      </c>
      <c r="E1181" t="inlineStr">
        <is>
          <t>FALKENBERG</t>
        </is>
      </c>
      <c r="G1181" t="n">
        <v>0.5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60924-2020</t>
        </is>
      </c>
      <c r="B1182" s="1" t="n">
        <v>44154</v>
      </c>
      <c r="C1182" s="1" t="n">
        <v>45358</v>
      </c>
      <c r="D1182" t="inlineStr">
        <is>
          <t>HALLANDS LÄN</t>
        </is>
      </c>
      <c r="E1182" t="inlineStr">
        <is>
          <t>HYLTE</t>
        </is>
      </c>
      <c r="G1182" t="n">
        <v>1.3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61078-2020</t>
        </is>
      </c>
      <c r="B1183" s="1" t="n">
        <v>44154</v>
      </c>
      <c r="C1183" s="1" t="n">
        <v>45358</v>
      </c>
      <c r="D1183" t="inlineStr">
        <is>
          <t>HALLANDS LÄN</t>
        </is>
      </c>
      <c r="E1183" t="inlineStr">
        <is>
          <t>LAHOLM</t>
        </is>
      </c>
      <c r="G1183" t="n">
        <v>0.5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61484-2020</t>
        </is>
      </c>
      <c r="B1184" s="1" t="n">
        <v>44158</v>
      </c>
      <c r="C1184" s="1" t="n">
        <v>45358</v>
      </c>
      <c r="D1184" t="inlineStr">
        <is>
          <t>HALLANDS LÄN</t>
        </is>
      </c>
      <c r="E1184" t="inlineStr">
        <is>
          <t>LAHOLM</t>
        </is>
      </c>
      <c r="F1184" t="inlineStr">
        <is>
          <t>Övriga statliga verk och myndigheter</t>
        </is>
      </c>
      <c r="G1184" t="n">
        <v>2.1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61832-2020</t>
        </is>
      </c>
      <c r="B1185" s="1" t="n">
        <v>44159</v>
      </c>
      <c r="C1185" s="1" t="n">
        <v>45358</v>
      </c>
      <c r="D1185" t="inlineStr">
        <is>
          <t>HALLANDS LÄN</t>
        </is>
      </c>
      <c r="E1185" t="inlineStr">
        <is>
          <t>FALKENBERG</t>
        </is>
      </c>
      <c r="G1185" t="n">
        <v>0.5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61896-2020</t>
        </is>
      </c>
      <c r="B1186" s="1" t="n">
        <v>44159</v>
      </c>
      <c r="C1186" s="1" t="n">
        <v>45358</v>
      </c>
      <c r="D1186" t="inlineStr">
        <is>
          <t>HALLANDS LÄN</t>
        </is>
      </c>
      <c r="E1186" t="inlineStr">
        <is>
          <t>HYLTE</t>
        </is>
      </c>
      <c r="G1186" t="n">
        <v>4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61907-2020</t>
        </is>
      </c>
      <c r="B1187" s="1" t="n">
        <v>44159</v>
      </c>
      <c r="C1187" s="1" t="n">
        <v>45358</v>
      </c>
      <c r="D1187" t="inlineStr">
        <is>
          <t>HALLANDS LÄN</t>
        </is>
      </c>
      <c r="E1187" t="inlineStr">
        <is>
          <t>HALMSTAD</t>
        </is>
      </c>
      <c r="G1187" t="n">
        <v>0.8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61891-2020</t>
        </is>
      </c>
      <c r="B1188" s="1" t="n">
        <v>44159</v>
      </c>
      <c r="C1188" s="1" t="n">
        <v>45358</v>
      </c>
      <c r="D1188" t="inlineStr">
        <is>
          <t>HALLANDS LÄN</t>
        </is>
      </c>
      <c r="E1188" t="inlineStr">
        <is>
          <t>HYLTE</t>
        </is>
      </c>
      <c r="G1188" t="n">
        <v>0.7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61900-2020</t>
        </is>
      </c>
      <c r="B1189" s="1" t="n">
        <v>44159</v>
      </c>
      <c r="C1189" s="1" t="n">
        <v>45358</v>
      </c>
      <c r="D1189" t="inlineStr">
        <is>
          <t>HALLANDS LÄN</t>
        </is>
      </c>
      <c r="E1189" t="inlineStr">
        <is>
          <t>HYLTE</t>
        </is>
      </c>
      <c r="G1189" t="n">
        <v>1.1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61849-2020</t>
        </is>
      </c>
      <c r="B1190" s="1" t="n">
        <v>44159</v>
      </c>
      <c r="C1190" s="1" t="n">
        <v>45358</v>
      </c>
      <c r="D1190" t="inlineStr">
        <is>
          <t>HALLANDS LÄN</t>
        </is>
      </c>
      <c r="E1190" t="inlineStr">
        <is>
          <t>HALMSTAD</t>
        </is>
      </c>
      <c r="G1190" t="n">
        <v>1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62661-2020</t>
        </is>
      </c>
      <c r="B1191" s="1" t="n">
        <v>44161</v>
      </c>
      <c r="C1191" s="1" t="n">
        <v>45358</v>
      </c>
      <c r="D1191" t="inlineStr">
        <is>
          <t>HALLANDS LÄN</t>
        </is>
      </c>
      <c r="E1191" t="inlineStr">
        <is>
          <t>FALKENBERG</t>
        </is>
      </c>
      <c r="G1191" t="n">
        <v>2.5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62752-2020</t>
        </is>
      </c>
      <c r="B1192" s="1" t="n">
        <v>44161</v>
      </c>
      <c r="C1192" s="1" t="n">
        <v>45358</v>
      </c>
      <c r="D1192" t="inlineStr">
        <is>
          <t>HALLANDS LÄN</t>
        </is>
      </c>
      <c r="E1192" t="inlineStr">
        <is>
          <t>FALKENBERG</t>
        </is>
      </c>
      <c r="G1192" t="n">
        <v>0.7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62753-2020</t>
        </is>
      </c>
      <c r="B1193" s="1" t="n">
        <v>44161</v>
      </c>
      <c r="C1193" s="1" t="n">
        <v>45358</v>
      </c>
      <c r="D1193" t="inlineStr">
        <is>
          <t>HALLANDS LÄN</t>
        </is>
      </c>
      <c r="E1193" t="inlineStr">
        <is>
          <t>KUNGSBACKA</t>
        </is>
      </c>
      <c r="G1193" t="n">
        <v>3.5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63120-2020</t>
        </is>
      </c>
      <c r="B1194" s="1" t="n">
        <v>44162</v>
      </c>
      <c r="C1194" s="1" t="n">
        <v>45358</v>
      </c>
      <c r="D1194" t="inlineStr">
        <is>
          <t>HALLANDS LÄN</t>
        </is>
      </c>
      <c r="E1194" t="inlineStr">
        <is>
          <t>LAHOLM</t>
        </is>
      </c>
      <c r="G1194" t="n">
        <v>0.5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62944-2020</t>
        </is>
      </c>
      <c r="B1195" s="1" t="n">
        <v>44162</v>
      </c>
      <c r="C1195" s="1" t="n">
        <v>45358</v>
      </c>
      <c r="D1195" t="inlineStr">
        <is>
          <t>HALLANDS LÄN</t>
        </is>
      </c>
      <c r="E1195" t="inlineStr">
        <is>
          <t>KUNGSBACKA</t>
        </is>
      </c>
      <c r="G1195" t="n">
        <v>1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63654-2020</t>
        </is>
      </c>
      <c r="B1196" s="1" t="n">
        <v>44162</v>
      </c>
      <c r="C1196" s="1" t="n">
        <v>45358</v>
      </c>
      <c r="D1196" t="inlineStr">
        <is>
          <t>HALLANDS LÄN</t>
        </is>
      </c>
      <c r="E1196" t="inlineStr">
        <is>
          <t>HYLTE</t>
        </is>
      </c>
      <c r="G1196" t="n">
        <v>4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63762-2020</t>
        </is>
      </c>
      <c r="B1197" s="1" t="n">
        <v>44166</v>
      </c>
      <c r="C1197" s="1" t="n">
        <v>45358</v>
      </c>
      <c r="D1197" t="inlineStr">
        <is>
          <t>HALLANDS LÄN</t>
        </is>
      </c>
      <c r="E1197" t="inlineStr">
        <is>
          <t>FALKENBERG</t>
        </is>
      </c>
      <c r="G1197" t="n">
        <v>0.1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63813-2020</t>
        </is>
      </c>
      <c r="B1198" s="1" t="n">
        <v>44166</v>
      </c>
      <c r="C1198" s="1" t="n">
        <v>45358</v>
      </c>
      <c r="D1198" t="inlineStr">
        <is>
          <t>HALLANDS LÄN</t>
        </is>
      </c>
      <c r="E1198" t="inlineStr">
        <is>
          <t>VARBERG</t>
        </is>
      </c>
      <c r="G1198" t="n">
        <v>1.3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63800-2020</t>
        </is>
      </c>
      <c r="B1199" s="1" t="n">
        <v>44166</v>
      </c>
      <c r="C1199" s="1" t="n">
        <v>45358</v>
      </c>
      <c r="D1199" t="inlineStr">
        <is>
          <t>HALLANDS LÄN</t>
        </is>
      </c>
      <c r="E1199" t="inlineStr">
        <is>
          <t>HYLTE</t>
        </is>
      </c>
      <c r="G1199" t="n">
        <v>0.9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64238-2020</t>
        </is>
      </c>
      <c r="B1200" s="1" t="n">
        <v>44168</v>
      </c>
      <c r="C1200" s="1" t="n">
        <v>45358</v>
      </c>
      <c r="D1200" t="inlineStr">
        <is>
          <t>HALLANDS LÄN</t>
        </is>
      </c>
      <c r="E1200" t="inlineStr">
        <is>
          <t>FALKENBERG</t>
        </is>
      </c>
      <c r="G1200" t="n">
        <v>0.8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64405-2020</t>
        </is>
      </c>
      <c r="B1201" s="1" t="n">
        <v>44168</v>
      </c>
      <c r="C1201" s="1" t="n">
        <v>45358</v>
      </c>
      <c r="D1201" t="inlineStr">
        <is>
          <t>HALLANDS LÄN</t>
        </is>
      </c>
      <c r="E1201" t="inlineStr">
        <is>
          <t>LAHOLM</t>
        </is>
      </c>
      <c r="F1201" t="inlineStr">
        <is>
          <t>Sveaskog</t>
        </is>
      </c>
      <c r="G1201" t="n">
        <v>8.699999999999999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64415-2020</t>
        </is>
      </c>
      <c r="B1202" s="1" t="n">
        <v>44168</v>
      </c>
      <c r="C1202" s="1" t="n">
        <v>45358</v>
      </c>
      <c r="D1202" t="inlineStr">
        <is>
          <t>HALLANDS LÄN</t>
        </is>
      </c>
      <c r="E1202" t="inlineStr">
        <is>
          <t>HYLTE</t>
        </is>
      </c>
      <c r="G1202" t="n">
        <v>1.5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65466-2020</t>
        </is>
      </c>
      <c r="B1203" s="1" t="n">
        <v>44169</v>
      </c>
      <c r="C1203" s="1" t="n">
        <v>45358</v>
      </c>
      <c r="D1203" t="inlineStr">
        <is>
          <t>HALLANDS LÄN</t>
        </is>
      </c>
      <c r="E1203" t="inlineStr">
        <is>
          <t>VARBERG</t>
        </is>
      </c>
      <c r="G1203" t="n">
        <v>1.5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64944-2020</t>
        </is>
      </c>
      <c r="B1204" s="1" t="n">
        <v>44172</v>
      </c>
      <c r="C1204" s="1" t="n">
        <v>45358</v>
      </c>
      <c r="D1204" t="inlineStr">
        <is>
          <t>HALLANDS LÄN</t>
        </is>
      </c>
      <c r="E1204" t="inlineStr">
        <is>
          <t>HYLTE</t>
        </is>
      </c>
      <c r="G1204" t="n">
        <v>0.7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65432-2020</t>
        </is>
      </c>
      <c r="B1205" s="1" t="n">
        <v>44173</v>
      </c>
      <c r="C1205" s="1" t="n">
        <v>45358</v>
      </c>
      <c r="D1205" t="inlineStr">
        <is>
          <t>HALLANDS LÄN</t>
        </is>
      </c>
      <c r="E1205" t="inlineStr">
        <is>
          <t>VARBERG</t>
        </is>
      </c>
      <c r="G1205" t="n">
        <v>4.2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65404-2020</t>
        </is>
      </c>
      <c r="B1206" s="1" t="n">
        <v>44173</v>
      </c>
      <c r="C1206" s="1" t="n">
        <v>45358</v>
      </c>
      <c r="D1206" t="inlineStr">
        <is>
          <t>HALLANDS LÄN</t>
        </is>
      </c>
      <c r="E1206" t="inlineStr">
        <is>
          <t>HALMSTAD</t>
        </is>
      </c>
      <c r="G1206" t="n">
        <v>1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65457-2020</t>
        </is>
      </c>
      <c r="B1207" s="1" t="n">
        <v>44173</v>
      </c>
      <c r="C1207" s="1" t="n">
        <v>45358</v>
      </c>
      <c r="D1207" t="inlineStr">
        <is>
          <t>HALLANDS LÄN</t>
        </is>
      </c>
      <c r="E1207" t="inlineStr">
        <is>
          <t>HYLTE</t>
        </is>
      </c>
      <c r="G1207" t="n">
        <v>2.2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65565-2020</t>
        </is>
      </c>
      <c r="B1208" s="1" t="n">
        <v>44173</v>
      </c>
      <c r="C1208" s="1" t="n">
        <v>45358</v>
      </c>
      <c r="D1208" t="inlineStr">
        <is>
          <t>HALLANDS LÄN</t>
        </is>
      </c>
      <c r="E1208" t="inlineStr">
        <is>
          <t>VARBERG</t>
        </is>
      </c>
      <c r="G1208" t="n">
        <v>0.9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65872-2020</t>
        </is>
      </c>
      <c r="B1209" s="1" t="n">
        <v>44174</v>
      </c>
      <c r="C1209" s="1" t="n">
        <v>45358</v>
      </c>
      <c r="D1209" t="inlineStr">
        <is>
          <t>HALLANDS LÄN</t>
        </is>
      </c>
      <c r="E1209" t="inlineStr">
        <is>
          <t>HALMSTAD</t>
        </is>
      </c>
      <c r="G1209" t="n">
        <v>1.9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65874-2020</t>
        </is>
      </c>
      <c r="B1210" s="1" t="n">
        <v>44174</v>
      </c>
      <c r="C1210" s="1" t="n">
        <v>45358</v>
      </c>
      <c r="D1210" t="inlineStr">
        <is>
          <t>HALLANDS LÄN</t>
        </is>
      </c>
      <c r="E1210" t="inlineStr">
        <is>
          <t>HYLTE</t>
        </is>
      </c>
      <c r="G1210" t="n">
        <v>1.5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65870-2020</t>
        </is>
      </c>
      <c r="B1211" s="1" t="n">
        <v>44174</v>
      </c>
      <c r="C1211" s="1" t="n">
        <v>45358</v>
      </c>
      <c r="D1211" t="inlineStr">
        <is>
          <t>HALLANDS LÄN</t>
        </is>
      </c>
      <c r="E1211" t="inlineStr">
        <is>
          <t>HALMSTAD</t>
        </is>
      </c>
      <c r="G1211" t="n">
        <v>4.3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66305-2020</t>
        </is>
      </c>
      <c r="B1212" s="1" t="n">
        <v>44174</v>
      </c>
      <c r="C1212" s="1" t="n">
        <v>45358</v>
      </c>
      <c r="D1212" t="inlineStr">
        <is>
          <t>HALLANDS LÄN</t>
        </is>
      </c>
      <c r="E1212" t="inlineStr">
        <is>
          <t>HYLTE</t>
        </is>
      </c>
      <c r="G1212" t="n">
        <v>1.6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65924-2020</t>
        </is>
      </c>
      <c r="B1213" s="1" t="n">
        <v>44175</v>
      </c>
      <c r="C1213" s="1" t="n">
        <v>45358</v>
      </c>
      <c r="D1213" t="inlineStr">
        <is>
          <t>HALLANDS LÄN</t>
        </is>
      </c>
      <c r="E1213" t="inlineStr">
        <is>
          <t>LAHOLM</t>
        </is>
      </c>
      <c r="F1213" t="inlineStr">
        <is>
          <t>Övriga statliga verk och myndigheter</t>
        </is>
      </c>
      <c r="G1213" t="n">
        <v>0.6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65963-2020</t>
        </is>
      </c>
      <c r="B1214" s="1" t="n">
        <v>44175</v>
      </c>
      <c r="C1214" s="1" t="n">
        <v>45358</v>
      </c>
      <c r="D1214" t="inlineStr">
        <is>
          <t>HALLANDS LÄN</t>
        </is>
      </c>
      <c r="E1214" t="inlineStr">
        <is>
          <t>LAHOLM</t>
        </is>
      </c>
      <c r="F1214" t="inlineStr">
        <is>
          <t>Övriga statliga verk och myndigheter</t>
        </is>
      </c>
      <c r="G1214" t="n">
        <v>0.6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66004-2020</t>
        </is>
      </c>
      <c r="B1215" s="1" t="n">
        <v>44175</v>
      </c>
      <c r="C1215" s="1" t="n">
        <v>45358</v>
      </c>
      <c r="D1215" t="inlineStr">
        <is>
          <t>HALLANDS LÄN</t>
        </is>
      </c>
      <c r="E1215" t="inlineStr">
        <is>
          <t>KUNGSBACKA</t>
        </is>
      </c>
      <c r="F1215" t="inlineStr">
        <is>
          <t>Övriga Aktiebolag</t>
        </is>
      </c>
      <c r="G1215" t="n">
        <v>17.3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66220-2020</t>
        </is>
      </c>
      <c r="B1216" s="1" t="n">
        <v>44175</v>
      </c>
      <c r="C1216" s="1" t="n">
        <v>45358</v>
      </c>
      <c r="D1216" t="inlineStr">
        <is>
          <t>HALLANDS LÄN</t>
        </is>
      </c>
      <c r="E1216" t="inlineStr">
        <is>
          <t>LAHOLM</t>
        </is>
      </c>
      <c r="G1216" t="n">
        <v>0.4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66222-2020</t>
        </is>
      </c>
      <c r="B1217" s="1" t="n">
        <v>44175</v>
      </c>
      <c r="C1217" s="1" t="n">
        <v>45358</v>
      </c>
      <c r="D1217" t="inlineStr">
        <is>
          <t>HALLANDS LÄN</t>
        </is>
      </c>
      <c r="E1217" t="inlineStr">
        <is>
          <t>LAHOLM</t>
        </is>
      </c>
      <c r="G1217" t="n">
        <v>1.1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66261-2020</t>
        </is>
      </c>
      <c r="B1218" s="1" t="n">
        <v>44176</v>
      </c>
      <c r="C1218" s="1" t="n">
        <v>45358</v>
      </c>
      <c r="D1218" t="inlineStr">
        <is>
          <t>HALLANDS LÄN</t>
        </is>
      </c>
      <c r="E1218" t="inlineStr">
        <is>
          <t>FALKENBERG</t>
        </is>
      </c>
      <c r="G1218" t="n">
        <v>4.2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66263-2020</t>
        </is>
      </c>
      <c r="B1219" s="1" t="n">
        <v>44176</v>
      </c>
      <c r="C1219" s="1" t="n">
        <v>45358</v>
      </c>
      <c r="D1219" t="inlineStr">
        <is>
          <t>HALLANDS LÄN</t>
        </is>
      </c>
      <c r="E1219" t="inlineStr">
        <is>
          <t>FALKENBERG</t>
        </is>
      </c>
      <c r="G1219" t="n">
        <v>2.4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66290-2020</t>
        </is>
      </c>
      <c r="B1220" s="1" t="n">
        <v>44176</v>
      </c>
      <c r="C1220" s="1" t="n">
        <v>45358</v>
      </c>
      <c r="D1220" t="inlineStr">
        <is>
          <t>HALLANDS LÄN</t>
        </is>
      </c>
      <c r="E1220" t="inlineStr">
        <is>
          <t>FALKENBERG</t>
        </is>
      </c>
      <c r="G1220" t="n">
        <v>1.4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66992-2020</t>
        </is>
      </c>
      <c r="B1221" s="1" t="n">
        <v>44176</v>
      </c>
      <c r="C1221" s="1" t="n">
        <v>45358</v>
      </c>
      <c r="D1221" t="inlineStr">
        <is>
          <t>HALLANDS LÄN</t>
        </is>
      </c>
      <c r="E1221" t="inlineStr">
        <is>
          <t>HALMSTAD</t>
        </is>
      </c>
      <c r="G1221" t="n">
        <v>4.1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66472-2020</t>
        </is>
      </c>
      <c r="B1222" s="1" t="n">
        <v>44177</v>
      </c>
      <c r="C1222" s="1" t="n">
        <v>45358</v>
      </c>
      <c r="D1222" t="inlineStr">
        <is>
          <t>HALLANDS LÄN</t>
        </is>
      </c>
      <c r="E1222" t="inlineStr">
        <is>
          <t>HYLTE</t>
        </is>
      </c>
      <c r="G1222" t="n">
        <v>1.5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66473-2020</t>
        </is>
      </c>
      <c r="B1223" s="1" t="n">
        <v>44177</v>
      </c>
      <c r="C1223" s="1" t="n">
        <v>45358</v>
      </c>
      <c r="D1223" t="inlineStr">
        <is>
          <t>HALLANDS LÄN</t>
        </is>
      </c>
      <c r="E1223" t="inlineStr">
        <is>
          <t>HYLTE</t>
        </is>
      </c>
      <c r="G1223" t="n">
        <v>1.8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66575-2020</t>
        </is>
      </c>
      <c r="B1224" s="1" t="n">
        <v>44179</v>
      </c>
      <c r="C1224" s="1" t="n">
        <v>45358</v>
      </c>
      <c r="D1224" t="inlineStr">
        <is>
          <t>HALLANDS LÄN</t>
        </is>
      </c>
      <c r="E1224" t="inlineStr">
        <is>
          <t>HALMSTAD</t>
        </is>
      </c>
      <c r="G1224" t="n">
        <v>1.6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66573-2020</t>
        </is>
      </c>
      <c r="B1225" s="1" t="n">
        <v>44179</v>
      </c>
      <c r="C1225" s="1" t="n">
        <v>45358</v>
      </c>
      <c r="D1225" t="inlineStr">
        <is>
          <t>HALLANDS LÄN</t>
        </is>
      </c>
      <c r="E1225" t="inlineStr">
        <is>
          <t>HALMSTAD</t>
        </is>
      </c>
      <c r="G1225" t="n">
        <v>2.6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66609-2020</t>
        </is>
      </c>
      <c r="B1226" s="1" t="n">
        <v>44179</v>
      </c>
      <c r="C1226" s="1" t="n">
        <v>45358</v>
      </c>
      <c r="D1226" t="inlineStr">
        <is>
          <t>HALLANDS LÄN</t>
        </is>
      </c>
      <c r="E1226" t="inlineStr">
        <is>
          <t>VARBERG</t>
        </is>
      </c>
      <c r="G1226" t="n">
        <v>0.8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66920-2020</t>
        </is>
      </c>
      <c r="B1227" s="1" t="n">
        <v>44180</v>
      </c>
      <c r="C1227" s="1" t="n">
        <v>45358</v>
      </c>
      <c r="D1227" t="inlineStr">
        <is>
          <t>HALLANDS LÄN</t>
        </is>
      </c>
      <c r="E1227" t="inlineStr">
        <is>
          <t>HALMSTAD</t>
        </is>
      </c>
      <c r="G1227" t="n">
        <v>2.4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67089-2020</t>
        </is>
      </c>
      <c r="B1228" s="1" t="n">
        <v>44180</v>
      </c>
      <c r="C1228" s="1" t="n">
        <v>45358</v>
      </c>
      <c r="D1228" t="inlineStr">
        <is>
          <t>HALLANDS LÄN</t>
        </is>
      </c>
      <c r="E1228" t="inlineStr">
        <is>
          <t>LAHOLM</t>
        </is>
      </c>
      <c r="G1228" t="n">
        <v>19.3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67309-2020</t>
        </is>
      </c>
      <c r="B1229" s="1" t="n">
        <v>44180</v>
      </c>
      <c r="C1229" s="1" t="n">
        <v>45358</v>
      </c>
      <c r="D1229" t="inlineStr">
        <is>
          <t>HALLANDS LÄN</t>
        </is>
      </c>
      <c r="E1229" t="inlineStr">
        <is>
          <t>HYLTE</t>
        </is>
      </c>
      <c r="G1229" t="n">
        <v>2.3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66928-2020</t>
        </is>
      </c>
      <c r="B1230" s="1" t="n">
        <v>44180</v>
      </c>
      <c r="C1230" s="1" t="n">
        <v>45358</v>
      </c>
      <c r="D1230" t="inlineStr">
        <is>
          <t>HALLANDS LÄN</t>
        </is>
      </c>
      <c r="E1230" t="inlineStr">
        <is>
          <t>HALMSTAD</t>
        </is>
      </c>
      <c r="G1230" t="n">
        <v>2.1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67468-2020</t>
        </is>
      </c>
      <c r="B1231" s="1" t="n">
        <v>44181</v>
      </c>
      <c r="C1231" s="1" t="n">
        <v>45358</v>
      </c>
      <c r="D1231" t="inlineStr">
        <is>
          <t>HALLANDS LÄN</t>
        </is>
      </c>
      <c r="E1231" t="inlineStr">
        <is>
          <t>FALKENBERG</t>
        </is>
      </c>
      <c r="G1231" t="n">
        <v>0.7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67933-2020</t>
        </is>
      </c>
      <c r="B1232" s="1" t="n">
        <v>44182</v>
      </c>
      <c r="C1232" s="1" t="n">
        <v>45358</v>
      </c>
      <c r="D1232" t="inlineStr">
        <is>
          <t>HALLANDS LÄN</t>
        </is>
      </c>
      <c r="E1232" t="inlineStr">
        <is>
          <t>LAHOLM</t>
        </is>
      </c>
      <c r="G1232" t="n">
        <v>0.9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68297-2020</t>
        </is>
      </c>
      <c r="B1233" s="1" t="n">
        <v>44184</v>
      </c>
      <c r="C1233" s="1" t="n">
        <v>45358</v>
      </c>
      <c r="D1233" t="inlineStr">
        <is>
          <t>HALLANDS LÄN</t>
        </is>
      </c>
      <c r="E1233" t="inlineStr">
        <is>
          <t>VARBERG</t>
        </is>
      </c>
      <c r="G1233" t="n">
        <v>4.3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68554-2020</t>
        </is>
      </c>
      <c r="B1234" s="1" t="n">
        <v>44186</v>
      </c>
      <c r="C1234" s="1" t="n">
        <v>45358</v>
      </c>
      <c r="D1234" t="inlineStr">
        <is>
          <t>HALLANDS LÄN</t>
        </is>
      </c>
      <c r="E1234" t="inlineStr">
        <is>
          <t>FALKENBERG</t>
        </is>
      </c>
      <c r="G1234" t="n">
        <v>3.5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68618-2020</t>
        </is>
      </c>
      <c r="B1235" s="1" t="n">
        <v>44186</v>
      </c>
      <c r="C1235" s="1" t="n">
        <v>45358</v>
      </c>
      <c r="D1235" t="inlineStr">
        <is>
          <t>HALLANDS LÄN</t>
        </is>
      </c>
      <c r="E1235" t="inlineStr">
        <is>
          <t>KUNGSBACKA</t>
        </is>
      </c>
      <c r="G1235" t="n">
        <v>1.8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68617-2020</t>
        </is>
      </c>
      <c r="B1236" s="1" t="n">
        <v>44186</v>
      </c>
      <c r="C1236" s="1" t="n">
        <v>45358</v>
      </c>
      <c r="D1236" t="inlineStr">
        <is>
          <t>HALLANDS LÄN</t>
        </is>
      </c>
      <c r="E1236" t="inlineStr">
        <is>
          <t>KUNGSBACKA</t>
        </is>
      </c>
      <c r="G1236" t="n">
        <v>3.4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68588-2020</t>
        </is>
      </c>
      <c r="B1237" s="1" t="n">
        <v>44186</v>
      </c>
      <c r="C1237" s="1" t="n">
        <v>45358</v>
      </c>
      <c r="D1237" t="inlineStr">
        <is>
          <t>HALLANDS LÄN</t>
        </is>
      </c>
      <c r="E1237" t="inlineStr">
        <is>
          <t>KUNGSBACKA</t>
        </is>
      </c>
      <c r="G1237" t="n">
        <v>1.3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68820-2020</t>
        </is>
      </c>
      <c r="B1238" s="1" t="n">
        <v>44187</v>
      </c>
      <c r="C1238" s="1" t="n">
        <v>45358</v>
      </c>
      <c r="D1238" t="inlineStr">
        <is>
          <t>HALLANDS LÄN</t>
        </is>
      </c>
      <c r="E1238" t="inlineStr">
        <is>
          <t>FALKENBERG</t>
        </is>
      </c>
      <c r="G1238" t="n">
        <v>1.4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68830-2020</t>
        </is>
      </c>
      <c r="B1239" s="1" t="n">
        <v>44187</v>
      </c>
      <c r="C1239" s="1" t="n">
        <v>45358</v>
      </c>
      <c r="D1239" t="inlineStr">
        <is>
          <t>HALLANDS LÄN</t>
        </is>
      </c>
      <c r="E1239" t="inlineStr">
        <is>
          <t>HALMSTAD</t>
        </is>
      </c>
      <c r="G1239" t="n">
        <v>4.5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68817-2020</t>
        </is>
      </c>
      <c r="B1240" s="1" t="n">
        <v>44187</v>
      </c>
      <c r="C1240" s="1" t="n">
        <v>45358</v>
      </c>
      <c r="D1240" t="inlineStr">
        <is>
          <t>HALLANDS LÄN</t>
        </is>
      </c>
      <c r="E1240" t="inlineStr">
        <is>
          <t>FALKENBERG</t>
        </is>
      </c>
      <c r="G1240" t="n">
        <v>1.6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68882-2020</t>
        </is>
      </c>
      <c r="B1241" s="1" t="n">
        <v>44187</v>
      </c>
      <c r="C1241" s="1" t="n">
        <v>45358</v>
      </c>
      <c r="D1241" t="inlineStr">
        <is>
          <t>HALLANDS LÄN</t>
        </is>
      </c>
      <c r="E1241" t="inlineStr">
        <is>
          <t>VARBERG</t>
        </is>
      </c>
      <c r="G1241" t="n">
        <v>5.5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68914-2020</t>
        </is>
      </c>
      <c r="B1242" s="1" t="n">
        <v>44187</v>
      </c>
      <c r="C1242" s="1" t="n">
        <v>45358</v>
      </c>
      <c r="D1242" t="inlineStr">
        <is>
          <t>HALLANDS LÄN</t>
        </is>
      </c>
      <c r="E1242" t="inlineStr">
        <is>
          <t>HYLTE</t>
        </is>
      </c>
      <c r="G1242" t="n">
        <v>4.2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68891-2020</t>
        </is>
      </c>
      <c r="B1243" s="1" t="n">
        <v>44187</v>
      </c>
      <c r="C1243" s="1" t="n">
        <v>45358</v>
      </c>
      <c r="D1243" t="inlineStr">
        <is>
          <t>HALLANDS LÄN</t>
        </is>
      </c>
      <c r="E1243" t="inlineStr">
        <is>
          <t>FALKENBERG</t>
        </is>
      </c>
      <c r="G1243" t="n">
        <v>0.6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68815-2020</t>
        </is>
      </c>
      <c r="B1244" s="1" t="n">
        <v>44187</v>
      </c>
      <c r="C1244" s="1" t="n">
        <v>45358</v>
      </c>
      <c r="D1244" t="inlineStr">
        <is>
          <t>HALLANDS LÄN</t>
        </is>
      </c>
      <c r="E1244" t="inlineStr">
        <is>
          <t>FALKENBERG</t>
        </is>
      </c>
      <c r="G1244" t="n">
        <v>5.9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68894-2020</t>
        </is>
      </c>
      <c r="B1245" s="1" t="n">
        <v>44187</v>
      </c>
      <c r="C1245" s="1" t="n">
        <v>45358</v>
      </c>
      <c r="D1245" t="inlineStr">
        <is>
          <t>HALLANDS LÄN</t>
        </is>
      </c>
      <c r="E1245" t="inlineStr">
        <is>
          <t>HALMSTAD</t>
        </is>
      </c>
      <c r="G1245" t="n">
        <v>2.6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69303-2020</t>
        </is>
      </c>
      <c r="B1246" s="1" t="n">
        <v>44193</v>
      </c>
      <c r="C1246" s="1" t="n">
        <v>45358</v>
      </c>
      <c r="D1246" t="inlineStr">
        <is>
          <t>HALLANDS LÄN</t>
        </is>
      </c>
      <c r="E1246" t="inlineStr">
        <is>
          <t>HYLTE</t>
        </is>
      </c>
      <c r="G1246" t="n">
        <v>1.8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45-2021</t>
        </is>
      </c>
      <c r="B1247" s="1" t="n">
        <v>44199</v>
      </c>
      <c r="C1247" s="1" t="n">
        <v>45358</v>
      </c>
      <c r="D1247" t="inlineStr">
        <is>
          <t>HALLANDS LÄN</t>
        </is>
      </c>
      <c r="E1247" t="inlineStr">
        <is>
          <t>HYLTE</t>
        </is>
      </c>
      <c r="G1247" t="n">
        <v>2.1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149-2021</t>
        </is>
      </c>
      <c r="B1248" s="1" t="n">
        <v>44200</v>
      </c>
      <c r="C1248" s="1" t="n">
        <v>45358</v>
      </c>
      <c r="D1248" t="inlineStr">
        <is>
          <t>HALLANDS LÄN</t>
        </is>
      </c>
      <c r="E1248" t="inlineStr">
        <is>
          <t>KUNGSBACKA</t>
        </is>
      </c>
      <c r="G1248" t="n">
        <v>2.8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223-2021</t>
        </is>
      </c>
      <c r="B1249" s="1" t="n">
        <v>44200</v>
      </c>
      <c r="C1249" s="1" t="n">
        <v>45358</v>
      </c>
      <c r="D1249" t="inlineStr">
        <is>
          <t>HALLANDS LÄN</t>
        </is>
      </c>
      <c r="E1249" t="inlineStr">
        <is>
          <t>LAHOLM</t>
        </is>
      </c>
      <c r="G1249" t="n">
        <v>3.2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230-2021</t>
        </is>
      </c>
      <c r="B1250" s="1" t="n">
        <v>44200</v>
      </c>
      <c r="C1250" s="1" t="n">
        <v>45358</v>
      </c>
      <c r="D1250" t="inlineStr">
        <is>
          <t>HALLANDS LÄN</t>
        </is>
      </c>
      <c r="E1250" t="inlineStr">
        <is>
          <t>LAHOLM</t>
        </is>
      </c>
      <c r="G1250" t="n">
        <v>5.5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720-2021</t>
        </is>
      </c>
      <c r="B1251" s="1" t="n">
        <v>44204</v>
      </c>
      <c r="C1251" s="1" t="n">
        <v>45358</v>
      </c>
      <c r="D1251" t="inlineStr">
        <is>
          <t>HALLANDS LÄN</t>
        </is>
      </c>
      <c r="E1251" t="inlineStr">
        <is>
          <t>HALMSTAD</t>
        </is>
      </c>
      <c r="G1251" t="n">
        <v>2.4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762-2021</t>
        </is>
      </c>
      <c r="B1252" s="1" t="n">
        <v>44204</v>
      </c>
      <c r="C1252" s="1" t="n">
        <v>45358</v>
      </c>
      <c r="D1252" t="inlineStr">
        <is>
          <t>HALLANDS LÄN</t>
        </is>
      </c>
      <c r="E1252" t="inlineStr">
        <is>
          <t>FALKENBERG</t>
        </is>
      </c>
      <c r="G1252" t="n">
        <v>0.7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905-2021</t>
        </is>
      </c>
      <c r="B1253" s="1" t="n">
        <v>44207</v>
      </c>
      <c r="C1253" s="1" t="n">
        <v>45358</v>
      </c>
      <c r="D1253" t="inlineStr">
        <is>
          <t>HALLANDS LÄN</t>
        </is>
      </c>
      <c r="E1253" t="inlineStr">
        <is>
          <t>VARBERG</t>
        </is>
      </c>
      <c r="G1253" t="n">
        <v>1.2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1583-2021</t>
        </is>
      </c>
      <c r="B1254" s="1" t="n">
        <v>44209</v>
      </c>
      <c r="C1254" s="1" t="n">
        <v>45358</v>
      </c>
      <c r="D1254" t="inlineStr">
        <is>
          <t>HALLANDS LÄN</t>
        </is>
      </c>
      <c r="E1254" t="inlineStr">
        <is>
          <t>HALMSTAD</t>
        </is>
      </c>
      <c r="G1254" t="n">
        <v>1.1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1501-2021</t>
        </is>
      </c>
      <c r="B1255" s="1" t="n">
        <v>44209</v>
      </c>
      <c r="C1255" s="1" t="n">
        <v>45358</v>
      </c>
      <c r="D1255" t="inlineStr">
        <is>
          <t>HALLANDS LÄN</t>
        </is>
      </c>
      <c r="E1255" t="inlineStr">
        <is>
          <t>FALKENBERG</t>
        </is>
      </c>
      <c r="G1255" t="n">
        <v>0.9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1861-2021</t>
        </is>
      </c>
      <c r="B1256" s="1" t="n">
        <v>44210</v>
      </c>
      <c r="C1256" s="1" t="n">
        <v>45358</v>
      </c>
      <c r="D1256" t="inlineStr">
        <is>
          <t>HALLANDS LÄN</t>
        </is>
      </c>
      <c r="E1256" t="inlineStr">
        <is>
          <t>VARBERG</t>
        </is>
      </c>
      <c r="G1256" t="n">
        <v>0.6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2011-2021</t>
        </is>
      </c>
      <c r="B1257" s="1" t="n">
        <v>44210</v>
      </c>
      <c r="C1257" s="1" t="n">
        <v>45358</v>
      </c>
      <c r="D1257" t="inlineStr">
        <is>
          <t>HALLANDS LÄN</t>
        </is>
      </c>
      <c r="E1257" t="inlineStr">
        <is>
          <t>HYLTE</t>
        </is>
      </c>
      <c r="G1257" t="n">
        <v>1.1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2137-2021</t>
        </is>
      </c>
      <c r="B1258" s="1" t="n">
        <v>44211</v>
      </c>
      <c r="C1258" s="1" t="n">
        <v>45358</v>
      </c>
      <c r="D1258" t="inlineStr">
        <is>
          <t>HALLANDS LÄN</t>
        </is>
      </c>
      <c r="E1258" t="inlineStr">
        <is>
          <t>FALKENBERG</t>
        </is>
      </c>
      <c r="G1258" t="n">
        <v>2.2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2376-2021</t>
        </is>
      </c>
      <c r="B1259" s="1" t="n">
        <v>44211</v>
      </c>
      <c r="C1259" s="1" t="n">
        <v>45358</v>
      </c>
      <c r="D1259" t="inlineStr">
        <is>
          <t>HALLANDS LÄN</t>
        </is>
      </c>
      <c r="E1259" t="inlineStr">
        <is>
          <t>FALKENBERG</t>
        </is>
      </c>
      <c r="G1259" t="n">
        <v>1.4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2180-2021</t>
        </is>
      </c>
      <c r="B1260" s="1" t="n">
        <v>44211</v>
      </c>
      <c r="C1260" s="1" t="n">
        <v>45358</v>
      </c>
      <c r="D1260" t="inlineStr">
        <is>
          <t>HALLANDS LÄN</t>
        </is>
      </c>
      <c r="E1260" t="inlineStr">
        <is>
          <t>HALMSTAD</t>
        </is>
      </c>
      <c r="G1260" t="n">
        <v>0.8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2070-2021</t>
        </is>
      </c>
      <c r="B1261" s="1" t="n">
        <v>44211</v>
      </c>
      <c r="C1261" s="1" t="n">
        <v>45358</v>
      </c>
      <c r="D1261" t="inlineStr">
        <is>
          <t>HALLANDS LÄN</t>
        </is>
      </c>
      <c r="E1261" t="inlineStr">
        <is>
          <t>HALMSTAD</t>
        </is>
      </c>
      <c r="G1261" t="n">
        <v>7.4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2938-2021</t>
        </is>
      </c>
      <c r="B1262" s="1" t="n">
        <v>44214</v>
      </c>
      <c r="C1262" s="1" t="n">
        <v>45358</v>
      </c>
      <c r="D1262" t="inlineStr">
        <is>
          <t>HALLANDS LÄN</t>
        </is>
      </c>
      <c r="E1262" t="inlineStr">
        <is>
          <t>HALMSTAD</t>
        </is>
      </c>
      <c r="F1262" t="inlineStr">
        <is>
          <t>Bergvik skog väst AB</t>
        </is>
      </c>
      <c r="G1262" t="n">
        <v>4.4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2977-2021</t>
        </is>
      </c>
      <c r="B1263" s="1" t="n">
        <v>44214</v>
      </c>
      <c r="C1263" s="1" t="n">
        <v>45358</v>
      </c>
      <c r="D1263" t="inlineStr">
        <is>
          <t>HALLANDS LÄN</t>
        </is>
      </c>
      <c r="E1263" t="inlineStr">
        <is>
          <t>HALMSTAD</t>
        </is>
      </c>
      <c r="F1263" t="inlineStr">
        <is>
          <t>Bergvik skog väst AB</t>
        </is>
      </c>
      <c r="G1263" t="n">
        <v>3.5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2880-2021</t>
        </is>
      </c>
      <c r="B1264" s="1" t="n">
        <v>44214</v>
      </c>
      <c r="C1264" s="1" t="n">
        <v>45358</v>
      </c>
      <c r="D1264" t="inlineStr">
        <is>
          <t>HALLANDS LÄN</t>
        </is>
      </c>
      <c r="E1264" t="inlineStr">
        <is>
          <t>HALMSTAD</t>
        </is>
      </c>
      <c r="F1264" t="inlineStr">
        <is>
          <t>Bergvik skog väst AB</t>
        </is>
      </c>
      <c r="G1264" t="n">
        <v>6.3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3161-2021</t>
        </is>
      </c>
      <c r="B1265" s="1" t="n">
        <v>44214</v>
      </c>
      <c r="C1265" s="1" t="n">
        <v>45358</v>
      </c>
      <c r="D1265" t="inlineStr">
        <is>
          <t>HALLANDS LÄN</t>
        </is>
      </c>
      <c r="E1265" t="inlineStr">
        <is>
          <t>HALMSTAD</t>
        </is>
      </c>
      <c r="F1265" t="inlineStr">
        <is>
          <t>Bergvik skog väst AB</t>
        </is>
      </c>
      <c r="G1265" t="n">
        <v>1.6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3166-2021</t>
        </is>
      </c>
      <c r="B1266" s="1" t="n">
        <v>44214</v>
      </c>
      <c r="C1266" s="1" t="n">
        <v>45358</v>
      </c>
      <c r="D1266" t="inlineStr">
        <is>
          <t>HALLANDS LÄN</t>
        </is>
      </c>
      <c r="E1266" t="inlineStr">
        <is>
          <t>HALMSTAD</t>
        </is>
      </c>
      <c r="F1266" t="inlineStr">
        <is>
          <t>Bergvik skog väst AB</t>
        </is>
      </c>
      <c r="G1266" t="n">
        <v>1.1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2949-2021</t>
        </is>
      </c>
      <c r="B1267" s="1" t="n">
        <v>44214</v>
      </c>
      <c r="C1267" s="1" t="n">
        <v>45358</v>
      </c>
      <c r="D1267" t="inlineStr">
        <is>
          <t>HALLANDS LÄN</t>
        </is>
      </c>
      <c r="E1267" t="inlineStr">
        <is>
          <t>HALMSTAD</t>
        </is>
      </c>
      <c r="F1267" t="inlineStr">
        <is>
          <t>Bergvik skog väst AB</t>
        </is>
      </c>
      <c r="G1267" t="n">
        <v>11.1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3140-2021</t>
        </is>
      </c>
      <c r="B1268" s="1" t="n">
        <v>44214</v>
      </c>
      <c r="C1268" s="1" t="n">
        <v>45358</v>
      </c>
      <c r="D1268" t="inlineStr">
        <is>
          <t>HALLANDS LÄN</t>
        </is>
      </c>
      <c r="E1268" t="inlineStr">
        <is>
          <t>HALMSTAD</t>
        </is>
      </c>
      <c r="F1268" t="inlineStr">
        <is>
          <t>Bergvik skog väst AB</t>
        </is>
      </c>
      <c r="G1268" t="n">
        <v>0.7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2864-2021</t>
        </is>
      </c>
      <c r="B1269" s="1" t="n">
        <v>44216</v>
      </c>
      <c r="C1269" s="1" t="n">
        <v>45358</v>
      </c>
      <c r="D1269" t="inlineStr">
        <is>
          <t>HALLANDS LÄN</t>
        </is>
      </c>
      <c r="E1269" t="inlineStr">
        <is>
          <t>HYLTE</t>
        </is>
      </c>
      <c r="G1269" t="n">
        <v>0.5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2897-2021</t>
        </is>
      </c>
      <c r="B1270" s="1" t="n">
        <v>44216</v>
      </c>
      <c r="C1270" s="1" t="n">
        <v>45358</v>
      </c>
      <c r="D1270" t="inlineStr">
        <is>
          <t>HALLANDS LÄN</t>
        </is>
      </c>
      <c r="E1270" t="inlineStr">
        <is>
          <t>VARBERG</t>
        </is>
      </c>
      <c r="G1270" t="n">
        <v>1.9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2996-2021</t>
        </is>
      </c>
      <c r="B1271" s="1" t="n">
        <v>44216</v>
      </c>
      <c r="C1271" s="1" t="n">
        <v>45358</v>
      </c>
      <c r="D1271" t="inlineStr">
        <is>
          <t>HALLANDS LÄN</t>
        </is>
      </c>
      <c r="E1271" t="inlineStr">
        <is>
          <t>HALMSTAD</t>
        </is>
      </c>
      <c r="G1271" t="n">
        <v>8.199999999999999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3115-2021</t>
        </is>
      </c>
      <c r="B1272" s="1" t="n">
        <v>44217</v>
      </c>
      <c r="C1272" s="1" t="n">
        <v>45358</v>
      </c>
      <c r="D1272" t="inlineStr">
        <is>
          <t>HALLANDS LÄN</t>
        </is>
      </c>
      <c r="E1272" t="inlineStr">
        <is>
          <t>FALKENBERG</t>
        </is>
      </c>
      <c r="G1272" t="n">
        <v>6.5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3190-2021</t>
        </is>
      </c>
      <c r="B1273" s="1" t="n">
        <v>44217</v>
      </c>
      <c r="C1273" s="1" t="n">
        <v>45358</v>
      </c>
      <c r="D1273" t="inlineStr">
        <is>
          <t>HALLANDS LÄN</t>
        </is>
      </c>
      <c r="E1273" t="inlineStr">
        <is>
          <t>HALMSTAD</t>
        </is>
      </c>
      <c r="G1273" t="n">
        <v>2.5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3253-2021</t>
        </is>
      </c>
      <c r="B1274" s="1" t="n">
        <v>44217</v>
      </c>
      <c r="C1274" s="1" t="n">
        <v>45358</v>
      </c>
      <c r="D1274" t="inlineStr">
        <is>
          <t>HALLANDS LÄN</t>
        </is>
      </c>
      <c r="E1274" t="inlineStr">
        <is>
          <t>FALKENBERG</t>
        </is>
      </c>
      <c r="F1274" t="inlineStr">
        <is>
          <t>Bergvik skog väst AB</t>
        </is>
      </c>
      <c r="G1274" t="n">
        <v>11.8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3355-2021</t>
        </is>
      </c>
      <c r="B1275" s="1" t="n">
        <v>44217</v>
      </c>
      <c r="C1275" s="1" t="n">
        <v>45358</v>
      </c>
      <c r="D1275" t="inlineStr">
        <is>
          <t>HALLANDS LÄN</t>
        </is>
      </c>
      <c r="E1275" t="inlineStr">
        <is>
          <t>KUNGSBACKA</t>
        </is>
      </c>
      <c r="G1275" t="n">
        <v>17.6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3144-2021</t>
        </is>
      </c>
      <c r="B1276" s="1" t="n">
        <v>44217</v>
      </c>
      <c r="C1276" s="1" t="n">
        <v>45358</v>
      </c>
      <c r="D1276" t="inlineStr">
        <is>
          <t>HALLANDS LÄN</t>
        </is>
      </c>
      <c r="E1276" t="inlineStr">
        <is>
          <t>HALMSTAD</t>
        </is>
      </c>
      <c r="G1276" t="n">
        <v>5.5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3228-2021</t>
        </is>
      </c>
      <c r="B1277" s="1" t="n">
        <v>44217</v>
      </c>
      <c r="C1277" s="1" t="n">
        <v>45358</v>
      </c>
      <c r="D1277" t="inlineStr">
        <is>
          <t>HALLANDS LÄN</t>
        </is>
      </c>
      <c r="E1277" t="inlineStr">
        <is>
          <t>FALKENBERG</t>
        </is>
      </c>
      <c r="F1277" t="inlineStr">
        <is>
          <t>Bergvik skog väst AB</t>
        </is>
      </c>
      <c r="G1277" t="n">
        <v>0.9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4133-2021</t>
        </is>
      </c>
      <c r="B1278" s="1" t="n">
        <v>44218</v>
      </c>
      <c r="C1278" s="1" t="n">
        <v>45358</v>
      </c>
      <c r="D1278" t="inlineStr">
        <is>
          <t>HALLANDS LÄN</t>
        </is>
      </c>
      <c r="E1278" t="inlineStr">
        <is>
          <t>HALMSTAD</t>
        </is>
      </c>
      <c r="F1278" t="inlineStr">
        <is>
          <t>Kyrkan</t>
        </is>
      </c>
      <c r="G1278" t="n">
        <v>2.5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3588-2021</t>
        </is>
      </c>
      <c r="B1279" s="1" t="n">
        <v>44220</v>
      </c>
      <c r="C1279" s="1" t="n">
        <v>45358</v>
      </c>
      <c r="D1279" t="inlineStr">
        <is>
          <t>HALLANDS LÄN</t>
        </is>
      </c>
      <c r="E1279" t="inlineStr">
        <is>
          <t>HALMSTAD</t>
        </is>
      </c>
      <c r="G1279" t="n">
        <v>6.8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3591-2021</t>
        </is>
      </c>
      <c r="B1280" s="1" t="n">
        <v>44220</v>
      </c>
      <c r="C1280" s="1" t="n">
        <v>45358</v>
      </c>
      <c r="D1280" t="inlineStr">
        <is>
          <t>HALLANDS LÄN</t>
        </is>
      </c>
      <c r="E1280" t="inlineStr">
        <is>
          <t>HALMSTAD</t>
        </is>
      </c>
      <c r="G1280" t="n">
        <v>1.3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3786-2021</t>
        </is>
      </c>
      <c r="B1281" s="1" t="n">
        <v>44221</v>
      </c>
      <c r="C1281" s="1" t="n">
        <v>45358</v>
      </c>
      <c r="D1281" t="inlineStr">
        <is>
          <t>HALLANDS LÄN</t>
        </is>
      </c>
      <c r="E1281" t="inlineStr">
        <is>
          <t>HYLTE</t>
        </is>
      </c>
      <c r="G1281" t="n">
        <v>7.2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3659-2021</t>
        </is>
      </c>
      <c r="B1282" s="1" t="n">
        <v>44221</v>
      </c>
      <c r="C1282" s="1" t="n">
        <v>45358</v>
      </c>
      <c r="D1282" t="inlineStr">
        <is>
          <t>HALLANDS LÄN</t>
        </is>
      </c>
      <c r="E1282" t="inlineStr">
        <is>
          <t>VARBERG</t>
        </is>
      </c>
      <c r="G1282" t="n">
        <v>0.6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3831-2021</t>
        </is>
      </c>
      <c r="B1283" s="1" t="n">
        <v>44222</v>
      </c>
      <c r="C1283" s="1" t="n">
        <v>45358</v>
      </c>
      <c r="D1283" t="inlineStr">
        <is>
          <t>HALLANDS LÄN</t>
        </is>
      </c>
      <c r="E1283" t="inlineStr">
        <is>
          <t>VARBERG</t>
        </is>
      </c>
      <c r="G1283" t="n">
        <v>2.8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4214-2021</t>
        </is>
      </c>
      <c r="B1284" s="1" t="n">
        <v>44223</v>
      </c>
      <c r="C1284" s="1" t="n">
        <v>45358</v>
      </c>
      <c r="D1284" t="inlineStr">
        <is>
          <t>HALLANDS LÄN</t>
        </is>
      </c>
      <c r="E1284" t="inlineStr">
        <is>
          <t>FALKENBERG</t>
        </is>
      </c>
      <c r="G1284" t="n">
        <v>6.3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4208-2021</t>
        </is>
      </c>
      <c r="B1285" s="1" t="n">
        <v>44223</v>
      </c>
      <c r="C1285" s="1" t="n">
        <v>45358</v>
      </c>
      <c r="D1285" t="inlineStr">
        <is>
          <t>HALLANDS LÄN</t>
        </is>
      </c>
      <c r="E1285" t="inlineStr">
        <is>
          <t>HALMSTAD</t>
        </is>
      </c>
      <c r="G1285" t="n">
        <v>1.8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4820-2021</t>
        </is>
      </c>
      <c r="B1286" s="1" t="n">
        <v>44223</v>
      </c>
      <c r="C1286" s="1" t="n">
        <v>45358</v>
      </c>
      <c r="D1286" t="inlineStr">
        <is>
          <t>HALLANDS LÄN</t>
        </is>
      </c>
      <c r="E1286" t="inlineStr">
        <is>
          <t>VARBERG</t>
        </is>
      </c>
      <c r="G1286" t="n">
        <v>10.3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4554-2021</t>
        </is>
      </c>
      <c r="B1287" s="1" t="n">
        <v>44224</v>
      </c>
      <c r="C1287" s="1" t="n">
        <v>45358</v>
      </c>
      <c r="D1287" t="inlineStr">
        <is>
          <t>HALLANDS LÄN</t>
        </is>
      </c>
      <c r="E1287" t="inlineStr">
        <is>
          <t>KUNGSBACKA</t>
        </is>
      </c>
      <c r="G1287" t="n">
        <v>4.2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4581-2021</t>
        </is>
      </c>
      <c r="B1288" s="1" t="n">
        <v>44224</v>
      </c>
      <c r="C1288" s="1" t="n">
        <v>45358</v>
      </c>
      <c r="D1288" t="inlineStr">
        <is>
          <t>HALLANDS LÄN</t>
        </is>
      </c>
      <c r="E1288" t="inlineStr">
        <is>
          <t>HYLTE</t>
        </is>
      </c>
      <c r="G1288" t="n">
        <v>2.8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4423-2021</t>
        </is>
      </c>
      <c r="B1289" s="1" t="n">
        <v>44224</v>
      </c>
      <c r="C1289" s="1" t="n">
        <v>45358</v>
      </c>
      <c r="D1289" t="inlineStr">
        <is>
          <t>HALLANDS LÄN</t>
        </is>
      </c>
      <c r="E1289" t="inlineStr">
        <is>
          <t>LAHOLM</t>
        </is>
      </c>
      <c r="G1289" t="n">
        <v>1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4648-2021</t>
        </is>
      </c>
      <c r="B1290" s="1" t="n">
        <v>44224</v>
      </c>
      <c r="C1290" s="1" t="n">
        <v>45358</v>
      </c>
      <c r="D1290" t="inlineStr">
        <is>
          <t>HALLANDS LÄN</t>
        </is>
      </c>
      <c r="E1290" t="inlineStr">
        <is>
          <t>FALKENBERG</t>
        </is>
      </c>
      <c r="G1290" t="n">
        <v>2.2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4640-2021</t>
        </is>
      </c>
      <c r="B1291" s="1" t="n">
        <v>44224</v>
      </c>
      <c r="C1291" s="1" t="n">
        <v>45358</v>
      </c>
      <c r="D1291" t="inlineStr">
        <is>
          <t>HALLANDS LÄN</t>
        </is>
      </c>
      <c r="E1291" t="inlineStr">
        <is>
          <t>FALKENBERG</t>
        </is>
      </c>
      <c r="G1291" t="n">
        <v>1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5009-2021</t>
        </is>
      </c>
      <c r="B1292" s="1" t="n">
        <v>44224</v>
      </c>
      <c r="C1292" s="1" t="n">
        <v>45358</v>
      </c>
      <c r="D1292" t="inlineStr">
        <is>
          <t>HALLANDS LÄN</t>
        </is>
      </c>
      <c r="E1292" t="inlineStr">
        <is>
          <t>FALKENBERG</t>
        </is>
      </c>
      <c r="G1292" t="n">
        <v>1.9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5010-2021</t>
        </is>
      </c>
      <c r="B1293" s="1" t="n">
        <v>44224</v>
      </c>
      <c r="C1293" s="1" t="n">
        <v>45358</v>
      </c>
      <c r="D1293" t="inlineStr">
        <is>
          <t>HALLANDS LÄN</t>
        </is>
      </c>
      <c r="E1293" t="inlineStr">
        <is>
          <t>FALKENBERG</t>
        </is>
      </c>
      <c r="G1293" t="n">
        <v>6.5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5004-2021</t>
        </is>
      </c>
      <c r="B1294" s="1" t="n">
        <v>44224</v>
      </c>
      <c r="C1294" s="1" t="n">
        <v>45358</v>
      </c>
      <c r="D1294" t="inlineStr">
        <is>
          <t>HALLANDS LÄN</t>
        </is>
      </c>
      <c r="E1294" t="inlineStr">
        <is>
          <t>FALKENBERG</t>
        </is>
      </c>
      <c r="G1294" t="n">
        <v>0.9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4831-2021</t>
        </is>
      </c>
      <c r="B1295" s="1" t="n">
        <v>44225</v>
      </c>
      <c r="C1295" s="1" t="n">
        <v>45358</v>
      </c>
      <c r="D1295" t="inlineStr">
        <is>
          <t>HALLANDS LÄN</t>
        </is>
      </c>
      <c r="E1295" t="inlineStr">
        <is>
          <t>KUNGSBACKA</t>
        </is>
      </c>
      <c r="G1295" t="n">
        <v>7.4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4677-2021</t>
        </is>
      </c>
      <c r="B1296" s="1" t="n">
        <v>44225</v>
      </c>
      <c r="C1296" s="1" t="n">
        <v>45358</v>
      </c>
      <c r="D1296" t="inlineStr">
        <is>
          <t>HALLANDS LÄN</t>
        </is>
      </c>
      <c r="E1296" t="inlineStr">
        <is>
          <t>LAHOLM</t>
        </is>
      </c>
      <c r="G1296" t="n">
        <v>1.8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4674-2021</t>
        </is>
      </c>
      <c r="B1297" s="1" t="n">
        <v>44225</v>
      </c>
      <c r="C1297" s="1" t="n">
        <v>45358</v>
      </c>
      <c r="D1297" t="inlineStr">
        <is>
          <t>HALLANDS LÄN</t>
        </is>
      </c>
      <c r="E1297" t="inlineStr">
        <is>
          <t>LAHOLM</t>
        </is>
      </c>
      <c r="G1297" t="n">
        <v>1.8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4819-2021</t>
        </is>
      </c>
      <c r="B1298" s="1" t="n">
        <v>44225</v>
      </c>
      <c r="C1298" s="1" t="n">
        <v>45358</v>
      </c>
      <c r="D1298" t="inlineStr">
        <is>
          <t>HALLANDS LÄN</t>
        </is>
      </c>
      <c r="E1298" t="inlineStr">
        <is>
          <t>VARBERG</t>
        </is>
      </c>
      <c r="G1298" t="n">
        <v>3.4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4862-2021</t>
        </is>
      </c>
      <c r="B1299" s="1" t="n">
        <v>44225</v>
      </c>
      <c r="C1299" s="1" t="n">
        <v>45358</v>
      </c>
      <c r="D1299" t="inlineStr">
        <is>
          <t>HALLANDS LÄN</t>
        </is>
      </c>
      <c r="E1299" t="inlineStr">
        <is>
          <t>KUNGSBACKA</t>
        </is>
      </c>
      <c r="G1299" t="n">
        <v>6.6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4901-2021</t>
        </is>
      </c>
      <c r="B1300" s="1" t="n">
        <v>44225</v>
      </c>
      <c r="C1300" s="1" t="n">
        <v>45358</v>
      </c>
      <c r="D1300" t="inlineStr">
        <is>
          <t>HALLANDS LÄN</t>
        </is>
      </c>
      <c r="E1300" t="inlineStr">
        <is>
          <t>VARBERG</t>
        </is>
      </c>
      <c r="G1300" t="n">
        <v>1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4908-2021</t>
        </is>
      </c>
      <c r="B1301" s="1" t="n">
        <v>44225</v>
      </c>
      <c r="C1301" s="1" t="n">
        <v>45358</v>
      </c>
      <c r="D1301" t="inlineStr">
        <is>
          <t>HALLANDS LÄN</t>
        </is>
      </c>
      <c r="E1301" t="inlineStr">
        <is>
          <t>VARBERG</t>
        </is>
      </c>
      <c r="G1301" t="n">
        <v>0.6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4906-2021</t>
        </is>
      </c>
      <c r="B1302" s="1" t="n">
        <v>44225</v>
      </c>
      <c r="C1302" s="1" t="n">
        <v>45358</v>
      </c>
      <c r="D1302" t="inlineStr">
        <is>
          <t>HALLANDS LÄN</t>
        </is>
      </c>
      <c r="E1302" t="inlineStr">
        <is>
          <t>VARBERG</t>
        </is>
      </c>
      <c r="G1302" t="n">
        <v>2.1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4919-2021</t>
        </is>
      </c>
      <c r="B1303" s="1" t="n">
        <v>44226</v>
      </c>
      <c r="C1303" s="1" t="n">
        <v>45358</v>
      </c>
      <c r="D1303" t="inlineStr">
        <is>
          <t>HALLANDS LÄN</t>
        </is>
      </c>
      <c r="E1303" t="inlineStr">
        <is>
          <t>LAHOLM</t>
        </is>
      </c>
      <c r="G1303" t="n">
        <v>6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4932-2021</t>
        </is>
      </c>
      <c r="B1304" s="1" t="n">
        <v>44227</v>
      </c>
      <c r="C1304" s="1" t="n">
        <v>45358</v>
      </c>
      <c r="D1304" t="inlineStr">
        <is>
          <t>HALLANDS LÄN</t>
        </is>
      </c>
      <c r="E1304" t="inlineStr">
        <is>
          <t>FALKENBERG</t>
        </is>
      </c>
      <c r="G1304" t="n">
        <v>1.5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4951-2021</t>
        </is>
      </c>
      <c r="B1305" s="1" t="n">
        <v>44228</v>
      </c>
      <c r="C1305" s="1" t="n">
        <v>45358</v>
      </c>
      <c r="D1305" t="inlineStr">
        <is>
          <t>HALLANDS LÄN</t>
        </is>
      </c>
      <c r="E1305" t="inlineStr">
        <is>
          <t>FALKENBERG</t>
        </is>
      </c>
      <c r="G1305" t="n">
        <v>1.5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5066-2021</t>
        </is>
      </c>
      <c r="B1306" s="1" t="n">
        <v>44228</v>
      </c>
      <c r="C1306" s="1" t="n">
        <v>45358</v>
      </c>
      <c r="D1306" t="inlineStr">
        <is>
          <t>HALLANDS LÄN</t>
        </is>
      </c>
      <c r="E1306" t="inlineStr">
        <is>
          <t>HALMSTAD</t>
        </is>
      </c>
      <c r="G1306" t="n">
        <v>0.8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5061-2021</t>
        </is>
      </c>
      <c r="B1307" s="1" t="n">
        <v>44228</v>
      </c>
      <c r="C1307" s="1" t="n">
        <v>45358</v>
      </c>
      <c r="D1307" t="inlineStr">
        <is>
          <t>HALLANDS LÄN</t>
        </is>
      </c>
      <c r="E1307" t="inlineStr">
        <is>
          <t>HALMSTAD</t>
        </is>
      </c>
      <c r="G1307" t="n">
        <v>0.9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5057-2021</t>
        </is>
      </c>
      <c r="B1308" s="1" t="n">
        <v>44228</v>
      </c>
      <c r="C1308" s="1" t="n">
        <v>45358</v>
      </c>
      <c r="D1308" t="inlineStr">
        <is>
          <t>HALLANDS LÄN</t>
        </is>
      </c>
      <c r="E1308" t="inlineStr">
        <is>
          <t>LAHOLM</t>
        </is>
      </c>
      <c r="G1308" t="n">
        <v>0.7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5065-2021</t>
        </is>
      </c>
      <c r="B1309" s="1" t="n">
        <v>44228</v>
      </c>
      <c r="C1309" s="1" t="n">
        <v>45358</v>
      </c>
      <c r="D1309" t="inlineStr">
        <is>
          <t>HALLANDS LÄN</t>
        </is>
      </c>
      <c r="E1309" t="inlineStr">
        <is>
          <t>HALMSTAD</t>
        </is>
      </c>
      <c r="G1309" t="n">
        <v>0.5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5129-2021</t>
        </is>
      </c>
      <c r="B1310" s="1" t="n">
        <v>44228</v>
      </c>
      <c r="C1310" s="1" t="n">
        <v>45358</v>
      </c>
      <c r="D1310" t="inlineStr">
        <is>
          <t>HALLANDS LÄN</t>
        </is>
      </c>
      <c r="E1310" t="inlineStr">
        <is>
          <t>VARBERG</t>
        </is>
      </c>
      <c r="G1310" t="n">
        <v>0.8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5302-2021</t>
        </is>
      </c>
      <c r="B1311" s="1" t="n">
        <v>44229</v>
      </c>
      <c r="C1311" s="1" t="n">
        <v>45358</v>
      </c>
      <c r="D1311" t="inlineStr">
        <is>
          <t>HALLANDS LÄN</t>
        </is>
      </c>
      <c r="E1311" t="inlineStr">
        <is>
          <t>VARBERG</t>
        </is>
      </c>
      <c r="F1311" t="inlineStr">
        <is>
          <t>Övriga statliga verk och myndigheter</t>
        </is>
      </c>
      <c r="G1311" t="n">
        <v>1.1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5540-2021</t>
        </is>
      </c>
      <c r="B1312" s="1" t="n">
        <v>44230</v>
      </c>
      <c r="C1312" s="1" t="n">
        <v>45358</v>
      </c>
      <c r="D1312" t="inlineStr">
        <is>
          <t>HALLANDS LÄN</t>
        </is>
      </c>
      <c r="E1312" t="inlineStr">
        <is>
          <t>HYLTE</t>
        </is>
      </c>
      <c r="G1312" t="n">
        <v>0.9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5745-2021</t>
        </is>
      </c>
      <c r="B1313" s="1" t="n">
        <v>44230</v>
      </c>
      <c r="C1313" s="1" t="n">
        <v>45358</v>
      </c>
      <c r="D1313" t="inlineStr">
        <is>
          <t>HALLANDS LÄN</t>
        </is>
      </c>
      <c r="E1313" t="inlineStr">
        <is>
          <t>FALKENBERG</t>
        </is>
      </c>
      <c r="G1313" t="n">
        <v>2.6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5548-2021</t>
        </is>
      </c>
      <c r="B1314" s="1" t="n">
        <v>44230</v>
      </c>
      <c r="C1314" s="1" t="n">
        <v>45358</v>
      </c>
      <c r="D1314" t="inlineStr">
        <is>
          <t>HALLANDS LÄN</t>
        </is>
      </c>
      <c r="E1314" t="inlineStr">
        <is>
          <t>FALKENBERG</t>
        </is>
      </c>
      <c r="G1314" t="n">
        <v>3.1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5598-2021</t>
        </is>
      </c>
      <c r="B1315" s="1" t="n">
        <v>44230</v>
      </c>
      <c r="C1315" s="1" t="n">
        <v>45358</v>
      </c>
      <c r="D1315" t="inlineStr">
        <is>
          <t>HALLANDS LÄN</t>
        </is>
      </c>
      <c r="E1315" t="inlineStr">
        <is>
          <t>HYLTE</t>
        </is>
      </c>
      <c r="G1315" t="n">
        <v>1.3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5736-2021</t>
        </is>
      </c>
      <c r="B1316" s="1" t="n">
        <v>44230</v>
      </c>
      <c r="C1316" s="1" t="n">
        <v>45358</v>
      </c>
      <c r="D1316" t="inlineStr">
        <is>
          <t>HALLANDS LÄN</t>
        </is>
      </c>
      <c r="E1316" t="inlineStr">
        <is>
          <t>FALKENBERG</t>
        </is>
      </c>
      <c r="G1316" t="n">
        <v>0.8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5945-2021</t>
        </is>
      </c>
      <c r="B1317" s="1" t="n">
        <v>44231</v>
      </c>
      <c r="C1317" s="1" t="n">
        <v>45358</v>
      </c>
      <c r="D1317" t="inlineStr">
        <is>
          <t>HALLANDS LÄN</t>
        </is>
      </c>
      <c r="E1317" t="inlineStr">
        <is>
          <t>VARBERG</t>
        </is>
      </c>
      <c r="G1317" t="n">
        <v>7.9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5955-2021</t>
        </is>
      </c>
      <c r="B1318" s="1" t="n">
        <v>44231</v>
      </c>
      <c r="C1318" s="1" t="n">
        <v>45358</v>
      </c>
      <c r="D1318" t="inlineStr">
        <is>
          <t>HALLANDS LÄN</t>
        </is>
      </c>
      <c r="E1318" t="inlineStr">
        <is>
          <t>HYLTE</t>
        </is>
      </c>
      <c r="G1318" t="n">
        <v>4.3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5844-2021</t>
        </is>
      </c>
      <c r="B1319" s="1" t="n">
        <v>44231</v>
      </c>
      <c r="C1319" s="1" t="n">
        <v>45358</v>
      </c>
      <c r="D1319" t="inlineStr">
        <is>
          <t>HALLANDS LÄN</t>
        </is>
      </c>
      <c r="E1319" t="inlineStr">
        <is>
          <t>VARBERG</t>
        </is>
      </c>
      <c r="G1319" t="n">
        <v>0.8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6422-2021</t>
        </is>
      </c>
      <c r="B1320" s="1" t="n">
        <v>44235</v>
      </c>
      <c r="C1320" s="1" t="n">
        <v>45358</v>
      </c>
      <c r="D1320" t="inlineStr">
        <is>
          <t>HALLANDS LÄN</t>
        </is>
      </c>
      <c r="E1320" t="inlineStr">
        <is>
          <t>VARBERG</t>
        </is>
      </c>
      <c r="G1320" t="n">
        <v>2.5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6473-2021</t>
        </is>
      </c>
      <c r="B1321" s="1" t="n">
        <v>44235</v>
      </c>
      <c r="C1321" s="1" t="n">
        <v>45358</v>
      </c>
      <c r="D1321" t="inlineStr">
        <is>
          <t>HALLANDS LÄN</t>
        </is>
      </c>
      <c r="E1321" t="inlineStr">
        <is>
          <t>LAHOLM</t>
        </is>
      </c>
      <c r="G1321" t="n">
        <v>0.5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6497-2021</t>
        </is>
      </c>
      <c r="B1322" s="1" t="n">
        <v>44236</v>
      </c>
      <c r="C1322" s="1" t="n">
        <v>45358</v>
      </c>
      <c r="D1322" t="inlineStr">
        <is>
          <t>HALLANDS LÄN</t>
        </is>
      </c>
      <c r="E1322" t="inlineStr">
        <is>
          <t>VARBERG</t>
        </is>
      </c>
      <c r="G1322" t="n">
        <v>1.7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6693-2021</t>
        </is>
      </c>
      <c r="B1323" s="1" t="n">
        <v>44236</v>
      </c>
      <c r="C1323" s="1" t="n">
        <v>45358</v>
      </c>
      <c r="D1323" t="inlineStr">
        <is>
          <t>HALLANDS LÄN</t>
        </is>
      </c>
      <c r="E1323" t="inlineStr">
        <is>
          <t>HYLTE</t>
        </is>
      </c>
      <c r="G1323" t="n">
        <v>2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6786-2021</t>
        </is>
      </c>
      <c r="B1324" s="1" t="n">
        <v>44236</v>
      </c>
      <c r="C1324" s="1" t="n">
        <v>45358</v>
      </c>
      <c r="D1324" t="inlineStr">
        <is>
          <t>HALLANDS LÄN</t>
        </is>
      </c>
      <c r="E1324" t="inlineStr">
        <is>
          <t>HYLTE</t>
        </is>
      </c>
      <c r="G1324" t="n">
        <v>3.9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6789-2021</t>
        </is>
      </c>
      <c r="B1325" s="1" t="n">
        <v>44236</v>
      </c>
      <c r="C1325" s="1" t="n">
        <v>45358</v>
      </c>
      <c r="D1325" t="inlineStr">
        <is>
          <t>HALLANDS LÄN</t>
        </is>
      </c>
      <c r="E1325" t="inlineStr">
        <is>
          <t>HYLTE</t>
        </is>
      </c>
      <c r="G1325" t="n">
        <v>5.3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6977-2021</t>
        </is>
      </c>
      <c r="B1326" s="1" t="n">
        <v>44237</v>
      </c>
      <c r="C1326" s="1" t="n">
        <v>45358</v>
      </c>
      <c r="D1326" t="inlineStr">
        <is>
          <t>HALLANDS LÄN</t>
        </is>
      </c>
      <c r="E1326" t="inlineStr">
        <is>
          <t>HALMSTAD</t>
        </is>
      </c>
      <c r="G1326" t="n">
        <v>1.6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6992-2021</t>
        </is>
      </c>
      <c r="B1327" s="1" t="n">
        <v>44237</v>
      </c>
      <c r="C1327" s="1" t="n">
        <v>45358</v>
      </c>
      <c r="D1327" t="inlineStr">
        <is>
          <t>HALLANDS LÄN</t>
        </is>
      </c>
      <c r="E1327" t="inlineStr">
        <is>
          <t>HALMSTAD</t>
        </is>
      </c>
      <c r="G1327" t="n">
        <v>0.9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7031-2021</t>
        </is>
      </c>
      <c r="B1328" s="1" t="n">
        <v>44237</v>
      </c>
      <c r="C1328" s="1" t="n">
        <v>45358</v>
      </c>
      <c r="D1328" t="inlineStr">
        <is>
          <t>HALLANDS LÄN</t>
        </is>
      </c>
      <c r="E1328" t="inlineStr">
        <is>
          <t>FALKENBERG</t>
        </is>
      </c>
      <c r="F1328" t="inlineStr">
        <is>
          <t>Kyrkan</t>
        </is>
      </c>
      <c r="G1328" t="n">
        <v>2.2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7119-2021</t>
        </is>
      </c>
      <c r="B1329" s="1" t="n">
        <v>44237</v>
      </c>
      <c r="C1329" s="1" t="n">
        <v>45358</v>
      </c>
      <c r="D1329" t="inlineStr">
        <is>
          <t>HALLANDS LÄN</t>
        </is>
      </c>
      <c r="E1329" t="inlineStr">
        <is>
          <t>FALKENBERG</t>
        </is>
      </c>
      <c r="F1329" t="inlineStr">
        <is>
          <t>Kyrkan</t>
        </is>
      </c>
      <c r="G1329" t="n">
        <v>0.6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7035-2021</t>
        </is>
      </c>
      <c r="B1330" s="1" t="n">
        <v>44237</v>
      </c>
      <c r="C1330" s="1" t="n">
        <v>45358</v>
      </c>
      <c r="D1330" t="inlineStr">
        <is>
          <t>HALLANDS LÄN</t>
        </is>
      </c>
      <c r="E1330" t="inlineStr">
        <is>
          <t>FALKENBERG</t>
        </is>
      </c>
      <c r="F1330" t="inlineStr">
        <is>
          <t>Kyrkan</t>
        </is>
      </c>
      <c r="G1330" t="n">
        <v>1.3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7220-2021</t>
        </is>
      </c>
      <c r="B1331" s="1" t="n">
        <v>44238</v>
      </c>
      <c r="C1331" s="1" t="n">
        <v>45358</v>
      </c>
      <c r="D1331" t="inlineStr">
        <is>
          <t>HALLANDS LÄN</t>
        </is>
      </c>
      <c r="E1331" t="inlineStr">
        <is>
          <t>HYLTE</t>
        </is>
      </c>
      <c r="G1331" t="n">
        <v>1.1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7326-2021</t>
        </is>
      </c>
      <c r="B1332" s="1" t="n">
        <v>44239</v>
      </c>
      <c r="C1332" s="1" t="n">
        <v>45358</v>
      </c>
      <c r="D1332" t="inlineStr">
        <is>
          <t>HALLANDS LÄN</t>
        </is>
      </c>
      <c r="E1332" t="inlineStr">
        <is>
          <t>HALMSTAD</t>
        </is>
      </c>
      <c r="G1332" t="n">
        <v>4.1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7796-2021</t>
        </is>
      </c>
      <c r="B1333" s="1" t="n">
        <v>44242</v>
      </c>
      <c r="C1333" s="1" t="n">
        <v>45358</v>
      </c>
      <c r="D1333" t="inlineStr">
        <is>
          <t>HALLANDS LÄN</t>
        </is>
      </c>
      <c r="E1333" t="inlineStr">
        <is>
          <t>HYLTE</t>
        </is>
      </c>
      <c r="G1333" t="n">
        <v>1.7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7894-2021</t>
        </is>
      </c>
      <c r="B1334" s="1" t="n">
        <v>44243</v>
      </c>
      <c r="C1334" s="1" t="n">
        <v>45358</v>
      </c>
      <c r="D1334" t="inlineStr">
        <is>
          <t>HALLANDS LÄN</t>
        </is>
      </c>
      <c r="E1334" t="inlineStr">
        <is>
          <t>VARBERG</t>
        </is>
      </c>
      <c r="G1334" t="n">
        <v>6.8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7914-2021</t>
        </is>
      </c>
      <c r="B1335" s="1" t="n">
        <v>44243</v>
      </c>
      <c r="C1335" s="1" t="n">
        <v>45358</v>
      </c>
      <c r="D1335" t="inlineStr">
        <is>
          <t>HALLANDS LÄN</t>
        </is>
      </c>
      <c r="E1335" t="inlineStr">
        <is>
          <t>HYLTE</t>
        </is>
      </c>
      <c r="G1335" t="n">
        <v>7.7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8345-2021</t>
        </is>
      </c>
      <c r="B1336" s="1" t="n">
        <v>44244</v>
      </c>
      <c r="C1336" s="1" t="n">
        <v>45358</v>
      </c>
      <c r="D1336" t="inlineStr">
        <is>
          <t>HALLANDS LÄN</t>
        </is>
      </c>
      <c r="E1336" t="inlineStr">
        <is>
          <t>HALMSTAD</t>
        </is>
      </c>
      <c r="G1336" t="n">
        <v>2.6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8403-2021</t>
        </is>
      </c>
      <c r="B1337" s="1" t="n">
        <v>44245</v>
      </c>
      <c r="C1337" s="1" t="n">
        <v>45358</v>
      </c>
      <c r="D1337" t="inlineStr">
        <is>
          <t>HALLANDS LÄN</t>
        </is>
      </c>
      <c r="E1337" t="inlineStr">
        <is>
          <t>HYLTE</t>
        </is>
      </c>
      <c r="G1337" t="n">
        <v>4.2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8433-2021</t>
        </is>
      </c>
      <c r="B1338" s="1" t="n">
        <v>44245</v>
      </c>
      <c r="C1338" s="1" t="n">
        <v>45358</v>
      </c>
      <c r="D1338" t="inlineStr">
        <is>
          <t>HALLANDS LÄN</t>
        </is>
      </c>
      <c r="E1338" t="inlineStr">
        <is>
          <t>HYLTE</t>
        </is>
      </c>
      <c r="G1338" t="n">
        <v>2.2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8441-2021</t>
        </is>
      </c>
      <c r="B1339" s="1" t="n">
        <v>44245</v>
      </c>
      <c r="C1339" s="1" t="n">
        <v>45358</v>
      </c>
      <c r="D1339" t="inlineStr">
        <is>
          <t>HALLANDS LÄN</t>
        </is>
      </c>
      <c r="E1339" t="inlineStr">
        <is>
          <t>LAHOLM</t>
        </is>
      </c>
      <c r="G1339" t="n">
        <v>0.9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8410-2021</t>
        </is>
      </c>
      <c r="B1340" s="1" t="n">
        <v>44245</v>
      </c>
      <c r="C1340" s="1" t="n">
        <v>45358</v>
      </c>
      <c r="D1340" t="inlineStr">
        <is>
          <t>HALLANDS LÄN</t>
        </is>
      </c>
      <c r="E1340" t="inlineStr">
        <is>
          <t>KUNGSBACKA</t>
        </is>
      </c>
      <c r="G1340" t="n">
        <v>1.4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8468-2021</t>
        </is>
      </c>
      <c r="B1341" s="1" t="n">
        <v>44245</v>
      </c>
      <c r="C1341" s="1" t="n">
        <v>45358</v>
      </c>
      <c r="D1341" t="inlineStr">
        <is>
          <t>HALLANDS LÄN</t>
        </is>
      </c>
      <c r="E1341" t="inlineStr">
        <is>
          <t>LAHOLM</t>
        </is>
      </c>
      <c r="G1341" t="n">
        <v>1.1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9011-2021</t>
        </is>
      </c>
      <c r="B1342" s="1" t="n">
        <v>44246</v>
      </c>
      <c r="C1342" s="1" t="n">
        <v>45358</v>
      </c>
      <c r="D1342" t="inlineStr">
        <is>
          <t>HALLANDS LÄN</t>
        </is>
      </c>
      <c r="E1342" t="inlineStr">
        <is>
          <t>FALKENBERG</t>
        </is>
      </c>
      <c r="G1342" t="n">
        <v>2.8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9223-2021</t>
        </is>
      </c>
      <c r="B1343" s="1" t="n">
        <v>44250</v>
      </c>
      <c r="C1343" s="1" t="n">
        <v>45358</v>
      </c>
      <c r="D1343" t="inlineStr">
        <is>
          <t>HALLANDS LÄN</t>
        </is>
      </c>
      <c r="E1343" t="inlineStr">
        <is>
          <t>LAHOLM</t>
        </is>
      </c>
      <c r="G1343" t="n">
        <v>2.2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9282-2021</t>
        </is>
      </c>
      <c r="B1344" s="1" t="n">
        <v>44250</v>
      </c>
      <c r="C1344" s="1" t="n">
        <v>45358</v>
      </c>
      <c r="D1344" t="inlineStr">
        <is>
          <t>HALLANDS LÄN</t>
        </is>
      </c>
      <c r="E1344" t="inlineStr">
        <is>
          <t>KUNGSBACKA</t>
        </is>
      </c>
      <c r="G1344" t="n">
        <v>3.5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9375-2021</t>
        </is>
      </c>
      <c r="B1345" s="1" t="n">
        <v>44250</v>
      </c>
      <c r="C1345" s="1" t="n">
        <v>45358</v>
      </c>
      <c r="D1345" t="inlineStr">
        <is>
          <t>HALLANDS LÄN</t>
        </is>
      </c>
      <c r="E1345" t="inlineStr">
        <is>
          <t>HYLTE</t>
        </is>
      </c>
      <c r="G1345" t="n">
        <v>1.2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9371-2021</t>
        </is>
      </c>
      <c r="B1346" s="1" t="n">
        <v>44250</v>
      </c>
      <c r="C1346" s="1" t="n">
        <v>45358</v>
      </c>
      <c r="D1346" t="inlineStr">
        <is>
          <t>HALLANDS LÄN</t>
        </is>
      </c>
      <c r="E1346" t="inlineStr">
        <is>
          <t>VARBERG</t>
        </is>
      </c>
      <c r="G1346" t="n">
        <v>18.9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9462-2021</t>
        </is>
      </c>
      <c r="B1347" s="1" t="n">
        <v>44250</v>
      </c>
      <c r="C1347" s="1" t="n">
        <v>45358</v>
      </c>
      <c r="D1347" t="inlineStr">
        <is>
          <t>HALLANDS LÄN</t>
        </is>
      </c>
      <c r="E1347" t="inlineStr">
        <is>
          <t>FALKENBERG</t>
        </is>
      </c>
      <c r="F1347" t="inlineStr">
        <is>
          <t>Kyrkan</t>
        </is>
      </c>
      <c r="G1347" t="n">
        <v>2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9200-2021</t>
        </is>
      </c>
      <c r="B1348" s="1" t="n">
        <v>44250</v>
      </c>
      <c r="C1348" s="1" t="n">
        <v>45358</v>
      </c>
      <c r="D1348" t="inlineStr">
        <is>
          <t>HALLANDS LÄN</t>
        </is>
      </c>
      <c r="E1348" t="inlineStr">
        <is>
          <t>HYLTE</t>
        </is>
      </c>
      <c r="G1348" t="n">
        <v>1.3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9559-2021</t>
        </is>
      </c>
      <c r="B1349" s="1" t="n">
        <v>44251</v>
      </c>
      <c r="C1349" s="1" t="n">
        <v>45358</v>
      </c>
      <c r="D1349" t="inlineStr">
        <is>
          <t>HALLANDS LÄN</t>
        </is>
      </c>
      <c r="E1349" t="inlineStr">
        <is>
          <t>HYLTE</t>
        </is>
      </c>
      <c r="G1349" t="n">
        <v>1.1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9499-2021</t>
        </is>
      </c>
      <c r="B1350" s="1" t="n">
        <v>44251</v>
      </c>
      <c r="C1350" s="1" t="n">
        <v>45358</v>
      </c>
      <c r="D1350" t="inlineStr">
        <is>
          <t>HALLANDS LÄN</t>
        </is>
      </c>
      <c r="E1350" t="inlineStr">
        <is>
          <t>KUNGSBACKA</t>
        </is>
      </c>
      <c r="G1350" t="n">
        <v>1.4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9701-2021</t>
        </is>
      </c>
      <c r="B1351" s="1" t="n">
        <v>44252</v>
      </c>
      <c r="C1351" s="1" t="n">
        <v>45358</v>
      </c>
      <c r="D1351" t="inlineStr">
        <is>
          <t>HALLANDS LÄN</t>
        </is>
      </c>
      <c r="E1351" t="inlineStr">
        <is>
          <t>FALKENBERG</t>
        </is>
      </c>
      <c r="G1351" t="n">
        <v>3.6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10208-2021</t>
        </is>
      </c>
      <c r="B1352" s="1" t="n">
        <v>44256</v>
      </c>
      <c r="C1352" s="1" t="n">
        <v>45358</v>
      </c>
      <c r="D1352" t="inlineStr">
        <is>
          <t>HALLANDS LÄN</t>
        </is>
      </c>
      <c r="E1352" t="inlineStr">
        <is>
          <t>HYLTE</t>
        </is>
      </c>
      <c r="G1352" t="n">
        <v>0.9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10076-2021</t>
        </is>
      </c>
      <c r="B1353" s="1" t="n">
        <v>44256</v>
      </c>
      <c r="C1353" s="1" t="n">
        <v>45358</v>
      </c>
      <c r="D1353" t="inlineStr">
        <is>
          <t>HALLANDS LÄN</t>
        </is>
      </c>
      <c r="E1353" t="inlineStr">
        <is>
          <t>LAHOLM</t>
        </is>
      </c>
      <c r="F1353" t="inlineStr">
        <is>
          <t>Övriga Aktiebolag</t>
        </is>
      </c>
      <c r="G1353" t="n">
        <v>3.2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10320-2021</t>
        </is>
      </c>
      <c r="B1354" s="1" t="n">
        <v>44257</v>
      </c>
      <c r="C1354" s="1" t="n">
        <v>45358</v>
      </c>
      <c r="D1354" t="inlineStr">
        <is>
          <t>HALLANDS LÄN</t>
        </is>
      </c>
      <c r="E1354" t="inlineStr">
        <is>
          <t>FALKENBERG</t>
        </is>
      </c>
      <c r="G1354" t="n">
        <v>1.9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10346-2021</t>
        </is>
      </c>
      <c r="B1355" s="1" t="n">
        <v>44257</v>
      </c>
      <c r="C1355" s="1" t="n">
        <v>45358</v>
      </c>
      <c r="D1355" t="inlineStr">
        <is>
          <t>HALLANDS LÄN</t>
        </is>
      </c>
      <c r="E1355" t="inlineStr">
        <is>
          <t>KUNGSBACKA</t>
        </is>
      </c>
      <c r="G1355" t="n">
        <v>0.2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10503-2021</t>
        </is>
      </c>
      <c r="B1356" s="1" t="n">
        <v>44258</v>
      </c>
      <c r="C1356" s="1" t="n">
        <v>45358</v>
      </c>
      <c r="D1356" t="inlineStr">
        <is>
          <t>HALLANDS LÄN</t>
        </is>
      </c>
      <c r="E1356" t="inlineStr">
        <is>
          <t>HALMSTAD</t>
        </is>
      </c>
      <c r="G1356" t="n">
        <v>1.9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10780-2021</t>
        </is>
      </c>
      <c r="B1357" s="1" t="n">
        <v>44259</v>
      </c>
      <c r="C1357" s="1" t="n">
        <v>45358</v>
      </c>
      <c r="D1357" t="inlineStr">
        <is>
          <t>HALLANDS LÄN</t>
        </is>
      </c>
      <c r="E1357" t="inlineStr">
        <is>
          <t>LAHOLM</t>
        </is>
      </c>
      <c r="G1357" t="n">
        <v>1.9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11253-2021</t>
        </is>
      </c>
      <c r="B1358" s="1" t="n">
        <v>44261</v>
      </c>
      <c r="C1358" s="1" t="n">
        <v>45358</v>
      </c>
      <c r="D1358" t="inlineStr">
        <is>
          <t>HALLANDS LÄN</t>
        </is>
      </c>
      <c r="E1358" t="inlineStr">
        <is>
          <t>HYLTE</t>
        </is>
      </c>
      <c r="F1358" t="inlineStr">
        <is>
          <t>Kyrkan</t>
        </is>
      </c>
      <c r="G1358" t="n">
        <v>0.8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11274-2021</t>
        </is>
      </c>
      <c r="B1359" s="1" t="n">
        <v>44263</v>
      </c>
      <c r="C1359" s="1" t="n">
        <v>45358</v>
      </c>
      <c r="D1359" t="inlineStr">
        <is>
          <t>HALLANDS LÄN</t>
        </is>
      </c>
      <c r="E1359" t="inlineStr">
        <is>
          <t>HYLTE</t>
        </is>
      </c>
      <c r="G1359" t="n">
        <v>2.2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11325-2021</t>
        </is>
      </c>
      <c r="B1360" s="1" t="n">
        <v>44263</v>
      </c>
      <c r="C1360" s="1" t="n">
        <v>45358</v>
      </c>
      <c r="D1360" t="inlineStr">
        <is>
          <t>HALLANDS LÄN</t>
        </is>
      </c>
      <c r="E1360" t="inlineStr">
        <is>
          <t>HYLTE</t>
        </is>
      </c>
      <c r="G1360" t="n">
        <v>1.9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11468-2021</t>
        </is>
      </c>
      <c r="B1361" s="1" t="n">
        <v>44264</v>
      </c>
      <c r="C1361" s="1" t="n">
        <v>45358</v>
      </c>
      <c r="D1361" t="inlineStr">
        <is>
          <t>HALLANDS LÄN</t>
        </is>
      </c>
      <c r="E1361" t="inlineStr">
        <is>
          <t>VARBERG</t>
        </is>
      </c>
      <c r="G1361" t="n">
        <v>3.1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11495-2021</t>
        </is>
      </c>
      <c r="B1362" s="1" t="n">
        <v>44264</v>
      </c>
      <c r="C1362" s="1" t="n">
        <v>45358</v>
      </c>
      <c r="D1362" t="inlineStr">
        <is>
          <t>HALLANDS LÄN</t>
        </is>
      </c>
      <c r="E1362" t="inlineStr">
        <is>
          <t>VARBERG</t>
        </is>
      </c>
      <c r="G1362" t="n">
        <v>1.4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11753-2021</t>
        </is>
      </c>
      <c r="B1363" s="1" t="n">
        <v>44265</v>
      </c>
      <c r="C1363" s="1" t="n">
        <v>45358</v>
      </c>
      <c r="D1363" t="inlineStr">
        <is>
          <t>HALLANDS LÄN</t>
        </is>
      </c>
      <c r="E1363" t="inlineStr">
        <is>
          <t>LAHOLM</t>
        </is>
      </c>
      <c r="G1363" t="n">
        <v>0.5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11876-2021</t>
        </is>
      </c>
      <c r="B1364" s="1" t="n">
        <v>44265</v>
      </c>
      <c r="C1364" s="1" t="n">
        <v>45358</v>
      </c>
      <c r="D1364" t="inlineStr">
        <is>
          <t>HALLANDS LÄN</t>
        </is>
      </c>
      <c r="E1364" t="inlineStr">
        <is>
          <t>HYLTE</t>
        </is>
      </c>
      <c r="G1364" t="n">
        <v>1.2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11899-2021</t>
        </is>
      </c>
      <c r="B1365" s="1" t="n">
        <v>44265</v>
      </c>
      <c r="C1365" s="1" t="n">
        <v>45358</v>
      </c>
      <c r="D1365" t="inlineStr">
        <is>
          <t>HALLANDS LÄN</t>
        </is>
      </c>
      <c r="E1365" t="inlineStr">
        <is>
          <t>LAHOLM</t>
        </is>
      </c>
      <c r="G1365" t="n">
        <v>0.7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11798-2021</t>
        </is>
      </c>
      <c r="B1366" s="1" t="n">
        <v>44265</v>
      </c>
      <c r="C1366" s="1" t="n">
        <v>45358</v>
      </c>
      <c r="D1366" t="inlineStr">
        <is>
          <t>HALLANDS LÄN</t>
        </is>
      </c>
      <c r="E1366" t="inlineStr">
        <is>
          <t>HALMSTAD</t>
        </is>
      </c>
      <c r="G1366" t="n">
        <v>0.6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11978-2021</t>
        </is>
      </c>
      <c r="B1367" s="1" t="n">
        <v>44266</v>
      </c>
      <c r="C1367" s="1" t="n">
        <v>45358</v>
      </c>
      <c r="D1367" t="inlineStr">
        <is>
          <t>HALLANDS LÄN</t>
        </is>
      </c>
      <c r="E1367" t="inlineStr">
        <is>
          <t>HYLTE</t>
        </is>
      </c>
      <c r="F1367" t="inlineStr">
        <is>
          <t>Bergvik skog väst AB</t>
        </is>
      </c>
      <c r="G1367" t="n">
        <v>2.4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11992-2021</t>
        </is>
      </c>
      <c r="B1368" s="1" t="n">
        <v>44266</v>
      </c>
      <c r="C1368" s="1" t="n">
        <v>45358</v>
      </c>
      <c r="D1368" t="inlineStr">
        <is>
          <t>HALLANDS LÄN</t>
        </is>
      </c>
      <c r="E1368" t="inlineStr">
        <is>
          <t>HYLTE</t>
        </is>
      </c>
      <c r="F1368" t="inlineStr">
        <is>
          <t>Bergvik skog väst AB</t>
        </is>
      </c>
      <c r="G1368" t="n">
        <v>3.5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11998-2021</t>
        </is>
      </c>
      <c r="B1369" s="1" t="n">
        <v>44266</v>
      </c>
      <c r="C1369" s="1" t="n">
        <v>45358</v>
      </c>
      <c r="D1369" t="inlineStr">
        <is>
          <t>HALLANDS LÄN</t>
        </is>
      </c>
      <c r="E1369" t="inlineStr">
        <is>
          <t>HYLTE</t>
        </is>
      </c>
      <c r="F1369" t="inlineStr">
        <is>
          <t>Bergvik skog väst AB</t>
        </is>
      </c>
      <c r="G1369" t="n">
        <v>3.1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12004-2021</t>
        </is>
      </c>
      <c r="B1370" s="1" t="n">
        <v>44266</v>
      </c>
      <c r="C1370" s="1" t="n">
        <v>45358</v>
      </c>
      <c r="D1370" t="inlineStr">
        <is>
          <t>HALLANDS LÄN</t>
        </is>
      </c>
      <c r="E1370" t="inlineStr">
        <is>
          <t>HYLTE</t>
        </is>
      </c>
      <c r="F1370" t="inlineStr">
        <is>
          <t>Bergvik skog väst AB</t>
        </is>
      </c>
      <c r="G1370" t="n">
        <v>2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12001-2021</t>
        </is>
      </c>
      <c r="B1371" s="1" t="n">
        <v>44266</v>
      </c>
      <c r="C1371" s="1" t="n">
        <v>45358</v>
      </c>
      <c r="D1371" t="inlineStr">
        <is>
          <t>HALLANDS LÄN</t>
        </is>
      </c>
      <c r="E1371" t="inlineStr">
        <is>
          <t>HYLTE</t>
        </is>
      </c>
      <c r="F1371" t="inlineStr">
        <is>
          <t>Bergvik skog väst AB</t>
        </is>
      </c>
      <c r="G1371" t="n">
        <v>0.8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12044-2021</t>
        </is>
      </c>
      <c r="B1372" s="1" t="n">
        <v>44266</v>
      </c>
      <c r="C1372" s="1" t="n">
        <v>45358</v>
      </c>
      <c r="D1372" t="inlineStr">
        <is>
          <t>HALLANDS LÄN</t>
        </is>
      </c>
      <c r="E1372" t="inlineStr">
        <is>
          <t>FALKENBERG</t>
        </is>
      </c>
      <c r="G1372" t="n">
        <v>0.8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11994-2021</t>
        </is>
      </c>
      <c r="B1373" s="1" t="n">
        <v>44266</v>
      </c>
      <c r="C1373" s="1" t="n">
        <v>45358</v>
      </c>
      <c r="D1373" t="inlineStr">
        <is>
          <t>HALLANDS LÄN</t>
        </is>
      </c>
      <c r="E1373" t="inlineStr">
        <is>
          <t>HYLTE</t>
        </is>
      </c>
      <c r="F1373" t="inlineStr">
        <is>
          <t>Bergvik skog väst AB</t>
        </is>
      </c>
      <c r="G1373" t="n">
        <v>6.1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11999-2021</t>
        </is>
      </c>
      <c r="B1374" s="1" t="n">
        <v>44266</v>
      </c>
      <c r="C1374" s="1" t="n">
        <v>45358</v>
      </c>
      <c r="D1374" t="inlineStr">
        <is>
          <t>HALLANDS LÄN</t>
        </is>
      </c>
      <c r="E1374" t="inlineStr">
        <is>
          <t>HYLTE</t>
        </is>
      </c>
      <c r="F1374" t="inlineStr">
        <is>
          <t>Bergvik skog väst AB</t>
        </is>
      </c>
      <c r="G1374" t="n">
        <v>1.8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12173-2021</t>
        </is>
      </c>
      <c r="B1375" s="1" t="n">
        <v>44266</v>
      </c>
      <c r="C1375" s="1" t="n">
        <v>45358</v>
      </c>
      <c r="D1375" t="inlineStr">
        <is>
          <t>HALLANDS LÄN</t>
        </is>
      </c>
      <c r="E1375" t="inlineStr">
        <is>
          <t>VARBERG</t>
        </is>
      </c>
      <c r="G1375" t="n">
        <v>1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12179-2021</t>
        </is>
      </c>
      <c r="B1376" s="1" t="n">
        <v>44266</v>
      </c>
      <c r="C1376" s="1" t="n">
        <v>45358</v>
      </c>
      <c r="D1376" t="inlineStr">
        <is>
          <t>HALLANDS LÄN</t>
        </is>
      </c>
      <c r="E1376" t="inlineStr">
        <is>
          <t>VARBERG</t>
        </is>
      </c>
      <c r="G1376" t="n">
        <v>0.8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12263-2021</t>
        </is>
      </c>
      <c r="B1377" s="1" t="n">
        <v>44266</v>
      </c>
      <c r="C1377" s="1" t="n">
        <v>45358</v>
      </c>
      <c r="D1377" t="inlineStr">
        <is>
          <t>HALLANDS LÄN</t>
        </is>
      </c>
      <c r="E1377" t="inlineStr">
        <is>
          <t>HALMSTAD</t>
        </is>
      </c>
      <c r="G1377" t="n">
        <v>1.3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12264-2021</t>
        </is>
      </c>
      <c r="B1378" s="1" t="n">
        <v>44266</v>
      </c>
      <c r="C1378" s="1" t="n">
        <v>45358</v>
      </c>
      <c r="D1378" t="inlineStr">
        <is>
          <t>HALLANDS LÄN</t>
        </is>
      </c>
      <c r="E1378" t="inlineStr">
        <is>
          <t>HALMSTAD</t>
        </is>
      </c>
      <c r="G1378" t="n">
        <v>3.1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12175-2021</t>
        </is>
      </c>
      <c r="B1379" s="1" t="n">
        <v>44266</v>
      </c>
      <c r="C1379" s="1" t="n">
        <v>45358</v>
      </c>
      <c r="D1379" t="inlineStr">
        <is>
          <t>HALLANDS LÄN</t>
        </is>
      </c>
      <c r="E1379" t="inlineStr">
        <is>
          <t>VARBERG</t>
        </is>
      </c>
      <c r="G1379" t="n">
        <v>2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12432-2021</t>
        </is>
      </c>
      <c r="B1380" s="1" t="n">
        <v>44267</v>
      </c>
      <c r="C1380" s="1" t="n">
        <v>45358</v>
      </c>
      <c r="D1380" t="inlineStr">
        <is>
          <t>HALLANDS LÄN</t>
        </is>
      </c>
      <c r="E1380" t="inlineStr">
        <is>
          <t>FALKENBERG</t>
        </is>
      </c>
      <c r="G1380" t="n">
        <v>2.5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12640-2021</t>
        </is>
      </c>
      <c r="B1381" s="1" t="n">
        <v>44267</v>
      </c>
      <c r="C1381" s="1" t="n">
        <v>45358</v>
      </c>
      <c r="D1381" t="inlineStr">
        <is>
          <t>HALLANDS LÄN</t>
        </is>
      </c>
      <c r="E1381" t="inlineStr">
        <is>
          <t>HYLTE</t>
        </is>
      </c>
      <c r="F1381" t="inlineStr">
        <is>
          <t>Bergvik skog väst AB</t>
        </is>
      </c>
      <c r="G1381" t="n">
        <v>0.7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12630-2021</t>
        </is>
      </c>
      <c r="B1382" s="1" t="n">
        <v>44267</v>
      </c>
      <c r="C1382" s="1" t="n">
        <v>45358</v>
      </c>
      <c r="D1382" t="inlineStr">
        <is>
          <t>HALLANDS LÄN</t>
        </is>
      </c>
      <c r="E1382" t="inlineStr">
        <is>
          <t>HYLTE</t>
        </is>
      </c>
      <c r="F1382" t="inlineStr">
        <is>
          <t>Bergvik skog väst AB</t>
        </is>
      </c>
      <c r="G1382" t="n">
        <v>3.9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12487-2021</t>
        </is>
      </c>
      <c r="B1383" s="1" t="n">
        <v>44267</v>
      </c>
      <c r="C1383" s="1" t="n">
        <v>45358</v>
      </c>
      <c r="D1383" t="inlineStr">
        <is>
          <t>HALLANDS LÄN</t>
        </is>
      </c>
      <c r="E1383" t="inlineStr">
        <is>
          <t>FALKENBERG</t>
        </is>
      </c>
      <c r="G1383" t="n">
        <v>1.2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12637-2021</t>
        </is>
      </c>
      <c r="B1384" s="1" t="n">
        <v>44267</v>
      </c>
      <c r="C1384" s="1" t="n">
        <v>45358</v>
      </c>
      <c r="D1384" t="inlineStr">
        <is>
          <t>HALLANDS LÄN</t>
        </is>
      </c>
      <c r="E1384" t="inlineStr">
        <is>
          <t>HYLTE</t>
        </is>
      </c>
      <c r="F1384" t="inlineStr">
        <is>
          <t>Bergvik skog väst AB</t>
        </is>
      </c>
      <c r="G1384" t="n">
        <v>1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12645-2021</t>
        </is>
      </c>
      <c r="B1385" s="1" t="n">
        <v>44267</v>
      </c>
      <c r="C1385" s="1" t="n">
        <v>45358</v>
      </c>
      <c r="D1385" t="inlineStr">
        <is>
          <t>HALLANDS LÄN</t>
        </is>
      </c>
      <c r="E1385" t="inlineStr">
        <is>
          <t>HALMSTAD</t>
        </is>
      </c>
      <c r="F1385" t="inlineStr">
        <is>
          <t>Bergvik skog väst AB</t>
        </is>
      </c>
      <c r="G1385" t="n">
        <v>6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12643-2021</t>
        </is>
      </c>
      <c r="B1386" s="1" t="n">
        <v>44267</v>
      </c>
      <c r="C1386" s="1" t="n">
        <v>45358</v>
      </c>
      <c r="D1386" t="inlineStr">
        <is>
          <t>HALLANDS LÄN</t>
        </is>
      </c>
      <c r="E1386" t="inlineStr">
        <is>
          <t>HYLTE</t>
        </is>
      </c>
      <c r="F1386" t="inlineStr">
        <is>
          <t>Bergvik skog väst AB</t>
        </is>
      </c>
      <c r="G1386" t="n">
        <v>4.4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12632-2021</t>
        </is>
      </c>
      <c r="B1387" s="1" t="n">
        <v>44267</v>
      </c>
      <c r="C1387" s="1" t="n">
        <v>45358</v>
      </c>
      <c r="D1387" t="inlineStr">
        <is>
          <t>HALLANDS LÄN</t>
        </is>
      </c>
      <c r="E1387" t="inlineStr">
        <is>
          <t>HYLTE</t>
        </is>
      </c>
      <c r="F1387" t="inlineStr">
        <is>
          <t>Bergvik skog väst AB</t>
        </is>
      </c>
      <c r="G1387" t="n">
        <v>9.9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12599-2021</t>
        </is>
      </c>
      <c r="B1388" s="1" t="n">
        <v>44270</v>
      </c>
      <c r="C1388" s="1" t="n">
        <v>45358</v>
      </c>
      <c r="D1388" t="inlineStr">
        <is>
          <t>HALLANDS LÄN</t>
        </is>
      </c>
      <c r="E1388" t="inlineStr">
        <is>
          <t>VARBERG</t>
        </is>
      </c>
      <c r="G1388" t="n">
        <v>0.5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13026-2021</t>
        </is>
      </c>
      <c r="B1389" s="1" t="n">
        <v>44271</v>
      </c>
      <c r="C1389" s="1" t="n">
        <v>45358</v>
      </c>
      <c r="D1389" t="inlineStr">
        <is>
          <t>HALLANDS LÄN</t>
        </is>
      </c>
      <c r="E1389" t="inlineStr">
        <is>
          <t>FALKENBERG</t>
        </is>
      </c>
      <c r="G1389" t="n">
        <v>2.3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13029-2021</t>
        </is>
      </c>
      <c r="B1390" s="1" t="n">
        <v>44271</v>
      </c>
      <c r="C1390" s="1" t="n">
        <v>45358</v>
      </c>
      <c r="D1390" t="inlineStr">
        <is>
          <t>HALLANDS LÄN</t>
        </is>
      </c>
      <c r="E1390" t="inlineStr">
        <is>
          <t>HALMSTAD</t>
        </is>
      </c>
      <c r="G1390" t="n">
        <v>1.5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13155-2021</t>
        </is>
      </c>
      <c r="B1391" s="1" t="n">
        <v>44272</v>
      </c>
      <c r="C1391" s="1" t="n">
        <v>45358</v>
      </c>
      <c r="D1391" t="inlineStr">
        <is>
          <t>HALLANDS LÄN</t>
        </is>
      </c>
      <c r="E1391" t="inlineStr">
        <is>
          <t>FALKENBERG</t>
        </is>
      </c>
      <c r="G1391" t="n">
        <v>1.2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13408-2021</t>
        </is>
      </c>
      <c r="B1392" s="1" t="n">
        <v>44273</v>
      </c>
      <c r="C1392" s="1" t="n">
        <v>45358</v>
      </c>
      <c r="D1392" t="inlineStr">
        <is>
          <t>HALLANDS LÄN</t>
        </is>
      </c>
      <c r="E1392" t="inlineStr">
        <is>
          <t>HALMSTAD</t>
        </is>
      </c>
      <c r="G1392" t="n">
        <v>1.2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13493-2021</t>
        </is>
      </c>
      <c r="B1393" s="1" t="n">
        <v>44273</v>
      </c>
      <c r="C1393" s="1" t="n">
        <v>45358</v>
      </c>
      <c r="D1393" t="inlineStr">
        <is>
          <t>HALLANDS LÄN</t>
        </is>
      </c>
      <c r="E1393" t="inlineStr">
        <is>
          <t>LAHOLM</t>
        </is>
      </c>
      <c r="G1393" t="n">
        <v>2.9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13486-2021</t>
        </is>
      </c>
      <c r="B1394" s="1" t="n">
        <v>44273</v>
      </c>
      <c r="C1394" s="1" t="n">
        <v>45358</v>
      </c>
      <c r="D1394" t="inlineStr">
        <is>
          <t>HALLANDS LÄN</t>
        </is>
      </c>
      <c r="E1394" t="inlineStr">
        <is>
          <t>LAHOLM</t>
        </is>
      </c>
      <c r="G1394" t="n">
        <v>0.5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13655-2021</t>
        </is>
      </c>
      <c r="B1395" s="1" t="n">
        <v>44274</v>
      </c>
      <c r="C1395" s="1" t="n">
        <v>45358</v>
      </c>
      <c r="D1395" t="inlineStr">
        <is>
          <t>HALLANDS LÄN</t>
        </is>
      </c>
      <c r="E1395" t="inlineStr">
        <is>
          <t>HYLTE</t>
        </is>
      </c>
      <c r="G1395" t="n">
        <v>0.3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13607-2021</t>
        </is>
      </c>
      <c r="B1396" s="1" t="n">
        <v>44274</v>
      </c>
      <c r="C1396" s="1" t="n">
        <v>45358</v>
      </c>
      <c r="D1396" t="inlineStr">
        <is>
          <t>HALLANDS LÄN</t>
        </is>
      </c>
      <c r="E1396" t="inlineStr">
        <is>
          <t>HYLTE</t>
        </is>
      </c>
      <c r="G1396" t="n">
        <v>1.7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13653-2021</t>
        </is>
      </c>
      <c r="B1397" s="1" t="n">
        <v>44274</v>
      </c>
      <c r="C1397" s="1" t="n">
        <v>45358</v>
      </c>
      <c r="D1397" t="inlineStr">
        <is>
          <t>HALLANDS LÄN</t>
        </is>
      </c>
      <c r="E1397" t="inlineStr">
        <is>
          <t>HYLTE</t>
        </is>
      </c>
      <c r="G1397" t="n">
        <v>0.4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13775-2021</t>
        </is>
      </c>
      <c r="B1398" s="1" t="n">
        <v>44274</v>
      </c>
      <c r="C1398" s="1" t="n">
        <v>45358</v>
      </c>
      <c r="D1398" t="inlineStr">
        <is>
          <t>HALLANDS LÄN</t>
        </is>
      </c>
      <c r="E1398" t="inlineStr">
        <is>
          <t>KUNGSBACKA</t>
        </is>
      </c>
      <c r="G1398" t="n">
        <v>1.7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14011-2021</t>
        </is>
      </c>
      <c r="B1399" s="1" t="n">
        <v>44277</v>
      </c>
      <c r="C1399" s="1" t="n">
        <v>45358</v>
      </c>
      <c r="D1399" t="inlineStr">
        <is>
          <t>HALLANDS LÄN</t>
        </is>
      </c>
      <c r="E1399" t="inlineStr">
        <is>
          <t>HYLTE</t>
        </is>
      </c>
      <c r="G1399" t="n">
        <v>0.9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14009-2021</t>
        </is>
      </c>
      <c r="B1400" s="1" t="n">
        <v>44277</v>
      </c>
      <c r="C1400" s="1" t="n">
        <v>45358</v>
      </c>
      <c r="D1400" t="inlineStr">
        <is>
          <t>HALLANDS LÄN</t>
        </is>
      </c>
      <c r="E1400" t="inlineStr">
        <is>
          <t>HYLTE</t>
        </is>
      </c>
      <c r="G1400" t="n">
        <v>0.7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14180-2021</t>
        </is>
      </c>
      <c r="B1401" s="1" t="n">
        <v>44278</v>
      </c>
      <c r="C1401" s="1" t="n">
        <v>45358</v>
      </c>
      <c r="D1401" t="inlineStr">
        <is>
          <t>HALLANDS LÄN</t>
        </is>
      </c>
      <c r="E1401" t="inlineStr">
        <is>
          <t>HYLTE</t>
        </is>
      </c>
      <c r="G1401" t="n">
        <v>4.4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14319-2021</t>
        </is>
      </c>
      <c r="B1402" s="1" t="n">
        <v>44278</v>
      </c>
      <c r="C1402" s="1" t="n">
        <v>45358</v>
      </c>
      <c r="D1402" t="inlineStr">
        <is>
          <t>HALLANDS LÄN</t>
        </is>
      </c>
      <c r="E1402" t="inlineStr">
        <is>
          <t>HALMSTAD</t>
        </is>
      </c>
      <c r="G1402" t="n">
        <v>5.7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14324-2021</t>
        </is>
      </c>
      <c r="B1403" s="1" t="n">
        <v>44278</v>
      </c>
      <c r="C1403" s="1" t="n">
        <v>45358</v>
      </c>
      <c r="D1403" t="inlineStr">
        <is>
          <t>HALLANDS LÄN</t>
        </is>
      </c>
      <c r="E1403" t="inlineStr">
        <is>
          <t>FALKENBERG</t>
        </is>
      </c>
      <c r="G1403" t="n">
        <v>0.3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14361-2021</t>
        </is>
      </c>
      <c r="B1404" s="1" t="n">
        <v>44279</v>
      </c>
      <c r="C1404" s="1" t="n">
        <v>45358</v>
      </c>
      <c r="D1404" t="inlineStr">
        <is>
          <t>HALLANDS LÄN</t>
        </is>
      </c>
      <c r="E1404" t="inlineStr">
        <is>
          <t>KUNGSBACKA</t>
        </is>
      </c>
      <c r="G1404" t="n">
        <v>3.6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14399-2021</t>
        </is>
      </c>
      <c r="B1405" s="1" t="n">
        <v>44279</v>
      </c>
      <c r="C1405" s="1" t="n">
        <v>45358</v>
      </c>
      <c r="D1405" t="inlineStr">
        <is>
          <t>HALLANDS LÄN</t>
        </is>
      </c>
      <c r="E1405" t="inlineStr">
        <is>
          <t>KUNGSBACKA</t>
        </is>
      </c>
      <c r="G1405" t="n">
        <v>3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14357-2021</t>
        </is>
      </c>
      <c r="B1406" s="1" t="n">
        <v>44279</v>
      </c>
      <c r="C1406" s="1" t="n">
        <v>45358</v>
      </c>
      <c r="D1406" t="inlineStr">
        <is>
          <t>HALLANDS LÄN</t>
        </is>
      </c>
      <c r="E1406" t="inlineStr">
        <is>
          <t>VARBERG</t>
        </is>
      </c>
      <c r="G1406" t="n">
        <v>6.4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14374-2021</t>
        </is>
      </c>
      <c r="B1407" s="1" t="n">
        <v>44279</v>
      </c>
      <c r="C1407" s="1" t="n">
        <v>45358</v>
      </c>
      <c r="D1407" t="inlineStr">
        <is>
          <t>HALLANDS LÄN</t>
        </is>
      </c>
      <c r="E1407" t="inlineStr">
        <is>
          <t>KUNGSBACKA</t>
        </is>
      </c>
      <c r="G1407" t="n">
        <v>0.7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14390-2021</t>
        </is>
      </c>
      <c r="B1408" s="1" t="n">
        <v>44279</v>
      </c>
      <c r="C1408" s="1" t="n">
        <v>45358</v>
      </c>
      <c r="D1408" t="inlineStr">
        <is>
          <t>HALLANDS LÄN</t>
        </is>
      </c>
      <c r="E1408" t="inlineStr">
        <is>
          <t>KUNGSBACKA</t>
        </is>
      </c>
      <c r="G1408" t="n">
        <v>0.7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14633-2021</t>
        </is>
      </c>
      <c r="B1409" s="1" t="n">
        <v>44280</v>
      </c>
      <c r="C1409" s="1" t="n">
        <v>45358</v>
      </c>
      <c r="D1409" t="inlineStr">
        <is>
          <t>HALLANDS LÄN</t>
        </is>
      </c>
      <c r="E1409" t="inlineStr">
        <is>
          <t>LAHOLM</t>
        </is>
      </c>
      <c r="G1409" t="n">
        <v>1.1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14651-2021</t>
        </is>
      </c>
      <c r="B1410" s="1" t="n">
        <v>44280</v>
      </c>
      <c r="C1410" s="1" t="n">
        <v>45358</v>
      </c>
      <c r="D1410" t="inlineStr">
        <is>
          <t>HALLANDS LÄN</t>
        </is>
      </c>
      <c r="E1410" t="inlineStr">
        <is>
          <t>VARBERG</t>
        </is>
      </c>
      <c r="G1410" t="n">
        <v>5.8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14608-2021</t>
        </is>
      </c>
      <c r="B1411" s="1" t="n">
        <v>44280</v>
      </c>
      <c r="C1411" s="1" t="n">
        <v>45358</v>
      </c>
      <c r="D1411" t="inlineStr">
        <is>
          <t>HALLANDS LÄN</t>
        </is>
      </c>
      <c r="E1411" t="inlineStr">
        <is>
          <t>VARBERG</t>
        </is>
      </c>
      <c r="G1411" t="n">
        <v>2.8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14759-2021</t>
        </is>
      </c>
      <c r="B1412" s="1" t="n">
        <v>44280</v>
      </c>
      <c r="C1412" s="1" t="n">
        <v>45358</v>
      </c>
      <c r="D1412" t="inlineStr">
        <is>
          <t>HALLANDS LÄN</t>
        </is>
      </c>
      <c r="E1412" t="inlineStr">
        <is>
          <t>HALMSTAD</t>
        </is>
      </c>
      <c r="G1412" t="n">
        <v>1.6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14655-2021</t>
        </is>
      </c>
      <c r="B1413" s="1" t="n">
        <v>44280</v>
      </c>
      <c r="C1413" s="1" t="n">
        <v>45358</v>
      </c>
      <c r="D1413" t="inlineStr">
        <is>
          <t>HALLANDS LÄN</t>
        </is>
      </c>
      <c r="E1413" t="inlineStr">
        <is>
          <t>VARBERG</t>
        </is>
      </c>
      <c r="G1413" t="n">
        <v>0.8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14895-2021</t>
        </is>
      </c>
      <c r="B1414" s="1" t="n">
        <v>44281</v>
      </c>
      <c r="C1414" s="1" t="n">
        <v>45358</v>
      </c>
      <c r="D1414" t="inlineStr">
        <is>
          <t>HALLANDS LÄN</t>
        </is>
      </c>
      <c r="E1414" t="inlineStr">
        <is>
          <t>HALMSTAD</t>
        </is>
      </c>
      <c r="G1414" t="n">
        <v>1.1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15059-2021</t>
        </is>
      </c>
      <c r="B1415" s="1" t="n">
        <v>44281</v>
      </c>
      <c r="C1415" s="1" t="n">
        <v>45358</v>
      </c>
      <c r="D1415" t="inlineStr">
        <is>
          <t>HALLANDS LÄN</t>
        </is>
      </c>
      <c r="E1415" t="inlineStr">
        <is>
          <t>HYLTE</t>
        </is>
      </c>
      <c r="G1415" t="n">
        <v>0.4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14958-2021</t>
        </is>
      </c>
      <c r="B1416" s="1" t="n">
        <v>44281</v>
      </c>
      <c r="C1416" s="1" t="n">
        <v>45358</v>
      </c>
      <c r="D1416" t="inlineStr">
        <is>
          <t>HALLANDS LÄN</t>
        </is>
      </c>
      <c r="E1416" t="inlineStr">
        <is>
          <t>HALMSTAD</t>
        </is>
      </c>
      <c r="G1416" t="n">
        <v>1.9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15396-2021</t>
        </is>
      </c>
      <c r="B1417" s="1" t="n">
        <v>44285</v>
      </c>
      <c r="C1417" s="1" t="n">
        <v>45358</v>
      </c>
      <c r="D1417" t="inlineStr">
        <is>
          <t>HALLANDS LÄN</t>
        </is>
      </c>
      <c r="E1417" t="inlineStr">
        <is>
          <t>HALMSTAD</t>
        </is>
      </c>
      <c r="G1417" t="n">
        <v>2.3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15632-2021</t>
        </is>
      </c>
      <c r="B1418" s="1" t="n">
        <v>44285</v>
      </c>
      <c r="C1418" s="1" t="n">
        <v>45358</v>
      </c>
      <c r="D1418" t="inlineStr">
        <is>
          <t>HALLANDS LÄN</t>
        </is>
      </c>
      <c r="E1418" t="inlineStr">
        <is>
          <t>KUNGSBACKA</t>
        </is>
      </c>
      <c r="G1418" t="n">
        <v>2.3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15673-2021</t>
        </is>
      </c>
      <c r="B1419" s="1" t="n">
        <v>44286</v>
      </c>
      <c r="C1419" s="1" t="n">
        <v>45358</v>
      </c>
      <c r="D1419" t="inlineStr">
        <is>
          <t>HALLANDS LÄN</t>
        </is>
      </c>
      <c r="E1419" t="inlineStr">
        <is>
          <t>KUNGSBACKA</t>
        </is>
      </c>
      <c r="G1419" t="n">
        <v>3.1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15865-2021</t>
        </is>
      </c>
      <c r="B1420" s="1" t="n">
        <v>44286</v>
      </c>
      <c r="C1420" s="1" t="n">
        <v>45358</v>
      </c>
      <c r="D1420" t="inlineStr">
        <is>
          <t>HALLANDS LÄN</t>
        </is>
      </c>
      <c r="E1420" t="inlineStr">
        <is>
          <t>HALMSTAD</t>
        </is>
      </c>
      <c r="G1420" t="n">
        <v>1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15678-2021</t>
        </is>
      </c>
      <c r="B1421" s="1" t="n">
        <v>44286</v>
      </c>
      <c r="C1421" s="1" t="n">
        <v>45358</v>
      </c>
      <c r="D1421" t="inlineStr">
        <is>
          <t>HALLANDS LÄN</t>
        </is>
      </c>
      <c r="E1421" t="inlineStr">
        <is>
          <t>LAHOLM</t>
        </is>
      </c>
      <c r="G1421" t="n">
        <v>0.7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15686-2021</t>
        </is>
      </c>
      <c r="B1422" s="1" t="n">
        <v>44286</v>
      </c>
      <c r="C1422" s="1" t="n">
        <v>45358</v>
      </c>
      <c r="D1422" t="inlineStr">
        <is>
          <t>HALLANDS LÄN</t>
        </is>
      </c>
      <c r="E1422" t="inlineStr">
        <is>
          <t>KUNGSBACKA</t>
        </is>
      </c>
      <c r="G1422" t="n">
        <v>1.2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15864-2021</t>
        </is>
      </c>
      <c r="B1423" s="1" t="n">
        <v>44286</v>
      </c>
      <c r="C1423" s="1" t="n">
        <v>45358</v>
      </c>
      <c r="D1423" t="inlineStr">
        <is>
          <t>HALLANDS LÄN</t>
        </is>
      </c>
      <c r="E1423" t="inlineStr">
        <is>
          <t>HALMSTAD</t>
        </is>
      </c>
      <c r="G1423" t="n">
        <v>0.5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15991-2021</t>
        </is>
      </c>
      <c r="B1424" s="1" t="n">
        <v>44287</v>
      </c>
      <c r="C1424" s="1" t="n">
        <v>45358</v>
      </c>
      <c r="D1424" t="inlineStr">
        <is>
          <t>HALLANDS LÄN</t>
        </is>
      </c>
      <c r="E1424" t="inlineStr">
        <is>
          <t>VARBERG</t>
        </is>
      </c>
      <c r="G1424" t="n">
        <v>2.7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16068-2021</t>
        </is>
      </c>
      <c r="B1425" s="1" t="n">
        <v>44287</v>
      </c>
      <c r="C1425" s="1" t="n">
        <v>45358</v>
      </c>
      <c r="D1425" t="inlineStr">
        <is>
          <t>HALLANDS LÄN</t>
        </is>
      </c>
      <c r="E1425" t="inlineStr">
        <is>
          <t>FALKENBERG</t>
        </is>
      </c>
      <c r="G1425" t="n">
        <v>1.7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16028-2021</t>
        </is>
      </c>
      <c r="B1426" s="1" t="n">
        <v>44287</v>
      </c>
      <c r="C1426" s="1" t="n">
        <v>45358</v>
      </c>
      <c r="D1426" t="inlineStr">
        <is>
          <t>HALLANDS LÄN</t>
        </is>
      </c>
      <c r="E1426" t="inlineStr">
        <is>
          <t>FALKENBERG</t>
        </is>
      </c>
      <c r="G1426" t="n">
        <v>1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16238-2021</t>
        </is>
      </c>
      <c r="B1427" s="1" t="n">
        <v>44287</v>
      </c>
      <c r="C1427" s="1" t="n">
        <v>45358</v>
      </c>
      <c r="D1427" t="inlineStr">
        <is>
          <t>HALLANDS LÄN</t>
        </is>
      </c>
      <c r="E1427" t="inlineStr">
        <is>
          <t>FALKENBERG</t>
        </is>
      </c>
      <c r="F1427" t="inlineStr">
        <is>
          <t>Kyrkan</t>
        </is>
      </c>
      <c r="G1427" t="n">
        <v>0.5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16515-2021</t>
        </is>
      </c>
      <c r="B1428" s="1" t="n">
        <v>44293</v>
      </c>
      <c r="C1428" s="1" t="n">
        <v>45358</v>
      </c>
      <c r="D1428" t="inlineStr">
        <is>
          <t>HALLANDS LÄN</t>
        </is>
      </c>
      <c r="E1428" t="inlineStr">
        <is>
          <t>HYLTE</t>
        </is>
      </c>
      <c r="G1428" t="n">
        <v>5.7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16513-2021</t>
        </is>
      </c>
      <c r="B1429" s="1" t="n">
        <v>44293</v>
      </c>
      <c r="C1429" s="1" t="n">
        <v>45358</v>
      </c>
      <c r="D1429" t="inlineStr">
        <is>
          <t>HALLANDS LÄN</t>
        </is>
      </c>
      <c r="E1429" t="inlineStr">
        <is>
          <t>HYLTE</t>
        </is>
      </c>
      <c r="G1429" t="n">
        <v>6.1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16641-2021</t>
        </is>
      </c>
      <c r="B1430" s="1" t="n">
        <v>44294</v>
      </c>
      <c r="C1430" s="1" t="n">
        <v>45358</v>
      </c>
      <c r="D1430" t="inlineStr">
        <is>
          <t>HALLANDS LÄN</t>
        </is>
      </c>
      <c r="E1430" t="inlineStr">
        <is>
          <t>FALKENBERG</t>
        </is>
      </c>
      <c r="G1430" t="n">
        <v>1.2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16952-2021</t>
        </is>
      </c>
      <c r="B1431" s="1" t="n">
        <v>44295</v>
      </c>
      <c r="C1431" s="1" t="n">
        <v>45358</v>
      </c>
      <c r="D1431" t="inlineStr">
        <is>
          <t>HALLANDS LÄN</t>
        </is>
      </c>
      <c r="E1431" t="inlineStr">
        <is>
          <t>HYLTE</t>
        </is>
      </c>
      <c r="G1431" t="n">
        <v>2.3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16914-2021</t>
        </is>
      </c>
      <c r="B1432" s="1" t="n">
        <v>44295</v>
      </c>
      <c r="C1432" s="1" t="n">
        <v>45358</v>
      </c>
      <c r="D1432" t="inlineStr">
        <is>
          <t>HALLANDS LÄN</t>
        </is>
      </c>
      <c r="E1432" t="inlineStr">
        <is>
          <t>VARBERG</t>
        </is>
      </c>
      <c r="G1432" t="n">
        <v>4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16994-2021</t>
        </is>
      </c>
      <c r="B1433" s="1" t="n">
        <v>44295</v>
      </c>
      <c r="C1433" s="1" t="n">
        <v>45358</v>
      </c>
      <c r="D1433" t="inlineStr">
        <is>
          <t>HALLANDS LÄN</t>
        </is>
      </c>
      <c r="E1433" t="inlineStr">
        <is>
          <t>FALKENBERG</t>
        </is>
      </c>
      <c r="G1433" t="n">
        <v>2.4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17242-2021</t>
        </is>
      </c>
      <c r="B1434" s="1" t="n">
        <v>44298</v>
      </c>
      <c r="C1434" s="1" t="n">
        <v>45358</v>
      </c>
      <c r="D1434" t="inlineStr">
        <is>
          <t>HALLANDS LÄN</t>
        </is>
      </c>
      <c r="E1434" t="inlineStr">
        <is>
          <t>KUNGSBACKA</t>
        </is>
      </c>
      <c r="G1434" t="n">
        <v>4.1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17171-2021</t>
        </is>
      </c>
      <c r="B1435" s="1" t="n">
        <v>44298</v>
      </c>
      <c r="C1435" s="1" t="n">
        <v>45358</v>
      </c>
      <c r="D1435" t="inlineStr">
        <is>
          <t>HALLANDS LÄN</t>
        </is>
      </c>
      <c r="E1435" t="inlineStr">
        <is>
          <t>HALMSTAD</t>
        </is>
      </c>
      <c r="G1435" t="n">
        <v>4.8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17224-2021</t>
        </is>
      </c>
      <c r="B1436" s="1" t="n">
        <v>44298</v>
      </c>
      <c r="C1436" s="1" t="n">
        <v>45358</v>
      </c>
      <c r="D1436" t="inlineStr">
        <is>
          <t>HALLANDS LÄN</t>
        </is>
      </c>
      <c r="E1436" t="inlineStr">
        <is>
          <t>HYLTE</t>
        </is>
      </c>
      <c r="G1436" t="n">
        <v>2.5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17243-2021</t>
        </is>
      </c>
      <c r="B1437" s="1" t="n">
        <v>44298</v>
      </c>
      <c r="C1437" s="1" t="n">
        <v>45358</v>
      </c>
      <c r="D1437" t="inlineStr">
        <is>
          <t>HALLANDS LÄN</t>
        </is>
      </c>
      <c r="E1437" t="inlineStr">
        <is>
          <t>KUNGSBACKA</t>
        </is>
      </c>
      <c r="G1437" t="n">
        <v>0.6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17237-2021</t>
        </is>
      </c>
      <c r="B1438" s="1" t="n">
        <v>44298</v>
      </c>
      <c r="C1438" s="1" t="n">
        <v>45358</v>
      </c>
      <c r="D1438" t="inlineStr">
        <is>
          <t>HALLANDS LÄN</t>
        </is>
      </c>
      <c r="E1438" t="inlineStr">
        <is>
          <t>HALMSTAD</t>
        </is>
      </c>
      <c r="G1438" t="n">
        <v>1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17230-2021</t>
        </is>
      </c>
      <c r="B1439" s="1" t="n">
        <v>44298</v>
      </c>
      <c r="C1439" s="1" t="n">
        <v>45358</v>
      </c>
      <c r="D1439" t="inlineStr">
        <is>
          <t>HALLANDS LÄN</t>
        </is>
      </c>
      <c r="E1439" t="inlineStr">
        <is>
          <t>VARBERG</t>
        </is>
      </c>
      <c r="G1439" t="n">
        <v>1.6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17341-2021</t>
        </is>
      </c>
      <c r="B1440" s="1" t="n">
        <v>44298</v>
      </c>
      <c r="C1440" s="1" t="n">
        <v>45358</v>
      </c>
      <c r="D1440" t="inlineStr">
        <is>
          <t>HALLANDS LÄN</t>
        </is>
      </c>
      <c r="E1440" t="inlineStr">
        <is>
          <t>HYLTE</t>
        </is>
      </c>
      <c r="G1440" t="n">
        <v>1.7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17353-2021</t>
        </is>
      </c>
      <c r="B1441" s="1" t="n">
        <v>44298</v>
      </c>
      <c r="C1441" s="1" t="n">
        <v>45358</v>
      </c>
      <c r="D1441" t="inlineStr">
        <is>
          <t>HALLANDS LÄN</t>
        </is>
      </c>
      <c r="E1441" t="inlineStr">
        <is>
          <t>HALMSTAD</t>
        </is>
      </c>
      <c r="F1441" t="inlineStr">
        <is>
          <t>Kommuner</t>
        </is>
      </c>
      <c r="G1441" t="n">
        <v>1.5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17352-2021</t>
        </is>
      </c>
      <c r="B1442" s="1" t="n">
        <v>44298</v>
      </c>
      <c r="C1442" s="1" t="n">
        <v>45358</v>
      </c>
      <c r="D1442" t="inlineStr">
        <is>
          <t>HALLANDS LÄN</t>
        </is>
      </c>
      <c r="E1442" t="inlineStr">
        <is>
          <t>HALMSTAD</t>
        </is>
      </c>
      <c r="F1442" t="inlineStr">
        <is>
          <t>Kommuner</t>
        </is>
      </c>
      <c r="G1442" t="n">
        <v>3.3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17354-2021</t>
        </is>
      </c>
      <c r="B1443" s="1" t="n">
        <v>44298</v>
      </c>
      <c r="C1443" s="1" t="n">
        <v>45358</v>
      </c>
      <c r="D1443" t="inlineStr">
        <is>
          <t>HALLANDS LÄN</t>
        </is>
      </c>
      <c r="E1443" t="inlineStr">
        <is>
          <t>HALMSTAD</t>
        </is>
      </c>
      <c r="F1443" t="inlineStr">
        <is>
          <t>Kommuner</t>
        </is>
      </c>
      <c r="G1443" t="n">
        <v>2.1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17999-2021</t>
        </is>
      </c>
      <c r="B1444" s="1" t="n">
        <v>44301</v>
      </c>
      <c r="C1444" s="1" t="n">
        <v>45358</v>
      </c>
      <c r="D1444" t="inlineStr">
        <is>
          <t>HALLANDS LÄN</t>
        </is>
      </c>
      <c r="E1444" t="inlineStr">
        <is>
          <t>FALKENBERG</t>
        </is>
      </c>
      <c r="G1444" t="n">
        <v>0.9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18017-2021</t>
        </is>
      </c>
      <c r="B1445" s="1" t="n">
        <v>44302</v>
      </c>
      <c r="C1445" s="1" t="n">
        <v>45358</v>
      </c>
      <c r="D1445" t="inlineStr">
        <is>
          <t>HALLANDS LÄN</t>
        </is>
      </c>
      <c r="E1445" t="inlineStr">
        <is>
          <t>VARBERG</t>
        </is>
      </c>
      <c r="G1445" t="n">
        <v>2.4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18144-2021</t>
        </is>
      </c>
      <c r="B1446" s="1" t="n">
        <v>44302</v>
      </c>
      <c r="C1446" s="1" t="n">
        <v>45358</v>
      </c>
      <c r="D1446" t="inlineStr">
        <is>
          <t>HALLANDS LÄN</t>
        </is>
      </c>
      <c r="E1446" t="inlineStr">
        <is>
          <t>HYLTE</t>
        </is>
      </c>
      <c r="G1446" t="n">
        <v>2.8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18153-2021</t>
        </is>
      </c>
      <c r="B1447" s="1" t="n">
        <v>44302</v>
      </c>
      <c r="C1447" s="1" t="n">
        <v>45358</v>
      </c>
      <c r="D1447" t="inlineStr">
        <is>
          <t>HALLANDS LÄN</t>
        </is>
      </c>
      <c r="E1447" t="inlineStr">
        <is>
          <t>HYLTE</t>
        </is>
      </c>
      <c r="G1447" t="n">
        <v>5.3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18196-2021</t>
        </is>
      </c>
      <c r="B1448" s="1" t="n">
        <v>44302</v>
      </c>
      <c r="C1448" s="1" t="n">
        <v>45358</v>
      </c>
      <c r="D1448" t="inlineStr">
        <is>
          <t>HALLANDS LÄN</t>
        </is>
      </c>
      <c r="E1448" t="inlineStr">
        <is>
          <t>VARBERG</t>
        </is>
      </c>
      <c r="G1448" t="n">
        <v>9.6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18595-2021</t>
        </is>
      </c>
      <c r="B1449" s="1" t="n">
        <v>44306</v>
      </c>
      <c r="C1449" s="1" t="n">
        <v>45358</v>
      </c>
      <c r="D1449" t="inlineStr">
        <is>
          <t>HALLANDS LÄN</t>
        </is>
      </c>
      <c r="E1449" t="inlineStr">
        <is>
          <t>HYLTE</t>
        </is>
      </c>
      <c r="G1449" t="n">
        <v>2.1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18689-2021</t>
        </is>
      </c>
      <c r="B1450" s="1" t="n">
        <v>44307</v>
      </c>
      <c r="C1450" s="1" t="n">
        <v>45358</v>
      </c>
      <c r="D1450" t="inlineStr">
        <is>
          <t>HALLANDS LÄN</t>
        </is>
      </c>
      <c r="E1450" t="inlineStr">
        <is>
          <t>VARBERG</t>
        </is>
      </c>
      <c r="G1450" t="n">
        <v>1.4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18859-2021</t>
        </is>
      </c>
      <c r="B1451" s="1" t="n">
        <v>44307</v>
      </c>
      <c r="C1451" s="1" t="n">
        <v>45358</v>
      </c>
      <c r="D1451" t="inlineStr">
        <is>
          <t>HALLANDS LÄN</t>
        </is>
      </c>
      <c r="E1451" t="inlineStr">
        <is>
          <t>VARBERG</t>
        </is>
      </c>
      <c r="G1451" t="n">
        <v>1.5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18778-2021</t>
        </is>
      </c>
      <c r="B1452" s="1" t="n">
        <v>44307</v>
      </c>
      <c r="C1452" s="1" t="n">
        <v>45358</v>
      </c>
      <c r="D1452" t="inlineStr">
        <is>
          <t>HALLANDS LÄN</t>
        </is>
      </c>
      <c r="E1452" t="inlineStr">
        <is>
          <t>HYLTE</t>
        </is>
      </c>
      <c r="G1452" t="n">
        <v>5.7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18967-2021</t>
        </is>
      </c>
      <c r="B1453" s="1" t="n">
        <v>44308</v>
      </c>
      <c r="C1453" s="1" t="n">
        <v>45358</v>
      </c>
      <c r="D1453" t="inlineStr">
        <is>
          <t>HALLANDS LÄN</t>
        </is>
      </c>
      <c r="E1453" t="inlineStr">
        <is>
          <t>HALMSTAD</t>
        </is>
      </c>
      <c r="G1453" t="n">
        <v>1.6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19027-2021</t>
        </is>
      </c>
      <c r="B1454" s="1" t="n">
        <v>44308</v>
      </c>
      <c r="C1454" s="1" t="n">
        <v>45358</v>
      </c>
      <c r="D1454" t="inlineStr">
        <is>
          <t>HALLANDS LÄN</t>
        </is>
      </c>
      <c r="E1454" t="inlineStr">
        <is>
          <t>KUNGSBACKA</t>
        </is>
      </c>
      <c r="G1454" t="n">
        <v>3.1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19198-2021</t>
        </is>
      </c>
      <c r="B1455" s="1" t="n">
        <v>44308</v>
      </c>
      <c r="C1455" s="1" t="n">
        <v>45358</v>
      </c>
      <c r="D1455" t="inlineStr">
        <is>
          <t>HALLANDS LÄN</t>
        </is>
      </c>
      <c r="E1455" t="inlineStr">
        <is>
          <t>VARBERG</t>
        </is>
      </c>
      <c r="G1455" t="n">
        <v>1.8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19306-2021</t>
        </is>
      </c>
      <c r="B1456" s="1" t="n">
        <v>44309</v>
      </c>
      <c r="C1456" s="1" t="n">
        <v>45358</v>
      </c>
      <c r="D1456" t="inlineStr">
        <is>
          <t>HALLANDS LÄN</t>
        </is>
      </c>
      <c r="E1456" t="inlineStr">
        <is>
          <t>FALKENBERG</t>
        </is>
      </c>
      <c r="G1456" t="n">
        <v>1.5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19296-2021</t>
        </is>
      </c>
      <c r="B1457" s="1" t="n">
        <v>44309</v>
      </c>
      <c r="C1457" s="1" t="n">
        <v>45358</v>
      </c>
      <c r="D1457" t="inlineStr">
        <is>
          <t>HALLANDS LÄN</t>
        </is>
      </c>
      <c r="E1457" t="inlineStr">
        <is>
          <t>HALMSTAD</t>
        </is>
      </c>
      <c r="G1457" t="n">
        <v>1.3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19885-2021</t>
        </is>
      </c>
      <c r="B1458" s="1" t="n">
        <v>44312</v>
      </c>
      <c r="C1458" s="1" t="n">
        <v>45358</v>
      </c>
      <c r="D1458" t="inlineStr">
        <is>
          <t>HALLANDS LÄN</t>
        </is>
      </c>
      <c r="E1458" t="inlineStr">
        <is>
          <t>LAHOLM</t>
        </is>
      </c>
      <c r="F1458" t="inlineStr">
        <is>
          <t>Kyrkan</t>
        </is>
      </c>
      <c r="G1458" t="n">
        <v>1.9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19653-2021</t>
        </is>
      </c>
      <c r="B1459" s="1" t="n">
        <v>44312</v>
      </c>
      <c r="C1459" s="1" t="n">
        <v>45358</v>
      </c>
      <c r="D1459" t="inlineStr">
        <is>
          <t>HALLANDS LÄN</t>
        </is>
      </c>
      <c r="E1459" t="inlineStr">
        <is>
          <t>HALMSTAD</t>
        </is>
      </c>
      <c r="G1459" t="n">
        <v>1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19735-2021</t>
        </is>
      </c>
      <c r="B1460" s="1" t="n">
        <v>44313</v>
      </c>
      <c r="C1460" s="1" t="n">
        <v>45358</v>
      </c>
      <c r="D1460" t="inlineStr">
        <is>
          <t>HALLANDS LÄN</t>
        </is>
      </c>
      <c r="E1460" t="inlineStr">
        <is>
          <t>FALKENBERG</t>
        </is>
      </c>
      <c r="G1460" t="n">
        <v>0.8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19938-2021</t>
        </is>
      </c>
      <c r="B1461" s="1" t="n">
        <v>44313</v>
      </c>
      <c r="C1461" s="1" t="n">
        <v>45358</v>
      </c>
      <c r="D1461" t="inlineStr">
        <is>
          <t>HALLANDS LÄN</t>
        </is>
      </c>
      <c r="E1461" t="inlineStr">
        <is>
          <t>LAHOLM</t>
        </is>
      </c>
      <c r="G1461" t="n">
        <v>1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19936-2021</t>
        </is>
      </c>
      <c r="B1462" s="1" t="n">
        <v>44313</v>
      </c>
      <c r="C1462" s="1" t="n">
        <v>45358</v>
      </c>
      <c r="D1462" t="inlineStr">
        <is>
          <t>HALLANDS LÄN</t>
        </is>
      </c>
      <c r="E1462" t="inlineStr">
        <is>
          <t>LAHOLM</t>
        </is>
      </c>
      <c r="G1462" t="n">
        <v>0.5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20489-2021</t>
        </is>
      </c>
      <c r="B1463" s="1" t="n">
        <v>44313</v>
      </c>
      <c r="C1463" s="1" t="n">
        <v>45358</v>
      </c>
      <c r="D1463" t="inlineStr">
        <is>
          <t>HALLANDS LÄN</t>
        </is>
      </c>
      <c r="E1463" t="inlineStr">
        <is>
          <t>FALKENBERG</t>
        </is>
      </c>
      <c r="G1463" t="n">
        <v>6.2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20486-2021</t>
        </is>
      </c>
      <c r="B1464" s="1" t="n">
        <v>44313</v>
      </c>
      <c r="C1464" s="1" t="n">
        <v>45358</v>
      </c>
      <c r="D1464" t="inlineStr">
        <is>
          <t>HALLANDS LÄN</t>
        </is>
      </c>
      <c r="E1464" t="inlineStr">
        <is>
          <t>FALKENBERG</t>
        </is>
      </c>
      <c r="G1464" t="n">
        <v>6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20027-2021</t>
        </is>
      </c>
      <c r="B1465" s="1" t="n">
        <v>44314</v>
      </c>
      <c r="C1465" s="1" t="n">
        <v>45358</v>
      </c>
      <c r="D1465" t="inlineStr">
        <is>
          <t>HALLANDS LÄN</t>
        </is>
      </c>
      <c r="E1465" t="inlineStr">
        <is>
          <t>VARBERG</t>
        </is>
      </c>
      <c r="G1465" t="n">
        <v>3.2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20043-2021</t>
        </is>
      </c>
      <c r="B1466" s="1" t="n">
        <v>44314</v>
      </c>
      <c r="C1466" s="1" t="n">
        <v>45358</v>
      </c>
      <c r="D1466" t="inlineStr">
        <is>
          <t>HALLANDS LÄN</t>
        </is>
      </c>
      <c r="E1466" t="inlineStr">
        <is>
          <t>HALMSTAD</t>
        </is>
      </c>
      <c r="G1466" t="n">
        <v>0.5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20025-2021</t>
        </is>
      </c>
      <c r="B1467" s="1" t="n">
        <v>44314</v>
      </c>
      <c r="C1467" s="1" t="n">
        <v>45358</v>
      </c>
      <c r="D1467" t="inlineStr">
        <is>
          <t>HALLANDS LÄN</t>
        </is>
      </c>
      <c r="E1467" t="inlineStr">
        <is>
          <t>VARBERG</t>
        </is>
      </c>
      <c r="G1467" t="n">
        <v>5.8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20117-2021</t>
        </is>
      </c>
      <c r="B1468" s="1" t="n">
        <v>44314</v>
      </c>
      <c r="C1468" s="1" t="n">
        <v>45358</v>
      </c>
      <c r="D1468" t="inlineStr">
        <is>
          <t>HALLANDS LÄN</t>
        </is>
      </c>
      <c r="E1468" t="inlineStr">
        <is>
          <t>FALKENBERG</t>
        </is>
      </c>
      <c r="G1468" t="n">
        <v>12.9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20396-2021</t>
        </is>
      </c>
      <c r="B1469" s="1" t="n">
        <v>44315</v>
      </c>
      <c r="C1469" s="1" t="n">
        <v>45358</v>
      </c>
      <c r="D1469" t="inlineStr">
        <is>
          <t>HALLANDS LÄN</t>
        </is>
      </c>
      <c r="E1469" t="inlineStr">
        <is>
          <t>VARBERG</t>
        </is>
      </c>
      <c r="G1469" t="n">
        <v>0.6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20400-2021</t>
        </is>
      </c>
      <c r="B1470" s="1" t="n">
        <v>44315</v>
      </c>
      <c r="C1470" s="1" t="n">
        <v>45358</v>
      </c>
      <c r="D1470" t="inlineStr">
        <is>
          <t>HALLANDS LÄN</t>
        </is>
      </c>
      <c r="E1470" t="inlineStr">
        <is>
          <t>HALMSTAD</t>
        </is>
      </c>
      <c r="G1470" t="n">
        <v>1.9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20588-2021</t>
        </is>
      </c>
      <c r="B1471" s="1" t="n">
        <v>44316</v>
      </c>
      <c r="C1471" s="1" t="n">
        <v>45358</v>
      </c>
      <c r="D1471" t="inlineStr">
        <is>
          <t>HALLANDS LÄN</t>
        </is>
      </c>
      <c r="E1471" t="inlineStr">
        <is>
          <t>HALMSTAD</t>
        </is>
      </c>
      <c r="G1471" t="n">
        <v>2.9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20591-2021</t>
        </is>
      </c>
      <c r="B1472" s="1" t="n">
        <v>44316</v>
      </c>
      <c r="C1472" s="1" t="n">
        <v>45358</v>
      </c>
      <c r="D1472" t="inlineStr">
        <is>
          <t>HALLANDS LÄN</t>
        </is>
      </c>
      <c r="E1472" t="inlineStr">
        <is>
          <t>HALMSTAD</t>
        </is>
      </c>
      <c r="G1472" t="n">
        <v>3.9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20826-2021</t>
        </is>
      </c>
      <c r="B1473" s="1" t="n">
        <v>44318</v>
      </c>
      <c r="C1473" s="1" t="n">
        <v>45358</v>
      </c>
      <c r="D1473" t="inlineStr">
        <is>
          <t>HALLANDS LÄN</t>
        </is>
      </c>
      <c r="E1473" t="inlineStr">
        <is>
          <t>HALMSTAD</t>
        </is>
      </c>
      <c r="G1473" t="n">
        <v>3.6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20989-2021</t>
        </is>
      </c>
      <c r="B1474" s="1" t="n">
        <v>44319</v>
      </c>
      <c r="C1474" s="1" t="n">
        <v>45358</v>
      </c>
      <c r="D1474" t="inlineStr">
        <is>
          <t>HALLANDS LÄN</t>
        </is>
      </c>
      <c r="E1474" t="inlineStr">
        <is>
          <t>LAHOLM</t>
        </is>
      </c>
      <c r="G1474" t="n">
        <v>2.3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20987-2021</t>
        </is>
      </c>
      <c r="B1475" s="1" t="n">
        <v>44319</v>
      </c>
      <c r="C1475" s="1" t="n">
        <v>45358</v>
      </c>
      <c r="D1475" t="inlineStr">
        <is>
          <t>HALLANDS LÄN</t>
        </is>
      </c>
      <c r="E1475" t="inlineStr">
        <is>
          <t>LAHOLM</t>
        </is>
      </c>
      <c r="G1475" t="n">
        <v>2.1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21152-2021</t>
        </is>
      </c>
      <c r="B1476" s="1" t="n">
        <v>44320</v>
      </c>
      <c r="C1476" s="1" t="n">
        <v>45358</v>
      </c>
      <c r="D1476" t="inlineStr">
        <is>
          <t>HALLANDS LÄN</t>
        </is>
      </c>
      <c r="E1476" t="inlineStr">
        <is>
          <t>FALKENBERG</t>
        </is>
      </c>
      <c r="G1476" t="n">
        <v>4.3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21133-2021</t>
        </is>
      </c>
      <c r="B1477" s="1" t="n">
        <v>44320</v>
      </c>
      <c r="C1477" s="1" t="n">
        <v>45358</v>
      </c>
      <c r="D1477" t="inlineStr">
        <is>
          <t>HALLANDS LÄN</t>
        </is>
      </c>
      <c r="E1477" t="inlineStr">
        <is>
          <t>FALKENBERG</t>
        </is>
      </c>
      <c r="G1477" t="n">
        <v>5.1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21325-2021</t>
        </is>
      </c>
      <c r="B1478" s="1" t="n">
        <v>44320</v>
      </c>
      <c r="C1478" s="1" t="n">
        <v>45358</v>
      </c>
      <c r="D1478" t="inlineStr">
        <is>
          <t>HALLANDS LÄN</t>
        </is>
      </c>
      <c r="E1478" t="inlineStr">
        <is>
          <t>VARBERG</t>
        </is>
      </c>
      <c r="G1478" t="n">
        <v>1.3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21453-2021</t>
        </is>
      </c>
      <c r="B1479" s="1" t="n">
        <v>44321</v>
      </c>
      <c r="C1479" s="1" t="n">
        <v>45358</v>
      </c>
      <c r="D1479" t="inlineStr">
        <is>
          <t>HALLANDS LÄN</t>
        </is>
      </c>
      <c r="E1479" t="inlineStr">
        <is>
          <t>HYLTE</t>
        </is>
      </c>
      <c r="G1479" t="n">
        <v>0.7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21457-2021</t>
        </is>
      </c>
      <c r="B1480" s="1" t="n">
        <v>44321</v>
      </c>
      <c r="C1480" s="1" t="n">
        <v>45358</v>
      </c>
      <c r="D1480" t="inlineStr">
        <is>
          <t>HALLANDS LÄN</t>
        </is>
      </c>
      <c r="E1480" t="inlineStr">
        <is>
          <t>HALMSTAD</t>
        </is>
      </c>
      <c r="G1480" t="n">
        <v>0.6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22424-2021</t>
        </is>
      </c>
      <c r="B1481" s="1" t="n">
        <v>44322</v>
      </c>
      <c r="C1481" s="1" t="n">
        <v>45358</v>
      </c>
      <c r="D1481" t="inlineStr">
        <is>
          <t>HALLANDS LÄN</t>
        </is>
      </c>
      <c r="E1481" t="inlineStr">
        <is>
          <t>HYLTE</t>
        </is>
      </c>
      <c r="G1481" t="n">
        <v>1.7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22809-2021</t>
        </is>
      </c>
      <c r="B1482" s="1" t="n">
        <v>44322</v>
      </c>
      <c r="C1482" s="1" t="n">
        <v>45358</v>
      </c>
      <c r="D1482" t="inlineStr">
        <is>
          <t>HALLANDS LÄN</t>
        </is>
      </c>
      <c r="E1482" t="inlineStr">
        <is>
          <t>HYLTE</t>
        </is>
      </c>
      <c r="G1482" t="n">
        <v>2.1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22034-2021</t>
        </is>
      </c>
      <c r="B1483" s="1" t="n">
        <v>44323</v>
      </c>
      <c r="C1483" s="1" t="n">
        <v>45358</v>
      </c>
      <c r="D1483" t="inlineStr">
        <is>
          <t>HALLANDS LÄN</t>
        </is>
      </c>
      <c r="E1483" t="inlineStr">
        <is>
          <t>HYLTE</t>
        </is>
      </c>
      <c r="G1483" t="n">
        <v>1.7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22251-2021</t>
        </is>
      </c>
      <c r="B1484" s="1" t="n">
        <v>44326</v>
      </c>
      <c r="C1484" s="1" t="n">
        <v>45358</v>
      </c>
      <c r="D1484" t="inlineStr">
        <is>
          <t>HALLANDS LÄN</t>
        </is>
      </c>
      <c r="E1484" t="inlineStr">
        <is>
          <t>FALKENBERG</t>
        </is>
      </c>
      <c r="G1484" t="n">
        <v>1.9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22385-2021</t>
        </is>
      </c>
      <c r="B1485" s="1" t="n">
        <v>44326</v>
      </c>
      <c r="C1485" s="1" t="n">
        <v>45358</v>
      </c>
      <c r="D1485" t="inlineStr">
        <is>
          <t>HALLANDS LÄN</t>
        </is>
      </c>
      <c r="E1485" t="inlineStr">
        <is>
          <t>VARBERG</t>
        </is>
      </c>
      <c r="G1485" t="n">
        <v>2.6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22594-2021</t>
        </is>
      </c>
      <c r="B1486" s="1" t="n">
        <v>44327</v>
      </c>
      <c r="C1486" s="1" t="n">
        <v>45358</v>
      </c>
      <c r="D1486" t="inlineStr">
        <is>
          <t>HALLANDS LÄN</t>
        </is>
      </c>
      <c r="E1486" t="inlineStr">
        <is>
          <t>FALKENBERG</t>
        </is>
      </c>
      <c r="G1486" t="n">
        <v>1.6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23148-2021</t>
        </is>
      </c>
      <c r="B1487" s="1" t="n">
        <v>44331</v>
      </c>
      <c r="C1487" s="1" t="n">
        <v>45358</v>
      </c>
      <c r="D1487" t="inlineStr">
        <is>
          <t>HALLANDS LÄN</t>
        </is>
      </c>
      <c r="E1487" t="inlineStr">
        <is>
          <t>LAHOLM</t>
        </is>
      </c>
      <c r="G1487" t="n">
        <v>2.7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23165-2021</t>
        </is>
      </c>
      <c r="B1488" s="1" t="n">
        <v>44332</v>
      </c>
      <c r="C1488" s="1" t="n">
        <v>45358</v>
      </c>
      <c r="D1488" t="inlineStr">
        <is>
          <t>HALLANDS LÄN</t>
        </is>
      </c>
      <c r="E1488" t="inlineStr">
        <is>
          <t>HYLTE</t>
        </is>
      </c>
      <c r="G1488" t="n">
        <v>1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23407-2021</t>
        </is>
      </c>
      <c r="B1489" s="1" t="n">
        <v>44333</v>
      </c>
      <c r="C1489" s="1" t="n">
        <v>45358</v>
      </c>
      <c r="D1489" t="inlineStr">
        <is>
          <t>HALLANDS LÄN</t>
        </is>
      </c>
      <c r="E1489" t="inlineStr">
        <is>
          <t>HYLTE</t>
        </is>
      </c>
      <c r="G1489" t="n">
        <v>1.3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23447-2021</t>
        </is>
      </c>
      <c r="B1490" s="1" t="n">
        <v>44333</v>
      </c>
      <c r="C1490" s="1" t="n">
        <v>45358</v>
      </c>
      <c r="D1490" t="inlineStr">
        <is>
          <t>HALLANDS LÄN</t>
        </is>
      </c>
      <c r="E1490" t="inlineStr">
        <is>
          <t>FALKENBERG</t>
        </is>
      </c>
      <c r="G1490" t="n">
        <v>1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23206-2021</t>
        </is>
      </c>
      <c r="B1491" s="1" t="n">
        <v>44333</v>
      </c>
      <c r="C1491" s="1" t="n">
        <v>45358</v>
      </c>
      <c r="D1491" t="inlineStr">
        <is>
          <t>HALLANDS LÄN</t>
        </is>
      </c>
      <c r="E1491" t="inlineStr">
        <is>
          <t>HALMSTAD</t>
        </is>
      </c>
      <c r="G1491" t="n">
        <v>1.6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23409-2021</t>
        </is>
      </c>
      <c r="B1492" s="1" t="n">
        <v>44333</v>
      </c>
      <c r="C1492" s="1" t="n">
        <v>45358</v>
      </c>
      <c r="D1492" t="inlineStr">
        <is>
          <t>HALLANDS LÄN</t>
        </is>
      </c>
      <c r="E1492" t="inlineStr">
        <is>
          <t>LAHOLM</t>
        </is>
      </c>
      <c r="G1492" t="n">
        <v>2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23651-2021</t>
        </is>
      </c>
      <c r="B1493" s="1" t="n">
        <v>44334</v>
      </c>
      <c r="C1493" s="1" t="n">
        <v>45358</v>
      </c>
      <c r="D1493" t="inlineStr">
        <is>
          <t>HALLANDS LÄN</t>
        </is>
      </c>
      <c r="E1493" t="inlineStr">
        <is>
          <t>FALKENBERG</t>
        </is>
      </c>
      <c r="G1493" t="n">
        <v>3.7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23782-2021</t>
        </is>
      </c>
      <c r="B1494" s="1" t="n">
        <v>44335</v>
      </c>
      <c r="C1494" s="1" t="n">
        <v>45358</v>
      </c>
      <c r="D1494" t="inlineStr">
        <is>
          <t>HALLANDS LÄN</t>
        </is>
      </c>
      <c r="E1494" t="inlineStr">
        <is>
          <t>FALKENBERG</t>
        </is>
      </c>
      <c r="G1494" t="n">
        <v>1.2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23781-2021</t>
        </is>
      </c>
      <c r="B1495" s="1" t="n">
        <v>44335</v>
      </c>
      <c r="C1495" s="1" t="n">
        <v>45358</v>
      </c>
      <c r="D1495" t="inlineStr">
        <is>
          <t>HALLANDS LÄN</t>
        </is>
      </c>
      <c r="E1495" t="inlineStr">
        <is>
          <t>FALKENBERG</t>
        </is>
      </c>
      <c r="G1495" t="n">
        <v>2.7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23780-2021</t>
        </is>
      </c>
      <c r="B1496" s="1" t="n">
        <v>44335</v>
      </c>
      <c r="C1496" s="1" t="n">
        <v>45358</v>
      </c>
      <c r="D1496" t="inlineStr">
        <is>
          <t>HALLANDS LÄN</t>
        </is>
      </c>
      <c r="E1496" t="inlineStr">
        <is>
          <t>FALKENBERG</t>
        </is>
      </c>
      <c r="G1496" t="n">
        <v>2.5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23922-2021</t>
        </is>
      </c>
      <c r="B1497" s="1" t="n">
        <v>44335</v>
      </c>
      <c r="C1497" s="1" t="n">
        <v>45358</v>
      </c>
      <c r="D1497" t="inlineStr">
        <is>
          <t>HALLANDS LÄN</t>
        </is>
      </c>
      <c r="E1497" t="inlineStr">
        <is>
          <t>HYLTE</t>
        </is>
      </c>
      <c r="G1497" t="n">
        <v>1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23779-2021</t>
        </is>
      </c>
      <c r="B1498" s="1" t="n">
        <v>44335</v>
      </c>
      <c r="C1498" s="1" t="n">
        <v>45358</v>
      </c>
      <c r="D1498" t="inlineStr">
        <is>
          <t>HALLANDS LÄN</t>
        </is>
      </c>
      <c r="E1498" t="inlineStr">
        <is>
          <t>FALKENBERG</t>
        </is>
      </c>
      <c r="G1498" t="n">
        <v>1.9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23783-2021</t>
        </is>
      </c>
      <c r="B1499" s="1" t="n">
        <v>44335</v>
      </c>
      <c r="C1499" s="1" t="n">
        <v>45358</v>
      </c>
      <c r="D1499" t="inlineStr">
        <is>
          <t>HALLANDS LÄN</t>
        </is>
      </c>
      <c r="E1499" t="inlineStr">
        <is>
          <t>FALKENBERG</t>
        </is>
      </c>
      <c r="G1499" t="n">
        <v>1.2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23858-2021</t>
        </is>
      </c>
      <c r="B1500" s="1" t="n">
        <v>44335</v>
      </c>
      <c r="C1500" s="1" t="n">
        <v>45358</v>
      </c>
      <c r="D1500" t="inlineStr">
        <is>
          <t>HALLANDS LÄN</t>
        </is>
      </c>
      <c r="E1500" t="inlineStr">
        <is>
          <t>HYLTE</t>
        </is>
      </c>
      <c r="G1500" t="n">
        <v>1.3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24185-2021</t>
        </is>
      </c>
      <c r="B1501" s="1" t="n">
        <v>44336</v>
      </c>
      <c r="C1501" s="1" t="n">
        <v>45358</v>
      </c>
      <c r="D1501" t="inlineStr">
        <is>
          <t>HALLANDS LÄN</t>
        </is>
      </c>
      <c r="E1501" t="inlineStr">
        <is>
          <t>HYLTE</t>
        </is>
      </c>
      <c r="G1501" t="n">
        <v>1.1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24020-2021</t>
        </is>
      </c>
      <c r="B1502" s="1" t="n">
        <v>44336</v>
      </c>
      <c r="C1502" s="1" t="n">
        <v>45358</v>
      </c>
      <c r="D1502" t="inlineStr">
        <is>
          <t>HALLANDS LÄN</t>
        </is>
      </c>
      <c r="E1502" t="inlineStr">
        <is>
          <t>HYLTE</t>
        </is>
      </c>
      <c r="G1502" t="n">
        <v>0.6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24170-2021</t>
        </is>
      </c>
      <c r="B1503" s="1" t="n">
        <v>44336</v>
      </c>
      <c r="C1503" s="1" t="n">
        <v>45358</v>
      </c>
      <c r="D1503" t="inlineStr">
        <is>
          <t>HALLANDS LÄN</t>
        </is>
      </c>
      <c r="E1503" t="inlineStr">
        <is>
          <t>HYLTE</t>
        </is>
      </c>
      <c r="G1503" t="n">
        <v>2.5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24191-2021</t>
        </is>
      </c>
      <c r="B1504" s="1" t="n">
        <v>44336</v>
      </c>
      <c r="C1504" s="1" t="n">
        <v>45358</v>
      </c>
      <c r="D1504" t="inlineStr">
        <is>
          <t>HALLANDS LÄN</t>
        </is>
      </c>
      <c r="E1504" t="inlineStr">
        <is>
          <t>HYLTE</t>
        </is>
      </c>
      <c r="G1504" t="n">
        <v>1.2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24305-2021</t>
        </is>
      </c>
      <c r="B1505" s="1" t="n">
        <v>44337</v>
      </c>
      <c r="C1505" s="1" t="n">
        <v>45358</v>
      </c>
      <c r="D1505" t="inlineStr">
        <is>
          <t>HALLANDS LÄN</t>
        </is>
      </c>
      <c r="E1505" t="inlineStr">
        <is>
          <t>LAHOLM</t>
        </is>
      </c>
      <c r="G1505" t="n">
        <v>0.6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24292-2021</t>
        </is>
      </c>
      <c r="B1506" s="1" t="n">
        <v>44337</v>
      </c>
      <c r="C1506" s="1" t="n">
        <v>45358</v>
      </c>
      <c r="D1506" t="inlineStr">
        <is>
          <t>HALLANDS LÄN</t>
        </is>
      </c>
      <c r="E1506" t="inlineStr">
        <is>
          <t>LAHOLM</t>
        </is>
      </c>
      <c r="G1506" t="n">
        <v>0.8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24724-2021</t>
        </is>
      </c>
      <c r="B1507" s="1" t="n">
        <v>44340</v>
      </c>
      <c r="C1507" s="1" t="n">
        <v>45358</v>
      </c>
      <c r="D1507" t="inlineStr">
        <is>
          <t>HALLANDS LÄN</t>
        </is>
      </c>
      <c r="E1507" t="inlineStr">
        <is>
          <t>HYLTE</t>
        </is>
      </c>
      <c r="G1507" t="n">
        <v>1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24742-2021</t>
        </is>
      </c>
      <c r="B1508" s="1" t="n">
        <v>44340</v>
      </c>
      <c r="C1508" s="1" t="n">
        <v>45358</v>
      </c>
      <c r="D1508" t="inlineStr">
        <is>
          <t>HALLANDS LÄN</t>
        </is>
      </c>
      <c r="E1508" t="inlineStr">
        <is>
          <t>FALKENBERG</t>
        </is>
      </c>
      <c r="F1508" t="inlineStr">
        <is>
          <t>Kommuner</t>
        </is>
      </c>
      <c r="G1508" t="n">
        <v>0.8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24624-2021</t>
        </is>
      </c>
      <c r="B1509" s="1" t="n">
        <v>44340</v>
      </c>
      <c r="C1509" s="1" t="n">
        <v>45358</v>
      </c>
      <c r="D1509" t="inlineStr">
        <is>
          <t>HALLANDS LÄN</t>
        </is>
      </c>
      <c r="E1509" t="inlineStr">
        <is>
          <t>FALKENBERG</t>
        </is>
      </c>
      <c r="G1509" t="n">
        <v>2.5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24826-2021</t>
        </is>
      </c>
      <c r="B1510" s="1" t="n">
        <v>44340</v>
      </c>
      <c r="C1510" s="1" t="n">
        <v>45358</v>
      </c>
      <c r="D1510" t="inlineStr">
        <is>
          <t>HALLANDS LÄN</t>
        </is>
      </c>
      <c r="E1510" t="inlineStr">
        <is>
          <t>VARBERG</t>
        </is>
      </c>
      <c r="G1510" t="n">
        <v>2.1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24954-2021</t>
        </is>
      </c>
      <c r="B1511" s="1" t="n">
        <v>44341</v>
      </c>
      <c r="C1511" s="1" t="n">
        <v>45358</v>
      </c>
      <c r="D1511" t="inlineStr">
        <is>
          <t>HALLANDS LÄN</t>
        </is>
      </c>
      <c r="E1511" t="inlineStr">
        <is>
          <t>VARBERG</t>
        </is>
      </c>
      <c r="G1511" t="n">
        <v>1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24969-2021</t>
        </is>
      </c>
      <c r="B1512" s="1" t="n">
        <v>44341</v>
      </c>
      <c r="C1512" s="1" t="n">
        <v>45358</v>
      </c>
      <c r="D1512" t="inlineStr">
        <is>
          <t>HALLANDS LÄN</t>
        </is>
      </c>
      <c r="E1512" t="inlineStr">
        <is>
          <t>HYLTE</t>
        </is>
      </c>
      <c r="G1512" t="n">
        <v>1.8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25289-2021</t>
        </is>
      </c>
      <c r="B1513" s="1" t="n">
        <v>44342</v>
      </c>
      <c r="C1513" s="1" t="n">
        <v>45358</v>
      </c>
      <c r="D1513" t="inlineStr">
        <is>
          <t>HALLANDS LÄN</t>
        </is>
      </c>
      <c r="E1513" t="inlineStr">
        <is>
          <t>LAHOLM</t>
        </is>
      </c>
      <c r="G1513" t="n">
        <v>1.7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25406-2021</t>
        </is>
      </c>
      <c r="B1514" s="1" t="n">
        <v>44342</v>
      </c>
      <c r="C1514" s="1" t="n">
        <v>45358</v>
      </c>
      <c r="D1514" t="inlineStr">
        <is>
          <t>HALLANDS LÄN</t>
        </is>
      </c>
      <c r="E1514" t="inlineStr">
        <is>
          <t>LAHOLM</t>
        </is>
      </c>
      <c r="G1514" t="n">
        <v>1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25546-2021</t>
        </is>
      </c>
      <c r="B1515" s="1" t="n">
        <v>44343</v>
      </c>
      <c r="C1515" s="1" t="n">
        <v>45358</v>
      </c>
      <c r="D1515" t="inlineStr">
        <is>
          <t>HALLANDS LÄN</t>
        </is>
      </c>
      <c r="E1515" t="inlineStr">
        <is>
          <t>FALKENBERG</t>
        </is>
      </c>
      <c r="G1515" t="n">
        <v>10.1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25564-2021</t>
        </is>
      </c>
      <c r="B1516" s="1" t="n">
        <v>44343</v>
      </c>
      <c r="C1516" s="1" t="n">
        <v>45358</v>
      </c>
      <c r="D1516" t="inlineStr">
        <is>
          <t>HALLANDS LÄN</t>
        </is>
      </c>
      <c r="E1516" t="inlineStr">
        <is>
          <t>LAHOLM</t>
        </is>
      </c>
      <c r="G1516" t="n">
        <v>2.8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25601-2021</t>
        </is>
      </c>
      <c r="B1517" s="1" t="n">
        <v>44343</v>
      </c>
      <c r="C1517" s="1" t="n">
        <v>45358</v>
      </c>
      <c r="D1517" t="inlineStr">
        <is>
          <t>HALLANDS LÄN</t>
        </is>
      </c>
      <c r="E1517" t="inlineStr">
        <is>
          <t>LAHOLM</t>
        </is>
      </c>
      <c r="G1517" t="n">
        <v>0.6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25886-2021</t>
        </is>
      </c>
      <c r="B1518" s="1" t="n">
        <v>44344</v>
      </c>
      <c r="C1518" s="1" t="n">
        <v>45358</v>
      </c>
      <c r="D1518" t="inlineStr">
        <is>
          <t>HALLANDS LÄN</t>
        </is>
      </c>
      <c r="E1518" t="inlineStr">
        <is>
          <t>VARBERG</t>
        </is>
      </c>
      <c r="G1518" t="n">
        <v>2.9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26002-2021</t>
        </is>
      </c>
      <c r="B1519" s="1" t="n">
        <v>44344</v>
      </c>
      <c r="C1519" s="1" t="n">
        <v>45358</v>
      </c>
      <c r="D1519" t="inlineStr">
        <is>
          <t>HALLANDS LÄN</t>
        </is>
      </c>
      <c r="E1519" t="inlineStr">
        <is>
          <t>HALMSTAD</t>
        </is>
      </c>
      <c r="G1519" t="n">
        <v>6.7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26006-2021</t>
        </is>
      </c>
      <c r="B1520" s="1" t="n">
        <v>44344</v>
      </c>
      <c r="C1520" s="1" t="n">
        <v>45358</v>
      </c>
      <c r="D1520" t="inlineStr">
        <is>
          <t>HALLANDS LÄN</t>
        </is>
      </c>
      <c r="E1520" t="inlineStr">
        <is>
          <t>HALMSTAD</t>
        </is>
      </c>
      <c r="G1520" t="n">
        <v>0.7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26114-2021</t>
        </is>
      </c>
      <c r="B1521" s="1" t="n">
        <v>44345</v>
      </c>
      <c r="C1521" s="1" t="n">
        <v>45358</v>
      </c>
      <c r="D1521" t="inlineStr">
        <is>
          <t>HALLANDS LÄN</t>
        </is>
      </c>
      <c r="E1521" t="inlineStr">
        <is>
          <t>VARBERG</t>
        </is>
      </c>
      <c r="G1521" t="n">
        <v>2.6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26140-2021</t>
        </is>
      </c>
      <c r="B1522" s="1" t="n">
        <v>44346</v>
      </c>
      <c r="C1522" s="1" t="n">
        <v>45358</v>
      </c>
      <c r="D1522" t="inlineStr">
        <is>
          <t>HALLANDS LÄN</t>
        </is>
      </c>
      <c r="E1522" t="inlineStr">
        <is>
          <t>VARBERG</t>
        </is>
      </c>
      <c r="G1522" t="n">
        <v>4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26273-2021</t>
        </is>
      </c>
      <c r="B1523" s="1" t="n">
        <v>44347</v>
      </c>
      <c r="C1523" s="1" t="n">
        <v>45358</v>
      </c>
      <c r="D1523" t="inlineStr">
        <is>
          <t>HALLANDS LÄN</t>
        </is>
      </c>
      <c r="E1523" t="inlineStr">
        <is>
          <t>HYLTE</t>
        </is>
      </c>
      <c r="G1523" t="n">
        <v>4.2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26166-2021</t>
        </is>
      </c>
      <c r="B1524" s="1" t="n">
        <v>44347</v>
      </c>
      <c r="C1524" s="1" t="n">
        <v>45358</v>
      </c>
      <c r="D1524" t="inlineStr">
        <is>
          <t>HALLANDS LÄN</t>
        </is>
      </c>
      <c r="E1524" t="inlineStr">
        <is>
          <t>VARBERG</t>
        </is>
      </c>
      <c r="G1524" t="n">
        <v>2.7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26275-2021</t>
        </is>
      </c>
      <c r="B1525" s="1" t="n">
        <v>44347</v>
      </c>
      <c r="C1525" s="1" t="n">
        <v>45358</v>
      </c>
      <c r="D1525" t="inlineStr">
        <is>
          <t>HALLANDS LÄN</t>
        </is>
      </c>
      <c r="E1525" t="inlineStr">
        <is>
          <t>HYLTE</t>
        </is>
      </c>
      <c r="G1525" t="n">
        <v>2.7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26446-2021</t>
        </is>
      </c>
      <c r="B1526" s="1" t="n">
        <v>44348</v>
      </c>
      <c r="C1526" s="1" t="n">
        <v>45358</v>
      </c>
      <c r="D1526" t="inlineStr">
        <is>
          <t>HALLANDS LÄN</t>
        </is>
      </c>
      <c r="E1526" t="inlineStr">
        <is>
          <t>LAHOLM</t>
        </is>
      </c>
      <c r="G1526" t="n">
        <v>0.4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26825-2021</t>
        </is>
      </c>
      <c r="B1527" s="1" t="n">
        <v>44349</v>
      </c>
      <c r="C1527" s="1" t="n">
        <v>45358</v>
      </c>
      <c r="D1527" t="inlineStr">
        <is>
          <t>HALLANDS LÄN</t>
        </is>
      </c>
      <c r="E1527" t="inlineStr">
        <is>
          <t>LAHOLM</t>
        </is>
      </c>
      <c r="G1527" t="n">
        <v>0.7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26684-2021</t>
        </is>
      </c>
      <c r="B1528" s="1" t="n">
        <v>44349</v>
      </c>
      <c r="C1528" s="1" t="n">
        <v>45358</v>
      </c>
      <c r="D1528" t="inlineStr">
        <is>
          <t>HALLANDS LÄN</t>
        </is>
      </c>
      <c r="E1528" t="inlineStr">
        <is>
          <t>VARBERG</t>
        </is>
      </c>
      <c r="G1528" t="n">
        <v>1.8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27285-2021</t>
        </is>
      </c>
      <c r="B1529" s="1" t="n">
        <v>44351</v>
      </c>
      <c r="C1529" s="1" t="n">
        <v>45358</v>
      </c>
      <c r="D1529" t="inlineStr">
        <is>
          <t>HALLANDS LÄN</t>
        </is>
      </c>
      <c r="E1529" t="inlineStr">
        <is>
          <t>VARBERG</t>
        </is>
      </c>
      <c r="G1529" t="n">
        <v>1.1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27471-2021</t>
        </is>
      </c>
      <c r="B1530" s="1" t="n">
        <v>44351</v>
      </c>
      <c r="C1530" s="1" t="n">
        <v>45358</v>
      </c>
      <c r="D1530" t="inlineStr">
        <is>
          <t>HALLANDS LÄN</t>
        </is>
      </c>
      <c r="E1530" t="inlineStr">
        <is>
          <t>FALKENBERG</t>
        </is>
      </c>
      <c r="G1530" t="n">
        <v>2.5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27442-2021</t>
        </is>
      </c>
      <c r="B1531" s="1" t="n">
        <v>44351</v>
      </c>
      <c r="C1531" s="1" t="n">
        <v>45358</v>
      </c>
      <c r="D1531" t="inlineStr">
        <is>
          <t>HALLANDS LÄN</t>
        </is>
      </c>
      <c r="E1531" t="inlineStr">
        <is>
          <t>FALKENBERG</t>
        </is>
      </c>
      <c r="G1531" t="n">
        <v>3.3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27625-2021</t>
        </is>
      </c>
      <c r="B1532" s="1" t="n">
        <v>44354</v>
      </c>
      <c r="C1532" s="1" t="n">
        <v>45358</v>
      </c>
      <c r="D1532" t="inlineStr">
        <is>
          <t>HALLANDS LÄN</t>
        </is>
      </c>
      <c r="E1532" t="inlineStr">
        <is>
          <t>HALMSTAD</t>
        </is>
      </c>
      <c r="G1532" t="n">
        <v>2.4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27669-2021</t>
        </is>
      </c>
      <c r="B1533" s="1" t="n">
        <v>44354</v>
      </c>
      <c r="C1533" s="1" t="n">
        <v>45358</v>
      </c>
      <c r="D1533" t="inlineStr">
        <is>
          <t>HALLANDS LÄN</t>
        </is>
      </c>
      <c r="E1533" t="inlineStr">
        <is>
          <t>HALMSTAD</t>
        </is>
      </c>
      <c r="G1533" t="n">
        <v>3.9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27607-2021</t>
        </is>
      </c>
      <c r="B1534" s="1" t="n">
        <v>44354</v>
      </c>
      <c r="C1534" s="1" t="n">
        <v>45358</v>
      </c>
      <c r="D1534" t="inlineStr">
        <is>
          <t>HALLANDS LÄN</t>
        </is>
      </c>
      <c r="E1534" t="inlineStr">
        <is>
          <t>VARBERG</t>
        </is>
      </c>
      <c r="G1534" t="n">
        <v>0.4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27710-2021</t>
        </is>
      </c>
      <c r="B1535" s="1" t="n">
        <v>44354</v>
      </c>
      <c r="C1535" s="1" t="n">
        <v>45358</v>
      </c>
      <c r="D1535" t="inlineStr">
        <is>
          <t>HALLANDS LÄN</t>
        </is>
      </c>
      <c r="E1535" t="inlineStr">
        <is>
          <t>FALKENBERG</t>
        </is>
      </c>
      <c r="G1535" t="n">
        <v>0.7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28118-2021</t>
        </is>
      </c>
      <c r="B1536" s="1" t="n">
        <v>44355</v>
      </c>
      <c r="C1536" s="1" t="n">
        <v>45358</v>
      </c>
      <c r="D1536" t="inlineStr">
        <is>
          <t>HALLANDS LÄN</t>
        </is>
      </c>
      <c r="E1536" t="inlineStr">
        <is>
          <t>KUNGSBACKA</t>
        </is>
      </c>
      <c r="G1536" t="n">
        <v>12.2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28495-2021</t>
        </is>
      </c>
      <c r="B1537" s="1" t="n">
        <v>44356</v>
      </c>
      <c r="C1537" s="1" t="n">
        <v>45358</v>
      </c>
      <c r="D1537" t="inlineStr">
        <is>
          <t>HALLANDS LÄN</t>
        </is>
      </c>
      <c r="E1537" t="inlineStr">
        <is>
          <t>HYLTE</t>
        </is>
      </c>
      <c r="G1537" t="n">
        <v>1.4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28506-2021</t>
        </is>
      </c>
      <c r="B1538" s="1" t="n">
        <v>44356</v>
      </c>
      <c r="C1538" s="1" t="n">
        <v>45358</v>
      </c>
      <c r="D1538" t="inlineStr">
        <is>
          <t>HALLANDS LÄN</t>
        </is>
      </c>
      <c r="E1538" t="inlineStr">
        <is>
          <t>HYLTE</t>
        </is>
      </c>
      <c r="G1538" t="n">
        <v>1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28498-2021</t>
        </is>
      </c>
      <c r="B1539" s="1" t="n">
        <v>44356</v>
      </c>
      <c r="C1539" s="1" t="n">
        <v>45358</v>
      </c>
      <c r="D1539" t="inlineStr">
        <is>
          <t>HALLANDS LÄN</t>
        </is>
      </c>
      <c r="E1539" t="inlineStr">
        <is>
          <t>HYLTE</t>
        </is>
      </c>
      <c r="G1539" t="n">
        <v>7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28513-2021</t>
        </is>
      </c>
      <c r="B1540" s="1" t="n">
        <v>44356</v>
      </c>
      <c r="C1540" s="1" t="n">
        <v>45358</v>
      </c>
      <c r="D1540" t="inlineStr">
        <is>
          <t>HALLANDS LÄN</t>
        </is>
      </c>
      <c r="E1540" t="inlineStr">
        <is>
          <t>HYLTE</t>
        </is>
      </c>
      <c r="G1540" t="n">
        <v>0.8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28508-2021</t>
        </is>
      </c>
      <c r="B1541" s="1" t="n">
        <v>44356</v>
      </c>
      <c r="C1541" s="1" t="n">
        <v>45358</v>
      </c>
      <c r="D1541" t="inlineStr">
        <is>
          <t>HALLANDS LÄN</t>
        </is>
      </c>
      <c r="E1541" t="inlineStr">
        <is>
          <t>HYLTE</t>
        </is>
      </c>
      <c r="G1541" t="n">
        <v>0.4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28507-2021</t>
        </is>
      </c>
      <c r="B1542" s="1" t="n">
        <v>44356</v>
      </c>
      <c r="C1542" s="1" t="n">
        <v>45358</v>
      </c>
      <c r="D1542" t="inlineStr">
        <is>
          <t>HALLANDS LÄN</t>
        </is>
      </c>
      <c r="E1542" t="inlineStr">
        <is>
          <t>HYLTE</t>
        </is>
      </c>
      <c r="G1542" t="n">
        <v>0.5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28687-2021</t>
        </is>
      </c>
      <c r="B1543" s="1" t="n">
        <v>44357</v>
      </c>
      <c r="C1543" s="1" t="n">
        <v>45358</v>
      </c>
      <c r="D1543" t="inlineStr">
        <is>
          <t>HALLANDS LÄN</t>
        </is>
      </c>
      <c r="E1543" t="inlineStr">
        <is>
          <t>HYLTE</t>
        </is>
      </c>
      <c r="G1543" t="n">
        <v>2.5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28920-2021</t>
        </is>
      </c>
      <c r="B1544" s="1" t="n">
        <v>44357</v>
      </c>
      <c r="C1544" s="1" t="n">
        <v>45358</v>
      </c>
      <c r="D1544" t="inlineStr">
        <is>
          <t>HALLANDS LÄN</t>
        </is>
      </c>
      <c r="E1544" t="inlineStr">
        <is>
          <t>FALKENBERG</t>
        </is>
      </c>
      <c r="F1544" t="inlineStr">
        <is>
          <t>Kyrkan</t>
        </is>
      </c>
      <c r="G1544" t="n">
        <v>0.7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28925-2021</t>
        </is>
      </c>
      <c r="B1545" s="1" t="n">
        <v>44357</v>
      </c>
      <c r="C1545" s="1" t="n">
        <v>45358</v>
      </c>
      <c r="D1545" t="inlineStr">
        <is>
          <t>HALLANDS LÄN</t>
        </is>
      </c>
      <c r="E1545" t="inlineStr">
        <is>
          <t>HYLTE</t>
        </is>
      </c>
      <c r="F1545" t="inlineStr">
        <is>
          <t>Kyrkan</t>
        </is>
      </c>
      <c r="G1545" t="n">
        <v>0.7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28974-2021</t>
        </is>
      </c>
      <c r="B1546" s="1" t="n">
        <v>44358</v>
      </c>
      <c r="C1546" s="1" t="n">
        <v>45358</v>
      </c>
      <c r="D1546" t="inlineStr">
        <is>
          <t>HALLANDS LÄN</t>
        </is>
      </c>
      <c r="E1546" t="inlineStr">
        <is>
          <t>VARBERG</t>
        </is>
      </c>
      <c r="G1546" t="n">
        <v>0.7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29429-2021</t>
        </is>
      </c>
      <c r="B1547" s="1" t="n">
        <v>44361</v>
      </c>
      <c r="C1547" s="1" t="n">
        <v>45358</v>
      </c>
      <c r="D1547" t="inlineStr">
        <is>
          <t>HALLANDS LÄN</t>
        </is>
      </c>
      <c r="E1547" t="inlineStr">
        <is>
          <t>VARBERG</t>
        </is>
      </c>
      <c r="G1547" t="n">
        <v>4.1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29786-2021</t>
        </is>
      </c>
      <c r="B1548" s="1" t="n">
        <v>44361</v>
      </c>
      <c r="C1548" s="1" t="n">
        <v>45358</v>
      </c>
      <c r="D1548" t="inlineStr">
        <is>
          <t>HALLANDS LÄN</t>
        </is>
      </c>
      <c r="E1548" t="inlineStr">
        <is>
          <t>VARBERG</t>
        </is>
      </c>
      <c r="F1548" t="inlineStr">
        <is>
          <t>Kyrkan</t>
        </is>
      </c>
      <c r="G1548" t="n">
        <v>8.699999999999999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29990-2021</t>
        </is>
      </c>
      <c r="B1549" s="1" t="n">
        <v>44363</v>
      </c>
      <c r="C1549" s="1" t="n">
        <v>45358</v>
      </c>
      <c r="D1549" t="inlineStr">
        <is>
          <t>HALLANDS LÄN</t>
        </is>
      </c>
      <c r="E1549" t="inlineStr">
        <is>
          <t>HYLTE</t>
        </is>
      </c>
      <c r="G1549" t="n">
        <v>0.6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29976-2021</t>
        </is>
      </c>
      <c r="B1550" s="1" t="n">
        <v>44363</v>
      </c>
      <c r="C1550" s="1" t="n">
        <v>45358</v>
      </c>
      <c r="D1550" t="inlineStr">
        <is>
          <t>HALLANDS LÄN</t>
        </is>
      </c>
      <c r="E1550" t="inlineStr">
        <is>
          <t>VARBERG</t>
        </is>
      </c>
      <c r="G1550" t="n">
        <v>0.6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30013-2021</t>
        </is>
      </c>
      <c r="B1551" s="1" t="n">
        <v>44363</v>
      </c>
      <c r="C1551" s="1" t="n">
        <v>45358</v>
      </c>
      <c r="D1551" t="inlineStr">
        <is>
          <t>HALLANDS LÄN</t>
        </is>
      </c>
      <c r="E1551" t="inlineStr">
        <is>
          <t>HYLTE</t>
        </is>
      </c>
      <c r="G1551" t="n">
        <v>4.7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30473-2021</t>
        </is>
      </c>
      <c r="B1552" s="1" t="n">
        <v>44364</v>
      </c>
      <c r="C1552" s="1" t="n">
        <v>45358</v>
      </c>
      <c r="D1552" t="inlineStr">
        <is>
          <t>HALLANDS LÄN</t>
        </is>
      </c>
      <c r="E1552" t="inlineStr">
        <is>
          <t>KUNGSBACKA</t>
        </is>
      </c>
      <c r="G1552" t="n">
        <v>2.7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30610-2021</t>
        </is>
      </c>
      <c r="B1553" s="1" t="n">
        <v>44365</v>
      </c>
      <c r="C1553" s="1" t="n">
        <v>45358</v>
      </c>
      <c r="D1553" t="inlineStr">
        <is>
          <t>HALLANDS LÄN</t>
        </is>
      </c>
      <c r="E1553" t="inlineStr">
        <is>
          <t>HALMSTAD</t>
        </is>
      </c>
      <c r="G1553" t="n">
        <v>0.4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30821-2021</t>
        </is>
      </c>
      <c r="B1554" s="1" t="n">
        <v>44365</v>
      </c>
      <c r="C1554" s="1" t="n">
        <v>45358</v>
      </c>
      <c r="D1554" t="inlineStr">
        <is>
          <t>HALLANDS LÄN</t>
        </is>
      </c>
      <c r="E1554" t="inlineStr">
        <is>
          <t>HYLTE</t>
        </is>
      </c>
      <c r="G1554" t="n">
        <v>3.5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30928-2021</t>
        </is>
      </c>
      <c r="B1555" s="1" t="n">
        <v>44365</v>
      </c>
      <c r="C1555" s="1" t="n">
        <v>45358</v>
      </c>
      <c r="D1555" t="inlineStr">
        <is>
          <t>HALLANDS LÄN</t>
        </is>
      </c>
      <c r="E1555" t="inlineStr">
        <is>
          <t>VARBERG</t>
        </is>
      </c>
      <c r="G1555" t="n">
        <v>3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30926-2021</t>
        </is>
      </c>
      <c r="B1556" s="1" t="n">
        <v>44365</v>
      </c>
      <c r="C1556" s="1" t="n">
        <v>45358</v>
      </c>
      <c r="D1556" t="inlineStr">
        <is>
          <t>HALLANDS LÄN</t>
        </is>
      </c>
      <c r="E1556" t="inlineStr">
        <is>
          <t>VARBERG</t>
        </is>
      </c>
      <c r="G1556" t="n">
        <v>1.4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31087-2021</t>
        </is>
      </c>
      <c r="B1557" s="1" t="n">
        <v>44368</v>
      </c>
      <c r="C1557" s="1" t="n">
        <v>45358</v>
      </c>
      <c r="D1557" t="inlineStr">
        <is>
          <t>HALLANDS LÄN</t>
        </is>
      </c>
      <c r="E1557" t="inlineStr">
        <is>
          <t>VARBERG</t>
        </is>
      </c>
      <c r="G1557" t="n">
        <v>1.9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31246-2021</t>
        </is>
      </c>
      <c r="B1558" s="1" t="n">
        <v>44368</v>
      </c>
      <c r="C1558" s="1" t="n">
        <v>45358</v>
      </c>
      <c r="D1558" t="inlineStr">
        <is>
          <t>HALLANDS LÄN</t>
        </is>
      </c>
      <c r="E1558" t="inlineStr">
        <is>
          <t>KUNGSBACKA</t>
        </is>
      </c>
      <c r="G1558" t="n">
        <v>2.8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31381-2021</t>
        </is>
      </c>
      <c r="B1559" s="1" t="n">
        <v>44369</v>
      </c>
      <c r="C1559" s="1" t="n">
        <v>45358</v>
      </c>
      <c r="D1559" t="inlineStr">
        <is>
          <t>HALLANDS LÄN</t>
        </is>
      </c>
      <c r="E1559" t="inlineStr">
        <is>
          <t>HALMSTAD</t>
        </is>
      </c>
      <c r="G1559" t="n">
        <v>1.2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31919-2021</t>
        </is>
      </c>
      <c r="B1560" s="1" t="n">
        <v>44370</v>
      </c>
      <c r="C1560" s="1" t="n">
        <v>45358</v>
      </c>
      <c r="D1560" t="inlineStr">
        <is>
          <t>HALLANDS LÄN</t>
        </is>
      </c>
      <c r="E1560" t="inlineStr">
        <is>
          <t>VARBERG</t>
        </is>
      </c>
      <c r="G1560" t="n">
        <v>14.8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32069-2021</t>
        </is>
      </c>
      <c r="B1561" s="1" t="n">
        <v>44370</v>
      </c>
      <c r="C1561" s="1" t="n">
        <v>45358</v>
      </c>
      <c r="D1561" t="inlineStr">
        <is>
          <t>HALLANDS LÄN</t>
        </is>
      </c>
      <c r="E1561" t="inlineStr">
        <is>
          <t>HALMSTAD</t>
        </is>
      </c>
      <c r="G1561" t="n">
        <v>0.8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32235-2021</t>
        </is>
      </c>
      <c r="B1562" s="1" t="n">
        <v>44371</v>
      </c>
      <c r="C1562" s="1" t="n">
        <v>45358</v>
      </c>
      <c r="D1562" t="inlineStr">
        <is>
          <t>HALLANDS LÄN</t>
        </is>
      </c>
      <c r="E1562" t="inlineStr">
        <is>
          <t>VARBERG</t>
        </is>
      </c>
      <c r="G1562" t="n">
        <v>13.7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32300-2021</t>
        </is>
      </c>
      <c r="B1563" s="1" t="n">
        <v>44371</v>
      </c>
      <c r="C1563" s="1" t="n">
        <v>45358</v>
      </c>
      <c r="D1563" t="inlineStr">
        <is>
          <t>HALLANDS LÄN</t>
        </is>
      </c>
      <c r="E1563" t="inlineStr">
        <is>
          <t>HYLTE</t>
        </is>
      </c>
      <c r="G1563" t="n">
        <v>2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32304-2021</t>
        </is>
      </c>
      <c r="B1564" s="1" t="n">
        <v>44371</v>
      </c>
      <c r="C1564" s="1" t="n">
        <v>45358</v>
      </c>
      <c r="D1564" t="inlineStr">
        <is>
          <t>HALLANDS LÄN</t>
        </is>
      </c>
      <c r="E1564" t="inlineStr">
        <is>
          <t>HYLTE</t>
        </is>
      </c>
      <c r="G1564" t="n">
        <v>4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32352-2021</t>
        </is>
      </c>
      <c r="B1565" s="1" t="n">
        <v>44371</v>
      </c>
      <c r="C1565" s="1" t="n">
        <v>45358</v>
      </c>
      <c r="D1565" t="inlineStr">
        <is>
          <t>HALLANDS LÄN</t>
        </is>
      </c>
      <c r="E1565" t="inlineStr">
        <is>
          <t>VARBERG</t>
        </is>
      </c>
      <c r="G1565" t="n">
        <v>0.5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32367-2021</t>
        </is>
      </c>
      <c r="B1566" s="1" t="n">
        <v>44371</v>
      </c>
      <c r="C1566" s="1" t="n">
        <v>45358</v>
      </c>
      <c r="D1566" t="inlineStr">
        <is>
          <t>HALLANDS LÄN</t>
        </is>
      </c>
      <c r="E1566" t="inlineStr">
        <is>
          <t>HYLTE</t>
        </is>
      </c>
      <c r="G1566" t="n">
        <v>3.4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32501-2021</t>
        </is>
      </c>
      <c r="B1567" s="1" t="n">
        <v>44373</v>
      </c>
      <c r="C1567" s="1" t="n">
        <v>45358</v>
      </c>
      <c r="D1567" t="inlineStr">
        <is>
          <t>HALLANDS LÄN</t>
        </is>
      </c>
      <c r="E1567" t="inlineStr">
        <is>
          <t>HYLTE</t>
        </is>
      </c>
      <c r="G1567" t="n">
        <v>2.1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32499-2021</t>
        </is>
      </c>
      <c r="B1568" s="1" t="n">
        <v>44373</v>
      </c>
      <c r="C1568" s="1" t="n">
        <v>45358</v>
      </c>
      <c r="D1568" t="inlineStr">
        <is>
          <t>HALLANDS LÄN</t>
        </is>
      </c>
      <c r="E1568" t="inlineStr">
        <is>
          <t>HALMSTAD</t>
        </is>
      </c>
      <c r="G1568" t="n">
        <v>1.4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32550-2021</t>
        </is>
      </c>
      <c r="B1569" s="1" t="n">
        <v>44375</v>
      </c>
      <c r="C1569" s="1" t="n">
        <v>45358</v>
      </c>
      <c r="D1569" t="inlineStr">
        <is>
          <t>HALLANDS LÄN</t>
        </is>
      </c>
      <c r="E1569" t="inlineStr">
        <is>
          <t>HALMSTAD</t>
        </is>
      </c>
      <c r="G1569" t="n">
        <v>1.8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32852-2021</t>
        </is>
      </c>
      <c r="B1570" s="1" t="n">
        <v>44375</v>
      </c>
      <c r="C1570" s="1" t="n">
        <v>45358</v>
      </c>
      <c r="D1570" t="inlineStr">
        <is>
          <t>HALLANDS LÄN</t>
        </is>
      </c>
      <c r="E1570" t="inlineStr">
        <is>
          <t>HYLTE</t>
        </is>
      </c>
      <c r="G1570" t="n">
        <v>0.5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32930-2021</t>
        </is>
      </c>
      <c r="B1571" s="1" t="n">
        <v>44376</v>
      </c>
      <c r="C1571" s="1" t="n">
        <v>45358</v>
      </c>
      <c r="D1571" t="inlineStr">
        <is>
          <t>HALLANDS LÄN</t>
        </is>
      </c>
      <c r="E1571" t="inlineStr">
        <is>
          <t>VARBERG</t>
        </is>
      </c>
      <c r="G1571" t="n">
        <v>0.6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32931-2021</t>
        </is>
      </c>
      <c r="B1572" s="1" t="n">
        <v>44375</v>
      </c>
      <c r="C1572" s="1" t="n">
        <v>45358</v>
      </c>
      <c r="D1572" t="inlineStr">
        <is>
          <t>HALLANDS LÄN</t>
        </is>
      </c>
      <c r="E1572" t="inlineStr">
        <is>
          <t>HYLTE</t>
        </is>
      </c>
      <c r="G1572" t="n">
        <v>7.1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33029-2021</t>
        </is>
      </c>
      <c r="B1573" s="1" t="n">
        <v>44376</v>
      </c>
      <c r="C1573" s="1" t="n">
        <v>45358</v>
      </c>
      <c r="D1573" t="inlineStr">
        <is>
          <t>HALLANDS LÄN</t>
        </is>
      </c>
      <c r="E1573" t="inlineStr">
        <is>
          <t>VARBERG</t>
        </is>
      </c>
      <c r="F1573" t="inlineStr">
        <is>
          <t>Kyrkan</t>
        </is>
      </c>
      <c r="G1573" t="n">
        <v>3.6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33098-2021</t>
        </is>
      </c>
      <c r="B1574" s="1" t="n">
        <v>44376</v>
      </c>
      <c r="C1574" s="1" t="n">
        <v>45358</v>
      </c>
      <c r="D1574" t="inlineStr">
        <is>
          <t>HALLANDS LÄN</t>
        </is>
      </c>
      <c r="E1574" t="inlineStr">
        <is>
          <t>VARBERG</t>
        </is>
      </c>
      <c r="G1574" t="n">
        <v>2.5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33099-2021</t>
        </is>
      </c>
      <c r="B1575" s="1" t="n">
        <v>44376</v>
      </c>
      <c r="C1575" s="1" t="n">
        <v>45358</v>
      </c>
      <c r="D1575" t="inlineStr">
        <is>
          <t>HALLANDS LÄN</t>
        </is>
      </c>
      <c r="E1575" t="inlineStr">
        <is>
          <t>VARBERG</t>
        </is>
      </c>
      <c r="G1575" t="n">
        <v>0.7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33106-2021</t>
        </is>
      </c>
      <c r="B1576" s="1" t="n">
        <v>44376</v>
      </c>
      <c r="C1576" s="1" t="n">
        <v>45358</v>
      </c>
      <c r="D1576" t="inlineStr">
        <is>
          <t>HALLANDS LÄN</t>
        </is>
      </c>
      <c r="E1576" t="inlineStr">
        <is>
          <t>VARBERG</t>
        </is>
      </c>
      <c r="F1576" t="inlineStr">
        <is>
          <t>Kyrkan</t>
        </is>
      </c>
      <c r="G1576" t="n">
        <v>6.3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33011-2021</t>
        </is>
      </c>
      <c r="B1577" s="1" t="n">
        <v>44376</v>
      </c>
      <c r="C1577" s="1" t="n">
        <v>45358</v>
      </c>
      <c r="D1577" t="inlineStr">
        <is>
          <t>HALLANDS LÄN</t>
        </is>
      </c>
      <c r="E1577" t="inlineStr">
        <is>
          <t>HYLTE</t>
        </is>
      </c>
      <c r="G1577" t="n">
        <v>10.4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33335-2021</t>
        </is>
      </c>
      <c r="B1578" s="1" t="n">
        <v>44377</v>
      </c>
      <c r="C1578" s="1" t="n">
        <v>45358</v>
      </c>
      <c r="D1578" t="inlineStr">
        <is>
          <t>HALLANDS LÄN</t>
        </is>
      </c>
      <c r="E1578" t="inlineStr">
        <is>
          <t>FALKENBERG</t>
        </is>
      </c>
      <c r="G1578" t="n">
        <v>1.5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33535-2021</t>
        </is>
      </c>
      <c r="B1579" s="1" t="n">
        <v>44377</v>
      </c>
      <c r="C1579" s="1" t="n">
        <v>45358</v>
      </c>
      <c r="D1579" t="inlineStr">
        <is>
          <t>HALLANDS LÄN</t>
        </is>
      </c>
      <c r="E1579" t="inlineStr">
        <is>
          <t>KUNGSBACKA</t>
        </is>
      </c>
      <c r="G1579" t="n">
        <v>0.6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33482-2021</t>
        </is>
      </c>
      <c r="B1580" s="1" t="n">
        <v>44377</v>
      </c>
      <c r="C1580" s="1" t="n">
        <v>45358</v>
      </c>
      <c r="D1580" t="inlineStr">
        <is>
          <t>HALLANDS LÄN</t>
        </is>
      </c>
      <c r="E1580" t="inlineStr">
        <is>
          <t>VARBERG</t>
        </is>
      </c>
      <c r="G1580" t="n">
        <v>9.800000000000001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33715-2021</t>
        </is>
      </c>
      <c r="B1581" s="1" t="n">
        <v>44378</v>
      </c>
      <c r="C1581" s="1" t="n">
        <v>45358</v>
      </c>
      <c r="D1581" t="inlineStr">
        <is>
          <t>HALLANDS LÄN</t>
        </is>
      </c>
      <c r="E1581" t="inlineStr">
        <is>
          <t>KUNGSBACKA</t>
        </is>
      </c>
      <c r="G1581" t="n">
        <v>1.6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33952-2021</t>
        </is>
      </c>
      <c r="B1582" s="1" t="n">
        <v>44378</v>
      </c>
      <c r="C1582" s="1" t="n">
        <v>45358</v>
      </c>
      <c r="D1582" t="inlineStr">
        <is>
          <t>HALLANDS LÄN</t>
        </is>
      </c>
      <c r="E1582" t="inlineStr">
        <is>
          <t>HYLTE</t>
        </is>
      </c>
      <c r="G1582" t="n">
        <v>8.6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34008-2021</t>
        </is>
      </c>
      <c r="B1583" s="1" t="n">
        <v>44379</v>
      </c>
      <c r="C1583" s="1" t="n">
        <v>45358</v>
      </c>
      <c r="D1583" t="inlineStr">
        <is>
          <t>HALLANDS LÄN</t>
        </is>
      </c>
      <c r="E1583" t="inlineStr">
        <is>
          <t>FALKENBERG</t>
        </is>
      </c>
      <c r="G1583" t="n">
        <v>2.1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34010-2021</t>
        </is>
      </c>
      <c r="B1584" s="1" t="n">
        <v>44379</v>
      </c>
      <c r="C1584" s="1" t="n">
        <v>45358</v>
      </c>
      <c r="D1584" t="inlineStr">
        <is>
          <t>HALLANDS LÄN</t>
        </is>
      </c>
      <c r="E1584" t="inlineStr">
        <is>
          <t>FALKENBERG</t>
        </is>
      </c>
      <c r="G1584" t="n">
        <v>0.8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34239-2021</t>
        </is>
      </c>
      <c r="B1585" s="1" t="n">
        <v>44379</v>
      </c>
      <c r="C1585" s="1" t="n">
        <v>45358</v>
      </c>
      <c r="D1585" t="inlineStr">
        <is>
          <t>HALLANDS LÄN</t>
        </is>
      </c>
      <c r="E1585" t="inlineStr">
        <is>
          <t>FALKENBERG</t>
        </is>
      </c>
      <c r="G1585" t="n">
        <v>0.6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34356-2021</t>
        </is>
      </c>
      <c r="B1586" s="1" t="n">
        <v>44379</v>
      </c>
      <c r="C1586" s="1" t="n">
        <v>45358</v>
      </c>
      <c r="D1586" t="inlineStr">
        <is>
          <t>HALLANDS LÄN</t>
        </is>
      </c>
      <c r="E1586" t="inlineStr">
        <is>
          <t>VARBERG</t>
        </is>
      </c>
      <c r="G1586" t="n">
        <v>2.9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34445-2021</t>
        </is>
      </c>
      <c r="B1587" s="1" t="n">
        <v>44381</v>
      </c>
      <c r="C1587" s="1" t="n">
        <v>45358</v>
      </c>
      <c r="D1587" t="inlineStr">
        <is>
          <t>HALLANDS LÄN</t>
        </is>
      </c>
      <c r="E1587" t="inlineStr">
        <is>
          <t>FALKENBERG</t>
        </is>
      </c>
      <c r="G1587" t="n">
        <v>5.9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34446-2021</t>
        </is>
      </c>
      <c r="B1588" s="1" t="n">
        <v>44381</v>
      </c>
      <c r="C1588" s="1" t="n">
        <v>45358</v>
      </c>
      <c r="D1588" t="inlineStr">
        <is>
          <t>HALLANDS LÄN</t>
        </is>
      </c>
      <c r="E1588" t="inlineStr">
        <is>
          <t>FALKENBERG</t>
        </is>
      </c>
      <c r="G1588" t="n">
        <v>0.3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34939-2021</t>
        </is>
      </c>
      <c r="B1589" s="1" t="n">
        <v>44383</v>
      </c>
      <c r="C1589" s="1" t="n">
        <v>45358</v>
      </c>
      <c r="D1589" t="inlineStr">
        <is>
          <t>HALLANDS LÄN</t>
        </is>
      </c>
      <c r="E1589" t="inlineStr">
        <is>
          <t>KUNGSBACKA</t>
        </is>
      </c>
      <c r="G1589" t="n">
        <v>3.8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34974-2021</t>
        </is>
      </c>
      <c r="B1590" s="1" t="n">
        <v>44383</v>
      </c>
      <c r="C1590" s="1" t="n">
        <v>45358</v>
      </c>
      <c r="D1590" t="inlineStr">
        <is>
          <t>HALLANDS LÄN</t>
        </is>
      </c>
      <c r="E1590" t="inlineStr">
        <is>
          <t>VARBERG</t>
        </is>
      </c>
      <c r="G1590" t="n">
        <v>1.5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35102-2021</t>
        </is>
      </c>
      <c r="B1591" s="1" t="n">
        <v>44384</v>
      </c>
      <c r="C1591" s="1" t="n">
        <v>45358</v>
      </c>
      <c r="D1591" t="inlineStr">
        <is>
          <t>HALLANDS LÄN</t>
        </is>
      </c>
      <c r="E1591" t="inlineStr">
        <is>
          <t>HYLTE</t>
        </is>
      </c>
      <c r="G1591" t="n">
        <v>0.8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35215-2021</t>
        </is>
      </c>
      <c r="B1592" s="1" t="n">
        <v>44384</v>
      </c>
      <c r="C1592" s="1" t="n">
        <v>45358</v>
      </c>
      <c r="D1592" t="inlineStr">
        <is>
          <t>HALLANDS LÄN</t>
        </is>
      </c>
      <c r="E1592" t="inlineStr">
        <is>
          <t>LAHOLM</t>
        </is>
      </c>
      <c r="G1592" t="n">
        <v>3.2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35327-2021</t>
        </is>
      </c>
      <c r="B1593" s="1" t="n">
        <v>44384</v>
      </c>
      <c r="C1593" s="1" t="n">
        <v>45358</v>
      </c>
      <c r="D1593" t="inlineStr">
        <is>
          <t>HALLANDS LÄN</t>
        </is>
      </c>
      <c r="E1593" t="inlineStr">
        <is>
          <t>HYLTE</t>
        </is>
      </c>
      <c r="G1593" t="n">
        <v>0.8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35452-2021</t>
        </is>
      </c>
      <c r="B1594" s="1" t="n">
        <v>44384</v>
      </c>
      <c r="C1594" s="1" t="n">
        <v>45358</v>
      </c>
      <c r="D1594" t="inlineStr">
        <is>
          <t>HALLANDS LÄN</t>
        </is>
      </c>
      <c r="E1594" t="inlineStr">
        <is>
          <t>HYLTE</t>
        </is>
      </c>
      <c r="G1594" t="n">
        <v>3.5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36102-2021</t>
        </is>
      </c>
      <c r="B1595" s="1" t="n">
        <v>44386</v>
      </c>
      <c r="C1595" s="1" t="n">
        <v>45358</v>
      </c>
      <c r="D1595" t="inlineStr">
        <is>
          <t>HALLANDS LÄN</t>
        </is>
      </c>
      <c r="E1595" t="inlineStr">
        <is>
          <t>VARBERG</t>
        </is>
      </c>
      <c r="G1595" t="n">
        <v>4.7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36065-2021</t>
        </is>
      </c>
      <c r="B1596" s="1" t="n">
        <v>44389</v>
      </c>
      <c r="C1596" s="1" t="n">
        <v>45358</v>
      </c>
      <c r="D1596" t="inlineStr">
        <is>
          <t>HALLANDS LÄN</t>
        </is>
      </c>
      <c r="E1596" t="inlineStr">
        <is>
          <t>HYLTE</t>
        </is>
      </c>
      <c r="G1596" t="n">
        <v>6.2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36218-2021</t>
        </is>
      </c>
      <c r="B1597" s="1" t="n">
        <v>44389</v>
      </c>
      <c r="C1597" s="1" t="n">
        <v>45358</v>
      </c>
      <c r="D1597" t="inlineStr">
        <is>
          <t>HALLANDS LÄN</t>
        </is>
      </c>
      <c r="E1597" t="inlineStr">
        <is>
          <t>VARBERG</t>
        </is>
      </c>
      <c r="G1597" t="n">
        <v>2.1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36358-2021</t>
        </is>
      </c>
      <c r="B1598" s="1" t="n">
        <v>44390</v>
      </c>
      <c r="C1598" s="1" t="n">
        <v>45358</v>
      </c>
      <c r="D1598" t="inlineStr">
        <is>
          <t>HALLANDS LÄN</t>
        </is>
      </c>
      <c r="E1598" t="inlineStr">
        <is>
          <t>KUNGSBACKA</t>
        </is>
      </c>
      <c r="F1598" t="inlineStr">
        <is>
          <t>Kyrkan</t>
        </is>
      </c>
      <c r="G1598" t="n">
        <v>8.199999999999999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36361-2021</t>
        </is>
      </c>
      <c r="B1599" s="1" t="n">
        <v>44390</v>
      </c>
      <c r="C1599" s="1" t="n">
        <v>45358</v>
      </c>
      <c r="D1599" t="inlineStr">
        <is>
          <t>HALLANDS LÄN</t>
        </is>
      </c>
      <c r="E1599" t="inlineStr">
        <is>
          <t>KUNGSBACKA</t>
        </is>
      </c>
      <c r="F1599" t="inlineStr">
        <is>
          <t>Kyrkan</t>
        </is>
      </c>
      <c r="G1599" t="n">
        <v>11.7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36364-2021</t>
        </is>
      </c>
      <c r="B1600" s="1" t="n">
        <v>44390</v>
      </c>
      <c r="C1600" s="1" t="n">
        <v>45358</v>
      </c>
      <c r="D1600" t="inlineStr">
        <is>
          <t>HALLANDS LÄN</t>
        </is>
      </c>
      <c r="E1600" t="inlineStr">
        <is>
          <t>KUNGSBACKA</t>
        </is>
      </c>
      <c r="F1600" t="inlineStr">
        <is>
          <t>Kyrkan</t>
        </is>
      </c>
      <c r="G1600" t="n">
        <v>13.3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36436-2021</t>
        </is>
      </c>
      <c r="B1601" s="1" t="n">
        <v>44390</v>
      </c>
      <c r="C1601" s="1" t="n">
        <v>45358</v>
      </c>
      <c r="D1601" t="inlineStr">
        <is>
          <t>HALLANDS LÄN</t>
        </is>
      </c>
      <c r="E1601" t="inlineStr">
        <is>
          <t>LAHOLM</t>
        </is>
      </c>
      <c r="G1601" t="n">
        <v>2.2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36368-2021</t>
        </is>
      </c>
      <c r="B1602" s="1" t="n">
        <v>44390</v>
      </c>
      <c r="C1602" s="1" t="n">
        <v>45358</v>
      </c>
      <c r="D1602" t="inlineStr">
        <is>
          <t>HALLANDS LÄN</t>
        </is>
      </c>
      <c r="E1602" t="inlineStr">
        <is>
          <t>KUNGSBACKA</t>
        </is>
      </c>
      <c r="F1602" t="inlineStr">
        <is>
          <t>Kyrkan</t>
        </is>
      </c>
      <c r="G1602" t="n">
        <v>2.4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36425-2021</t>
        </is>
      </c>
      <c r="B1603" s="1" t="n">
        <v>44390</v>
      </c>
      <c r="C1603" s="1" t="n">
        <v>45358</v>
      </c>
      <c r="D1603" t="inlineStr">
        <is>
          <t>HALLANDS LÄN</t>
        </is>
      </c>
      <c r="E1603" t="inlineStr">
        <is>
          <t>HALMSTAD</t>
        </is>
      </c>
      <c r="G1603" t="n">
        <v>1.8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36366-2021</t>
        </is>
      </c>
      <c r="B1604" s="1" t="n">
        <v>44390</v>
      </c>
      <c r="C1604" s="1" t="n">
        <v>45358</v>
      </c>
      <c r="D1604" t="inlineStr">
        <is>
          <t>HALLANDS LÄN</t>
        </is>
      </c>
      <c r="E1604" t="inlineStr">
        <is>
          <t>KUNGSBACKA</t>
        </is>
      </c>
      <c r="F1604" t="inlineStr">
        <is>
          <t>Kyrkan</t>
        </is>
      </c>
      <c r="G1604" t="n">
        <v>6.2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36650-2021</t>
        </is>
      </c>
      <c r="B1605" s="1" t="n">
        <v>44392</v>
      </c>
      <c r="C1605" s="1" t="n">
        <v>45358</v>
      </c>
      <c r="D1605" t="inlineStr">
        <is>
          <t>HALLANDS LÄN</t>
        </is>
      </c>
      <c r="E1605" t="inlineStr">
        <is>
          <t>KUNGSBACKA</t>
        </is>
      </c>
      <c r="G1605" t="n">
        <v>2.9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36984-2021</t>
        </is>
      </c>
      <c r="B1606" s="1" t="n">
        <v>44393</v>
      </c>
      <c r="C1606" s="1" t="n">
        <v>45358</v>
      </c>
      <c r="D1606" t="inlineStr">
        <is>
          <t>HALLANDS LÄN</t>
        </is>
      </c>
      <c r="E1606" t="inlineStr">
        <is>
          <t>KUNGSBACKA</t>
        </is>
      </c>
      <c r="F1606" t="inlineStr">
        <is>
          <t>Kyrkan</t>
        </is>
      </c>
      <c r="G1606" t="n">
        <v>4.7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37093-2021</t>
        </is>
      </c>
      <c r="B1607" s="1" t="n">
        <v>44396</v>
      </c>
      <c r="C1607" s="1" t="n">
        <v>45358</v>
      </c>
      <c r="D1607" t="inlineStr">
        <is>
          <t>HALLANDS LÄN</t>
        </is>
      </c>
      <c r="E1607" t="inlineStr">
        <is>
          <t>HYLTE</t>
        </is>
      </c>
      <c r="G1607" t="n">
        <v>0.7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37448-2021</t>
        </is>
      </c>
      <c r="B1608" s="1" t="n">
        <v>44398</v>
      </c>
      <c r="C1608" s="1" t="n">
        <v>45358</v>
      </c>
      <c r="D1608" t="inlineStr">
        <is>
          <t>HALLANDS LÄN</t>
        </is>
      </c>
      <c r="E1608" t="inlineStr">
        <is>
          <t>VARBERG</t>
        </is>
      </c>
      <c r="G1608" t="n">
        <v>2.3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37454-2021</t>
        </is>
      </c>
      <c r="B1609" s="1" t="n">
        <v>44398</v>
      </c>
      <c r="C1609" s="1" t="n">
        <v>45358</v>
      </c>
      <c r="D1609" t="inlineStr">
        <is>
          <t>HALLANDS LÄN</t>
        </is>
      </c>
      <c r="E1609" t="inlineStr">
        <is>
          <t>HALMSTAD</t>
        </is>
      </c>
      <c r="G1609" t="n">
        <v>1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37627-2021</t>
        </is>
      </c>
      <c r="B1610" s="1" t="n">
        <v>44400</v>
      </c>
      <c r="C1610" s="1" t="n">
        <v>45358</v>
      </c>
      <c r="D1610" t="inlineStr">
        <is>
          <t>HALLANDS LÄN</t>
        </is>
      </c>
      <c r="E1610" t="inlineStr">
        <is>
          <t>LAHOLM</t>
        </is>
      </c>
      <c r="G1610" t="n">
        <v>0.5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37762-2021</t>
        </is>
      </c>
      <c r="B1611" s="1" t="n">
        <v>44400</v>
      </c>
      <c r="C1611" s="1" t="n">
        <v>45358</v>
      </c>
      <c r="D1611" t="inlineStr">
        <is>
          <t>HALLANDS LÄN</t>
        </is>
      </c>
      <c r="E1611" t="inlineStr">
        <is>
          <t>FALKENBERG</t>
        </is>
      </c>
      <c r="G1611" t="n">
        <v>0.5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37761-2021</t>
        </is>
      </c>
      <c r="B1612" s="1" t="n">
        <v>44400</v>
      </c>
      <c r="C1612" s="1" t="n">
        <v>45358</v>
      </c>
      <c r="D1612" t="inlineStr">
        <is>
          <t>HALLANDS LÄN</t>
        </is>
      </c>
      <c r="E1612" t="inlineStr">
        <is>
          <t>FALKENBERG</t>
        </is>
      </c>
      <c r="G1612" t="n">
        <v>1.7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38076-2021</t>
        </is>
      </c>
      <c r="B1613" s="1" t="n">
        <v>44404</v>
      </c>
      <c r="C1613" s="1" t="n">
        <v>45358</v>
      </c>
      <c r="D1613" t="inlineStr">
        <is>
          <t>HALLANDS LÄN</t>
        </is>
      </c>
      <c r="E1613" t="inlineStr">
        <is>
          <t>LAHOLM</t>
        </is>
      </c>
      <c r="G1613" t="n">
        <v>1.2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38078-2021</t>
        </is>
      </c>
      <c r="B1614" s="1" t="n">
        <v>44404</v>
      </c>
      <c r="C1614" s="1" t="n">
        <v>45358</v>
      </c>
      <c r="D1614" t="inlineStr">
        <is>
          <t>HALLANDS LÄN</t>
        </is>
      </c>
      <c r="E1614" t="inlineStr">
        <is>
          <t>LAHOLM</t>
        </is>
      </c>
      <c r="G1614" t="n">
        <v>1.7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38243-2021</t>
        </is>
      </c>
      <c r="B1615" s="1" t="n">
        <v>44405</v>
      </c>
      <c r="C1615" s="1" t="n">
        <v>45358</v>
      </c>
      <c r="D1615" t="inlineStr">
        <is>
          <t>HALLANDS LÄN</t>
        </is>
      </c>
      <c r="E1615" t="inlineStr">
        <is>
          <t>HYLTE</t>
        </is>
      </c>
      <c r="G1615" t="n">
        <v>7.5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38476-2021</t>
        </is>
      </c>
      <c r="B1616" s="1" t="n">
        <v>44407</v>
      </c>
      <c r="C1616" s="1" t="n">
        <v>45358</v>
      </c>
      <c r="D1616" t="inlineStr">
        <is>
          <t>HALLANDS LÄN</t>
        </is>
      </c>
      <c r="E1616" t="inlineStr">
        <is>
          <t>HYLTE</t>
        </is>
      </c>
      <c r="G1616" t="n">
        <v>2.1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38573-2021</t>
        </is>
      </c>
      <c r="B1617" s="1" t="n">
        <v>44407</v>
      </c>
      <c r="C1617" s="1" t="n">
        <v>45358</v>
      </c>
      <c r="D1617" t="inlineStr">
        <is>
          <t>HALLANDS LÄN</t>
        </is>
      </c>
      <c r="E1617" t="inlineStr">
        <is>
          <t>FALKENBERG</t>
        </is>
      </c>
      <c r="G1617" t="n">
        <v>2.7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38596-2021</t>
        </is>
      </c>
      <c r="B1618" s="1" t="n">
        <v>44407</v>
      </c>
      <c r="C1618" s="1" t="n">
        <v>45358</v>
      </c>
      <c r="D1618" t="inlineStr">
        <is>
          <t>HALLANDS LÄN</t>
        </is>
      </c>
      <c r="E1618" t="inlineStr">
        <is>
          <t>FALKENBERG</t>
        </is>
      </c>
      <c r="G1618" t="n">
        <v>1.6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38661-2021</t>
        </is>
      </c>
      <c r="B1619" s="1" t="n">
        <v>44410</v>
      </c>
      <c r="C1619" s="1" t="n">
        <v>45358</v>
      </c>
      <c r="D1619" t="inlineStr">
        <is>
          <t>HALLANDS LÄN</t>
        </is>
      </c>
      <c r="E1619" t="inlineStr">
        <is>
          <t>HALMSTAD</t>
        </is>
      </c>
      <c r="G1619" t="n">
        <v>1.1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39395-2021</t>
        </is>
      </c>
      <c r="B1620" s="1" t="n">
        <v>44414</v>
      </c>
      <c r="C1620" s="1" t="n">
        <v>45358</v>
      </c>
      <c r="D1620" t="inlineStr">
        <is>
          <t>HALLANDS LÄN</t>
        </is>
      </c>
      <c r="E1620" t="inlineStr">
        <is>
          <t>VARBERG</t>
        </is>
      </c>
      <c r="G1620" t="n">
        <v>0.5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39418-2021</t>
        </is>
      </c>
      <c r="B1621" s="1" t="n">
        <v>44414</v>
      </c>
      <c r="C1621" s="1" t="n">
        <v>45358</v>
      </c>
      <c r="D1621" t="inlineStr">
        <is>
          <t>HALLANDS LÄN</t>
        </is>
      </c>
      <c r="E1621" t="inlineStr">
        <is>
          <t>KUNGSBACKA</t>
        </is>
      </c>
      <c r="G1621" t="n">
        <v>5.7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40024-2021</t>
        </is>
      </c>
      <c r="B1622" s="1" t="n">
        <v>44418</v>
      </c>
      <c r="C1622" s="1" t="n">
        <v>45358</v>
      </c>
      <c r="D1622" t="inlineStr">
        <is>
          <t>HALLANDS LÄN</t>
        </is>
      </c>
      <c r="E1622" t="inlineStr">
        <is>
          <t>KUNGSBACKA</t>
        </is>
      </c>
      <c r="G1622" t="n">
        <v>0.8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40705-2021</t>
        </is>
      </c>
      <c r="B1623" s="1" t="n">
        <v>44420</v>
      </c>
      <c r="C1623" s="1" t="n">
        <v>45358</v>
      </c>
      <c r="D1623" t="inlineStr">
        <is>
          <t>HALLANDS LÄN</t>
        </is>
      </c>
      <c r="E1623" t="inlineStr">
        <is>
          <t>FALKENBERG</t>
        </is>
      </c>
      <c r="G1623" t="n">
        <v>4.2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40870-2021</t>
        </is>
      </c>
      <c r="B1624" s="1" t="n">
        <v>44421</v>
      </c>
      <c r="C1624" s="1" t="n">
        <v>45358</v>
      </c>
      <c r="D1624" t="inlineStr">
        <is>
          <t>HALLANDS LÄN</t>
        </is>
      </c>
      <c r="E1624" t="inlineStr">
        <is>
          <t>HYLTE</t>
        </is>
      </c>
      <c r="G1624" t="n">
        <v>6.3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40940-2021</t>
        </is>
      </c>
      <c r="B1625" s="1" t="n">
        <v>44421</v>
      </c>
      <c r="C1625" s="1" t="n">
        <v>45358</v>
      </c>
      <c r="D1625" t="inlineStr">
        <is>
          <t>HALLANDS LÄN</t>
        </is>
      </c>
      <c r="E1625" t="inlineStr">
        <is>
          <t>VARBERG</t>
        </is>
      </c>
      <c r="G1625" t="n">
        <v>2.3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41124-2021</t>
        </is>
      </c>
      <c r="B1626" s="1" t="n">
        <v>44423</v>
      </c>
      <c r="C1626" s="1" t="n">
        <v>45358</v>
      </c>
      <c r="D1626" t="inlineStr">
        <is>
          <t>HALLANDS LÄN</t>
        </is>
      </c>
      <c r="E1626" t="inlineStr">
        <is>
          <t>HALMSTAD</t>
        </is>
      </c>
      <c r="G1626" t="n">
        <v>3.7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41278-2021</t>
        </is>
      </c>
      <c r="B1627" s="1" t="n">
        <v>44424</v>
      </c>
      <c r="C1627" s="1" t="n">
        <v>45358</v>
      </c>
      <c r="D1627" t="inlineStr">
        <is>
          <t>HALLANDS LÄN</t>
        </is>
      </c>
      <c r="E1627" t="inlineStr">
        <is>
          <t>FALKENBERG</t>
        </is>
      </c>
      <c r="G1627" t="n">
        <v>5.7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41284-2021</t>
        </is>
      </c>
      <c r="B1628" s="1" t="n">
        <v>44424</v>
      </c>
      <c r="C1628" s="1" t="n">
        <v>45358</v>
      </c>
      <c r="D1628" t="inlineStr">
        <is>
          <t>HALLANDS LÄN</t>
        </is>
      </c>
      <c r="E1628" t="inlineStr">
        <is>
          <t>FALKENBERG</t>
        </is>
      </c>
      <c r="G1628" t="n">
        <v>5.3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41152-2021</t>
        </is>
      </c>
      <c r="B1629" s="1" t="n">
        <v>44424</v>
      </c>
      <c r="C1629" s="1" t="n">
        <v>45358</v>
      </c>
      <c r="D1629" t="inlineStr">
        <is>
          <t>HALLANDS LÄN</t>
        </is>
      </c>
      <c r="E1629" t="inlineStr">
        <is>
          <t>VARBERG</t>
        </is>
      </c>
      <c r="G1629" t="n">
        <v>6.2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41151-2021</t>
        </is>
      </c>
      <c r="B1630" s="1" t="n">
        <v>44424</v>
      </c>
      <c r="C1630" s="1" t="n">
        <v>45358</v>
      </c>
      <c r="D1630" t="inlineStr">
        <is>
          <t>HALLANDS LÄN</t>
        </is>
      </c>
      <c r="E1630" t="inlineStr">
        <is>
          <t>VARBERG</t>
        </is>
      </c>
      <c r="G1630" t="n">
        <v>2.9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41289-2021</t>
        </is>
      </c>
      <c r="B1631" s="1" t="n">
        <v>44424</v>
      </c>
      <c r="C1631" s="1" t="n">
        <v>45358</v>
      </c>
      <c r="D1631" t="inlineStr">
        <is>
          <t>HALLANDS LÄN</t>
        </is>
      </c>
      <c r="E1631" t="inlineStr">
        <is>
          <t>FALKENBERG</t>
        </is>
      </c>
      <c r="G1631" t="n">
        <v>6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41428-2021</t>
        </is>
      </c>
      <c r="B1632" s="1" t="n">
        <v>44424</v>
      </c>
      <c r="C1632" s="1" t="n">
        <v>45358</v>
      </c>
      <c r="D1632" t="inlineStr">
        <is>
          <t>HALLANDS LÄN</t>
        </is>
      </c>
      <c r="E1632" t="inlineStr">
        <is>
          <t>FALKENBERG</t>
        </is>
      </c>
      <c r="G1632" t="n">
        <v>0.6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41766-2021</t>
        </is>
      </c>
      <c r="B1633" s="1" t="n">
        <v>44425</v>
      </c>
      <c r="C1633" s="1" t="n">
        <v>45358</v>
      </c>
      <c r="D1633" t="inlineStr">
        <is>
          <t>HALLANDS LÄN</t>
        </is>
      </c>
      <c r="E1633" t="inlineStr">
        <is>
          <t>KUNGSBACKA</t>
        </is>
      </c>
      <c r="G1633" t="n">
        <v>1.5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41732-2021</t>
        </is>
      </c>
      <c r="B1634" s="1" t="n">
        <v>44425</v>
      </c>
      <c r="C1634" s="1" t="n">
        <v>45358</v>
      </c>
      <c r="D1634" t="inlineStr">
        <is>
          <t>HALLANDS LÄN</t>
        </is>
      </c>
      <c r="E1634" t="inlineStr">
        <is>
          <t>FALKENBERG</t>
        </is>
      </c>
      <c r="G1634" t="n">
        <v>0.9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41824-2021</t>
        </is>
      </c>
      <c r="B1635" s="1" t="n">
        <v>44425</v>
      </c>
      <c r="C1635" s="1" t="n">
        <v>45358</v>
      </c>
      <c r="D1635" t="inlineStr">
        <is>
          <t>HALLANDS LÄN</t>
        </is>
      </c>
      <c r="E1635" t="inlineStr">
        <is>
          <t>VARBERG</t>
        </is>
      </c>
      <c r="G1635" t="n">
        <v>1.2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41769-2021</t>
        </is>
      </c>
      <c r="B1636" s="1" t="n">
        <v>44425</v>
      </c>
      <c r="C1636" s="1" t="n">
        <v>45358</v>
      </c>
      <c r="D1636" t="inlineStr">
        <is>
          <t>HALLANDS LÄN</t>
        </is>
      </c>
      <c r="E1636" t="inlineStr">
        <is>
          <t>KUNGSBACKA</t>
        </is>
      </c>
      <c r="G1636" t="n">
        <v>1.9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42377-2021</t>
        </is>
      </c>
      <c r="B1637" s="1" t="n">
        <v>44427</v>
      </c>
      <c r="C1637" s="1" t="n">
        <v>45358</v>
      </c>
      <c r="D1637" t="inlineStr">
        <is>
          <t>HALLANDS LÄN</t>
        </is>
      </c>
      <c r="E1637" t="inlineStr">
        <is>
          <t>KUNGSBACKA</t>
        </is>
      </c>
      <c r="G1637" t="n">
        <v>1.5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42419-2021</t>
        </is>
      </c>
      <c r="B1638" s="1" t="n">
        <v>44427</v>
      </c>
      <c r="C1638" s="1" t="n">
        <v>45358</v>
      </c>
      <c r="D1638" t="inlineStr">
        <is>
          <t>HALLANDS LÄN</t>
        </is>
      </c>
      <c r="E1638" t="inlineStr">
        <is>
          <t>HYLTE</t>
        </is>
      </c>
      <c r="G1638" t="n">
        <v>1.4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42397-2021</t>
        </is>
      </c>
      <c r="B1639" s="1" t="n">
        <v>44427</v>
      </c>
      <c r="C1639" s="1" t="n">
        <v>45358</v>
      </c>
      <c r="D1639" t="inlineStr">
        <is>
          <t>HALLANDS LÄN</t>
        </is>
      </c>
      <c r="E1639" t="inlineStr">
        <is>
          <t>FALKENBERG</t>
        </is>
      </c>
      <c r="G1639" t="n">
        <v>1.1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42868-2021</t>
        </is>
      </c>
      <c r="B1640" s="1" t="n">
        <v>44430</v>
      </c>
      <c r="C1640" s="1" t="n">
        <v>45358</v>
      </c>
      <c r="D1640" t="inlineStr">
        <is>
          <t>HALLANDS LÄN</t>
        </is>
      </c>
      <c r="E1640" t="inlineStr">
        <is>
          <t>FALKENBERG</t>
        </is>
      </c>
      <c r="G1640" t="n">
        <v>0.4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42866-2021</t>
        </is>
      </c>
      <c r="B1641" s="1" t="n">
        <v>44431</v>
      </c>
      <c r="C1641" s="1" t="n">
        <v>45358</v>
      </c>
      <c r="D1641" t="inlineStr">
        <is>
          <t>HALLANDS LÄN</t>
        </is>
      </c>
      <c r="E1641" t="inlineStr">
        <is>
          <t>FALKENBERG</t>
        </is>
      </c>
      <c r="G1641" t="n">
        <v>0.8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43147-2021</t>
        </is>
      </c>
      <c r="B1642" s="1" t="n">
        <v>44431</v>
      </c>
      <c r="C1642" s="1" t="n">
        <v>45358</v>
      </c>
      <c r="D1642" t="inlineStr">
        <is>
          <t>HALLANDS LÄN</t>
        </is>
      </c>
      <c r="E1642" t="inlineStr">
        <is>
          <t>FALKENBERG</t>
        </is>
      </c>
      <c r="F1642" t="inlineStr">
        <is>
          <t>Bergvik skog väst AB</t>
        </is>
      </c>
      <c r="G1642" t="n">
        <v>0.7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43131-2021</t>
        </is>
      </c>
      <c r="B1643" s="1" t="n">
        <v>44431</v>
      </c>
      <c r="C1643" s="1" t="n">
        <v>45358</v>
      </c>
      <c r="D1643" t="inlineStr">
        <is>
          <t>HALLANDS LÄN</t>
        </is>
      </c>
      <c r="E1643" t="inlineStr">
        <is>
          <t>FALKENBERG</t>
        </is>
      </c>
      <c r="F1643" t="inlineStr">
        <is>
          <t>Bergvik skog väst AB</t>
        </is>
      </c>
      <c r="G1643" t="n">
        <v>9.800000000000001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43322-2021</t>
        </is>
      </c>
      <c r="B1644" s="1" t="n">
        <v>44432</v>
      </c>
      <c r="C1644" s="1" t="n">
        <v>45358</v>
      </c>
      <c r="D1644" t="inlineStr">
        <is>
          <t>HALLANDS LÄN</t>
        </is>
      </c>
      <c r="E1644" t="inlineStr">
        <is>
          <t>FALKENBERG</t>
        </is>
      </c>
      <c r="G1644" t="n">
        <v>2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43331-2021</t>
        </is>
      </c>
      <c r="B1645" s="1" t="n">
        <v>44432</v>
      </c>
      <c r="C1645" s="1" t="n">
        <v>45358</v>
      </c>
      <c r="D1645" t="inlineStr">
        <is>
          <t>HALLANDS LÄN</t>
        </is>
      </c>
      <c r="E1645" t="inlineStr">
        <is>
          <t>FALKENBERG</t>
        </is>
      </c>
      <c r="G1645" t="n">
        <v>0.5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43326-2021</t>
        </is>
      </c>
      <c r="B1646" s="1" t="n">
        <v>44432</v>
      </c>
      <c r="C1646" s="1" t="n">
        <v>45358</v>
      </c>
      <c r="D1646" t="inlineStr">
        <is>
          <t>HALLANDS LÄN</t>
        </is>
      </c>
      <c r="E1646" t="inlineStr">
        <is>
          <t>FALKENBERG</t>
        </is>
      </c>
      <c r="G1646" t="n">
        <v>0.5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44188-2021</t>
        </is>
      </c>
      <c r="B1647" s="1" t="n">
        <v>44434</v>
      </c>
      <c r="C1647" s="1" t="n">
        <v>45358</v>
      </c>
      <c r="D1647" t="inlineStr">
        <is>
          <t>HALLANDS LÄN</t>
        </is>
      </c>
      <c r="E1647" t="inlineStr">
        <is>
          <t>LAHOLM</t>
        </is>
      </c>
      <c r="G1647" t="n">
        <v>0.5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44277-2021</t>
        </is>
      </c>
      <c r="B1648" s="1" t="n">
        <v>44435</v>
      </c>
      <c r="C1648" s="1" t="n">
        <v>45358</v>
      </c>
      <c r="D1648" t="inlineStr">
        <is>
          <t>HALLANDS LÄN</t>
        </is>
      </c>
      <c r="E1648" t="inlineStr">
        <is>
          <t>FALKENBERG</t>
        </is>
      </c>
      <c r="G1648" t="n">
        <v>1.5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44702-2021</t>
        </is>
      </c>
      <c r="B1649" s="1" t="n">
        <v>44438</v>
      </c>
      <c r="C1649" s="1" t="n">
        <v>45358</v>
      </c>
      <c r="D1649" t="inlineStr">
        <is>
          <t>HALLANDS LÄN</t>
        </is>
      </c>
      <c r="E1649" t="inlineStr">
        <is>
          <t>LAHOLM</t>
        </is>
      </c>
      <c r="G1649" t="n">
        <v>1.7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44800-2021</t>
        </is>
      </c>
      <c r="B1650" s="1" t="n">
        <v>44438</v>
      </c>
      <c r="C1650" s="1" t="n">
        <v>45358</v>
      </c>
      <c r="D1650" t="inlineStr">
        <is>
          <t>HALLANDS LÄN</t>
        </is>
      </c>
      <c r="E1650" t="inlineStr">
        <is>
          <t>FALKENBERG</t>
        </is>
      </c>
      <c r="G1650" t="n">
        <v>1.1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46013-2021</t>
        </is>
      </c>
      <c r="B1651" s="1" t="n">
        <v>44441</v>
      </c>
      <c r="C1651" s="1" t="n">
        <v>45358</v>
      </c>
      <c r="D1651" t="inlineStr">
        <is>
          <t>HALLANDS LÄN</t>
        </is>
      </c>
      <c r="E1651" t="inlineStr">
        <is>
          <t>HALMSTAD</t>
        </is>
      </c>
      <c r="G1651" t="n">
        <v>3.4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45974-2021</t>
        </is>
      </c>
      <c r="B1652" s="1" t="n">
        <v>44441</v>
      </c>
      <c r="C1652" s="1" t="n">
        <v>45358</v>
      </c>
      <c r="D1652" t="inlineStr">
        <is>
          <t>HALLANDS LÄN</t>
        </is>
      </c>
      <c r="E1652" t="inlineStr">
        <is>
          <t>VARBERG</t>
        </is>
      </c>
      <c r="G1652" t="n">
        <v>1.8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46008-2021</t>
        </is>
      </c>
      <c r="B1653" s="1" t="n">
        <v>44441</v>
      </c>
      <c r="C1653" s="1" t="n">
        <v>45358</v>
      </c>
      <c r="D1653" t="inlineStr">
        <is>
          <t>HALLANDS LÄN</t>
        </is>
      </c>
      <c r="E1653" t="inlineStr">
        <is>
          <t>HALMSTAD</t>
        </is>
      </c>
      <c r="G1653" t="n">
        <v>0.7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46159-2021</t>
        </is>
      </c>
      <c r="B1654" s="1" t="n">
        <v>44442</v>
      </c>
      <c r="C1654" s="1" t="n">
        <v>45358</v>
      </c>
      <c r="D1654" t="inlineStr">
        <is>
          <t>HALLANDS LÄN</t>
        </is>
      </c>
      <c r="E1654" t="inlineStr">
        <is>
          <t>LAHOLM</t>
        </is>
      </c>
      <c r="G1654" t="n">
        <v>0.5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46101-2021</t>
        </is>
      </c>
      <c r="B1655" s="1" t="n">
        <v>44442</v>
      </c>
      <c r="C1655" s="1" t="n">
        <v>45358</v>
      </c>
      <c r="D1655" t="inlineStr">
        <is>
          <t>HALLANDS LÄN</t>
        </is>
      </c>
      <c r="E1655" t="inlineStr">
        <is>
          <t>HYLTE</t>
        </is>
      </c>
      <c r="G1655" t="n">
        <v>1.1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46317-2021</t>
        </is>
      </c>
      <c r="B1656" s="1" t="n">
        <v>44442</v>
      </c>
      <c r="C1656" s="1" t="n">
        <v>45358</v>
      </c>
      <c r="D1656" t="inlineStr">
        <is>
          <t>HALLANDS LÄN</t>
        </is>
      </c>
      <c r="E1656" t="inlineStr">
        <is>
          <t>LAHOLM</t>
        </is>
      </c>
      <c r="G1656" t="n">
        <v>2.3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46465-2021</t>
        </is>
      </c>
      <c r="B1657" s="1" t="n">
        <v>44445</v>
      </c>
      <c r="C1657" s="1" t="n">
        <v>45358</v>
      </c>
      <c r="D1657" t="inlineStr">
        <is>
          <t>HALLANDS LÄN</t>
        </is>
      </c>
      <c r="E1657" t="inlineStr">
        <is>
          <t>HALMSTAD</t>
        </is>
      </c>
      <c r="G1657" t="n">
        <v>2.3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46905-2021</t>
        </is>
      </c>
      <c r="B1658" s="1" t="n">
        <v>44446</v>
      </c>
      <c r="C1658" s="1" t="n">
        <v>45358</v>
      </c>
      <c r="D1658" t="inlineStr">
        <is>
          <t>HALLANDS LÄN</t>
        </is>
      </c>
      <c r="E1658" t="inlineStr">
        <is>
          <t>FALKENBERG</t>
        </is>
      </c>
      <c r="G1658" t="n">
        <v>1.8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46886-2021</t>
        </is>
      </c>
      <c r="B1659" s="1" t="n">
        <v>44446</v>
      </c>
      <c r="C1659" s="1" t="n">
        <v>45358</v>
      </c>
      <c r="D1659" t="inlineStr">
        <is>
          <t>HALLANDS LÄN</t>
        </is>
      </c>
      <c r="E1659" t="inlineStr">
        <is>
          <t>LAHOLM</t>
        </is>
      </c>
      <c r="G1659" t="n">
        <v>1.1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47021-2021</t>
        </is>
      </c>
      <c r="B1660" s="1" t="n">
        <v>44446</v>
      </c>
      <c r="C1660" s="1" t="n">
        <v>45358</v>
      </c>
      <c r="D1660" t="inlineStr">
        <is>
          <t>HALLANDS LÄN</t>
        </is>
      </c>
      <c r="E1660" t="inlineStr">
        <is>
          <t>HYLTE</t>
        </is>
      </c>
      <c r="G1660" t="n">
        <v>5.6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47072-2021</t>
        </is>
      </c>
      <c r="B1661" s="1" t="n">
        <v>44446</v>
      </c>
      <c r="C1661" s="1" t="n">
        <v>45358</v>
      </c>
      <c r="D1661" t="inlineStr">
        <is>
          <t>HALLANDS LÄN</t>
        </is>
      </c>
      <c r="E1661" t="inlineStr">
        <is>
          <t>LAHOLM</t>
        </is>
      </c>
      <c r="G1661" t="n">
        <v>0.5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47345-2021</t>
        </is>
      </c>
      <c r="B1662" s="1" t="n">
        <v>44447</v>
      </c>
      <c r="C1662" s="1" t="n">
        <v>45358</v>
      </c>
      <c r="D1662" t="inlineStr">
        <is>
          <t>HALLANDS LÄN</t>
        </is>
      </c>
      <c r="E1662" t="inlineStr">
        <is>
          <t>VARBERG</t>
        </is>
      </c>
      <c r="G1662" t="n">
        <v>9.9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47339-2021</t>
        </is>
      </c>
      <c r="B1663" s="1" t="n">
        <v>44447</v>
      </c>
      <c r="C1663" s="1" t="n">
        <v>45358</v>
      </c>
      <c r="D1663" t="inlineStr">
        <is>
          <t>HALLANDS LÄN</t>
        </is>
      </c>
      <c r="E1663" t="inlineStr">
        <is>
          <t>VARBERG</t>
        </is>
      </c>
      <c r="G1663" t="n">
        <v>2.1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47820-2021</t>
        </is>
      </c>
      <c r="B1664" s="1" t="n">
        <v>44448</v>
      </c>
      <c r="C1664" s="1" t="n">
        <v>45358</v>
      </c>
      <c r="D1664" t="inlineStr">
        <is>
          <t>HALLANDS LÄN</t>
        </is>
      </c>
      <c r="E1664" t="inlineStr">
        <is>
          <t>HYLTE</t>
        </is>
      </c>
      <c r="G1664" t="n">
        <v>8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47763-2021</t>
        </is>
      </c>
      <c r="B1665" s="1" t="n">
        <v>44448</v>
      </c>
      <c r="C1665" s="1" t="n">
        <v>45358</v>
      </c>
      <c r="D1665" t="inlineStr">
        <is>
          <t>HALLANDS LÄN</t>
        </is>
      </c>
      <c r="E1665" t="inlineStr">
        <is>
          <t>FALKENBERG</t>
        </is>
      </c>
      <c r="G1665" t="n">
        <v>1.4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48126-2021</t>
        </is>
      </c>
      <c r="B1666" s="1" t="n">
        <v>44449</v>
      </c>
      <c r="C1666" s="1" t="n">
        <v>45358</v>
      </c>
      <c r="D1666" t="inlineStr">
        <is>
          <t>HALLANDS LÄN</t>
        </is>
      </c>
      <c r="E1666" t="inlineStr">
        <is>
          <t>HYLTE</t>
        </is>
      </c>
      <c r="G1666" t="n">
        <v>2.5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48978-2021</t>
        </is>
      </c>
      <c r="B1667" s="1" t="n">
        <v>44453</v>
      </c>
      <c r="C1667" s="1" t="n">
        <v>45358</v>
      </c>
      <c r="D1667" t="inlineStr">
        <is>
          <t>HALLANDS LÄN</t>
        </is>
      </c>
      <c r="E1667" t="inlineStr">
        <is>
          <t>VARBERG</t>
        </is>
      </c>
      <c r="G1667" t="n">
        <v>1.5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49126-2021</t>
        </is>
      </c>
      <c r="B1668" s="1" t="n">
        <v>44453</v>
      </c>
      <c r="C1668" s="1" t="n">
        <v>45358</v>
      </c>
      <c r="D1668" t="inlineStr">
        <is>
          <t>HALLANDS LÄN</t>
        </is>
      </c>
      <c r="E1668" t="inlineStr">
        <is>
          <t>FALKENBERG</t>
        </is>
      </c>
      <c r="G1668" t="n">
        <v>2.9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49217-2021</t>
        </is>
      </c>
      <c r="B1669" s="1" t="n">
        <v>44454</v>
      </c>
      <c r="C1669" s="1" t="n">
        <v>45358</v>
      </c>
      <c r="D1669" t="inlineStr">
        <is>
          <t>HALLANDS LÄN</t>
        </is>
      </c>
      <c r="E1669" t="inlineStr">
        <is>
          <t>FALKENBERG</t>
        </is>
      </c>
      <c r="F1669" t="inlineStr">
        <is>
          <t>Kyrkan</t>
        </is>
      </c>
      <c r="G1669" t="n">
        <v>1.3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49214-2021</t>
        </is>
      </c>
      <c r="B1670" s="1" t="n">
        <v>44454</v>
      </c>
      <c r="C1670" s="1" t="n">
        <v>45358</v>
      </c>
      <c r="D1670" t="inlineStr">
        <is>
          <t>HALLANDS LÄN</t>
        </is>
      </c>
      <c r="E1670" t="inlineStr">
        <is>
          <t>FALKENBERG</t>
        </is>
      </c>
      <c r="F1670" t="inlineStr">
        <is>
          <t>Kyrkan</t>
        </is>
      </c>
      <c r="G1670" t="n">
        <v>5.1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49390-2021</t>
        </is>
      </c>
      <c r="B1671" s="1" t="n">
        <v>44454</v>
      </c>
      <c r="C1671" s="1" t="n">
        <v>45358</v>
      </c>
      <c r="D1671" t="inlineStr">
        <is>
          <t>HALLANDS LÄN</t>
        </is>
      </c>
      <c r="E1671" t="inlineStr">
        <is>
          <t>HYLTE</t>
        </is>
      </c>
      <c r="G1671" t="n">
        <v>3.4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49505-2021</t>
        </is>
      </c>
      <c r="B1672" s="1" t="n">
        <v>44454</v>
      </c>
      <c r="C1672" s="1" t="n">
        <v>45358</v>
      </c>
      <c r="D1672" t="inlineStr">
        <is>
          <t>HALLANDS LÄN</t>
        </is>
      </c>
      <c r="E1672" t="inlineStr">
        <is>
          <t>HYLTE</t>
        </is>
      </c>
      <c r="G1672" t="n">
        <v>4.8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49476-2021</t>
        </is>
      </c>
      <c r="B1673" s="1" t="n">
        <v>44454</v>
      </c>
      <c r="C1673" s="1" t="n">
        <v>45358</v>
      </c>
      <c r="D1673" t="inlineStr">
        <is>
          <t>HALLANDS LÄN</t>
        </is>
      </c>
      <c r="E1673" t="inlineStr">
        <is>
          <t>FALKENBERG</t>
        </is>
      </c>
      <c r="F1673" t="inlineStr">
        <is>
          <t>Kyrkan</t>
        </is>
      </c>
      <c r="G1673" t="n">
        <v>2.2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49500-2021</t>
        </is>
      </c>
      <c r="B1674" s="1" t="n">
        <v>44454</v>
      </c>
      <c r="C1674" s="1" t="n">
        <v>45358</v>
      </c>
      <c r="D1674" t="inlineStr">
        <is>
          <t>HALLANDS LÄN</t>
        </is>
      </c>
      <c r="E1674" t="inlineStr">
        <is>
          <t>HYLTE</t>
        </is>
      </c>
      <c r="G1674" t="n">
        <v>0.8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49800-2021</t>
        </is>
      </c>
      <c r="B1675" s="1" t="n">
        <v>44455</v>
      </c>
      <c r="C1675" s="1" t="n">
        <v>45358</v>
      </c>
      <c r="D1675" t="inlineStr">
        <is>
          <t>HALLANDS LÄN</t>
        </is>
      </c>
      <c r="E1675" t="inlineStr">
        <is>
          <t>HALMSTAD</t>
        </is>
      </c>
      <c r="G1675" t="n">
        <v>1.5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49510-2021</t>
        </is>
      </c>
      <c r="B1676" s="1" t="n">
        <v>44455</v>
      </c>
      <c r="C1676" s="1" t="n">
        <v>45358</v>
      </c>
      <c r="D1676" t="inlineStr">
        <is>
          <t>HALLANDS LÄN</t>
        </is>
      </c>
      <c r="E1676" t="inlineStr">
        <is>
          <t>HYLTE</t>
        </is>
      </c>
      <c r="G1676" t="n">
        <v>1.5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49599-2021</t>
        </is>
      </c>
      <c r="B1677" s="1" t="n">
        <v>44455</v>
      </c>
      <c r="C1677" s="1" t="n">
        <v>45358</v>
      </c>
      <c r="D1677" t="inlineStr">
        <is>
          <t>HALLANDS LÄN</t>
        </is>
      </c>
      <c r="E1677" t="inlineStr">
        <is>
          <t>HYLTE</t>
        </is>
      </c>
      <c r="G1677" t="n">
        <v>1.7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49906-2021</t>
        </is>
      </c>
      <c r="B1678" s="1" t="n">
        <v>44455</v>
      </c>
      <c r="C1678" s="1" t="n">
        <v>45358</v>
      </c>
      <c r="D1678" t="inlineStr">
        <is>
          <t>HALLANDS LÄN</t>
        </is>
      </c>
      <c r="E1678" t="inlineStr">
        <is>
          <t>KUNGSBACKA</t>
        </is>
      </c>
      <c r="G1678" t="n">
        <v>1.5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49521-2021</t>
        </is>
      </c>
      <c r="B1679" s="1" t="n">
        <v>44455</v>
      </c>
      <c r="C1679" s="1" t="n">
        <v>45358</v>
      </c>
      <c r="D1679" t="inlineStr">
        <is>
          <t>HALLANDS LÄN</t>
        </is>
      </c>
      <c r="E1679" t="inlineStr">
        <is>
          <t>HYLTE</t>
        </is>
      </c>
      <c r="G1679" t="n">
        <v>1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49792-2021</t>
        </is>
      </c>
      <c r="B1680" s="1" t="n">
        <v>44455</v>
      </c>
      <c r="C1680" s="1" t="n">
        <v>45358</v>
      </c>
      <c r="D1680" t="inlineStr">
        <is>
          <t>HALLANDS LÄN</t>
        </is>
      </c>
      <c r="E1680" t="inlineStr">
        <is>
          <t>HALMSTAD</t>
        </is>
      </c>
      <c r="G1680" t="n">
        <v>1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50152-2021</t>
        </is>
      </c>
      <c r="B1681" s="1" t="n">
        <v>44456</v>
      </c>
      <c r="C1681" s="1" t="n">
        <v>45358</v>
      </c>
      <c r="D1681" t="inlineStr">
        <is>
          <t>HALLANDS LÄN</t>
        </is>
      </c>
      <c r="E1681" t="inlineStr">
        <is>
          <t>HYLTE</t>
        </is>
      </c>
      <c r="G1681" t="n">
        <v>3.6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50199-2021</t>
        </is>
      </c>
      <c r="B1682" s="1" t="n">
        <v>44457</v>
      </c>
      <c r="C1682" s="1" t="n">
        <v>45358</v>
      </c>
      <c r="D1682" t="inlineStr">
        <is>
          <t>HALLANDS LÄN</t>
        </is>
      </c>
      <c r="E1682" t="inlineStr">
        <is>
          <t>VARBERG</t>
        </is>
      </c>
      <c r="G1682" t="n">
        <v>1.2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50814-2021</t>
        </is>
      </c>
      <c r="B1683" s="1" t="n">
        <v>44460</v>
      </c>
      <c r="C1683" s="1" t="n">
        <v>45358</v>
      </c>
      <c r="D1683" t="inlineStr">
        <is>
          <t>HALLANDS LÄN</t>
        </is>
      </c>
      <c r="E1683" t="inlineStr">
        <is>
          <t>HYLTE</t>
        </is>
      </c>
      <c r="G1683" t="n">
        <v>1.7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50838-2021</t>
        </is>
      </c>
      <c r="B1684" s="1" t="n">
        <v>44460</v>
      </c>
      <c r="C1684" s="1" t="n">
        <v>45358</v>
      </c>
      <c r="D1684" t="inlineStr">
        <is>
          <t>HALLANDS LÄN</t>
        </is>
      </c>
      <c r="E1684" t="inlineStr">
        <is>
          <t>HYLTE</t>
        </is>
      </c>
      <c r="G1684" t="n">
        <v>2.3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50810-2021</t>
        </is>
      </c>
      <c r="B1685" s="1" t="n">
        <v>44460</v>
      </c>
      <c r="C1685" s="1" t="n">
        <v>45358</v>
      </c>
      <c r="D1685" t="inlineStr">
        <is>
          <t>HALLANDS LÄN</t>
        </is>
      </c>
      <c r="E1685" t="inlineStr">
        <is>
          <t>HYLTE</t>
        </is>
      </c>
      <c r="G1685" t="n">
        <v>3.2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51192-2021</t>
        </is>
      </c>
      <c r="B1686" s="1" t="n">
        <v>44461</v>
      </c>
      <c r="C1686" s="1" t="n">
        <v>45358</v>
      </c>
      <c r="D1686" t="inlineStr">
        <is>
          <t>HALLANDS LÄN</t>
        </is>
      </c>
      <c r="E1686" t="inlineStr">
        <is>
          <t>HALMSTAD</t>
        </is>
      </c>
      <c r="G1686" t="n">
        <v>2.4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51300-2021</t>
        </is>
      </c>
      <c r="B1687" s="1" t="n">
        <v>44461</v>
      </c>
      <c r="C1687" s="1" t="n">
        <v>45358</v>
      </c>
      <c r="D1687" t="inlineStr">
        <is>
          <t>HALLANDS LÄN</t>
        </is>
      </c>
      <c r="E1687" t="inlineStr">
        <is>
          <t>HALMSTAD</t>
        </is>
      </c>
      <c r="F1687" t="inlineStr">
        <is>
          <t>Kommuner</t>
        </is>
      </c>
      <c r="G1687" t="n">
        <v>1.4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51059-2021</t>
        </is>
      </c>
      <c r="B1688" s="1" t="n">
        <v>44461</v>
      </c>
      <c r="C1688" s="1" t="n">
        <v>45358</v>
      </c>
      <c r="D1688" t="inlineStr">
        <is>
          <t>HALLANDS LÄN</t>
        </is>
      </c>
      <c r="E1688" t="inlineStr">
        <is>
          <t>KUNGSBACKA</t>
        </is>
      </c>
      <c r="G1688" t="n">
        <v>0.5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51295-2021</t>
        </is>
      </c>
      <c r="B1689" s="1" t="n">
        <v>44461</v>
      </c>
      <c r="C1689" s="1" t="n">
        <v>45358</v>
      </c>
      <c r="D1689" t="inlineStr">
        <is>
          <t>HALLANDS LÄN</t>
        </is>
      </c>
      <c r="E1689" t="inlineStr">
        <is>
          <t>FALKENBERG</t>
        </is>
      </c>
      <c r="G1689" t="n">
        <v>1.2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51535-2021</t>
        </is>
      </c>
      <c r="B1690" s="1" t="n">
        <v>44462</v>
      </c>
      <c r="C1690" s="1" t="n">
        <v>45358</v>
      </c>
      <c r="D1690" t="inlineStr">
        <is>
          <t>HALLANDS LÄN</t>
        </is>
      </c>
      <c r="E1690" t="inlineStr">
        <is>
          <t>KUNGSBACKA</t>
        </is>
      </c>
      <c r="G1690" t="n">
        <v>3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52094-2021</t>
        </is>
      </c>
      <c r="B1691" s="1" t="n">
        <v>44462</v>
      </c>
      <c r="C1691" s="1" t="n">
        <v>45358</v>
      </c>
      <c r="D1691" t="inlineStr">
        <is>
          <t>HALLANDS LÄN</t>
        </is>
      </c>
      <c r="E1691" t="inlineStr">
        <is>
          <t>LAHOLM</t>
        </is>
      </c>
      <c r="G1691" t="n">
        <v>1.9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52168-2021</t>
        </is>
      </c>
      <c r="B1692" s="1" t="n">
        <v>44463</v>
      </c>
      <c r="C1692" s="1" t="n">
        <v>45358</v>
      </c>
      <c r="D1692" t="inlineStr">
        <is>
          <t>HALLANDS LÄN</t>
        </is>
      </c>
      <c r="E1692" t="inlineStr">
        <is>
          <t>LAHOLM</t>
        </is>
      </c>
      <c r="G1692" t="n">
        <v>1.4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52142-2021</t>
        </is>
      </c>
      <c r="B1693" s="1" t="n">
        <v>44463</v>
      </c>
      <c r="C1693" s="1" t="n">
        <v>45358</v>
      </c>
      <c r="D1693" t="inlineStr">
        <is>
          <t>HALLANDS LÄN</t>
        </is>
      </c>
      <c r="E1693" t="inlineStr">
        <is>
          <t>FALKENBERG</t>
        </is>
      </c>
      <c r="G1693" t="n">
        <v>9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52580-2021</t>
        </is>
      </c>
      <c r="B1694" s="1" t="n">
        <v>44466</v>
      </c>
      <c r="C1694" s="1" t="n">
        <v>45358</v>
      </c>
      <c r="D1694" t="inlineStr">
        <is>
          <t>HALLANDS LÄN</t>
        </is>
      </c>
      <c r="E1694" t="inlineStr">
        <is>
          <t>VARBERG</t>
        </is>
      </c>
      <c r="G1694" t="n">
        <v>2.2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52577-2021</t>
        </is>
      </c>
      <c r="B1695" s="1" t="n">
        <v>44466</v>
      </c>
      <c r="C1695" s="1" t="n">
        <v>45358</v>
      </c>
      <c r="D1695" t="inlineStr">
        <is>
          <t>HALLANDS LÄN</t>
        </is>
      </c>
      <c r="E1695" t="inlineStr">
        <is>
          <t>VARBERG</t>
        </is>
      </c>
      <c r="G1695" t="n">
        <v>1.1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52469-2021</t>
        </is>
      </c>
      <c r="B1696" s="1" t="n">
        <v>44466</v>
      </c>
      <c r="C1696" s="1" t="n">
        <v>45358</v>
      </c>
      <c r="D1696" t="inlineStr">
        <is>
          <t>HALLANDS LÄN</t>
        </is>
      </c>
      <c r="E1696" t="inlineStr">
        <is>
          <t>HALMSTAD</t>
        </is>
      </c>
      <c r="G1696" t="n">
        <v>1.6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52504-2021</t>
        </is>
      </c>
      <c r="B1697" s="1" t="n">
        <v>44466</v>
      </c>
      <c r="C1697" s="1" t="n">
        <v>45358</v>
      </c>
      <c r="D1697" t="inlineStr">
        <is>
          <t>HALLANDS LÄN</t>
        </is>
      </c>
      <c r="E1697" t="inlineStr">
        <is>
          <t>FALKENBERG</t>
        </is>
      </c>
      <c r="G1697" t="n">
        <v>1.6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52477-2021</t>
        </is>
      </c>
      <c r="B1698" s="1" t="n">
        <v>44466</v>
      </c>
      <c r="C1698" s="1" t="n">
        <v>45358</v>
      </c>
      <c r="D1698" t="inlineStr">
        <is>
          <t>HALLANDS LÄN</t>
        </is>
      </c>
      <c r="E1698" t="inlineStr">
        <is>
          <t>FALKENBERG</t>
        </is>
      </c>
      <c r="G1698" t="n">
        <v>0.3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52769-2021</t>
        </is>
      </c>
      <c r="B1699" s="1" t="n">
        <v>44467</v>
      </c>
      <c r="C1699" s="1" t="n">
        <v>45358</v>
      </c>
      <c r="D1699" t="inlineStr">
        <is>
          <t>HALLANDS LÄN</t>
        </is>
      </c>
      <c r="E1699" t="inlineStr">
        <is>
          <t>FALKENBERG</t>
        </is>
      </c>
      <c r="G1699" t="n">
        <v>3.6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52772-2021</t>
        </is>
      </c>
      <c r="B1700" s="1" t="n">
        <v>44467</v>
      </c>
      <c r="C1700" s="1" t="n">
        <v>45358</v>
      </c>
      <c r="D1700" t="inlineStr">
        <is>
          <t>HALLANDS LÄN</t>
        </is>
      </c>
      <c r="E1700" t="inlineStr">
        <is>
          <t>FALKENBERG</t>
        </is>
      </c>
      <c r="G1700" t="n">
        <v>0.6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52771-2021</t>
        </is>
      </c>
      <c r="B1701" s="1" t="n">
        <v>44467</v>
      </c>
      <c r="C1701" s="1" t="n">
        <v>45358</v>
      </c>
      <c r="D1701" t="inlineStr">
        <is>
          <t>HALLANDS LÄN</t>
        </is>
      </c>
      <c r="E1701" t="inlineStr">
        <is>
          <t>FALKENBERG</t>
        </is>
      </c>
      <c r="G1701" t="n">
        <v>0.4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53051-2021</t>
        </is>
      </c>
      <c r="B1702" s="1" t="n">
        <v>44467</v>
      </c>
      <c r="C1702" s="1" t="n">
        <v>45358</v>
      </c>
      <c r="D1702" t="inlineStr">
        <is>
          <t>HALLANDS LÄN</t>
        </is>
      </c>
      <c r="E1702" t="inlineStr">
        <is>
          <t>KUNGSBACKA</t>
        </is>
      </c>
      <c r="F1702" t="inlineStr">
        <is>
          <t>Kommuner</t>
        </is>
      </c>
      <c r="G1702" t="n">
        <v>3.5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53076-2021</t>
        </is>
      </c>
      <c r="B1703" s="1" t="n">
        <v>44467</v>
      </c>
      <c r="C1703" s="1" t="n">
        <v>45358</v>
      </c>
      <c r="D1703" t="inlineStr">
        <is>
          <t>HALLANDS LÄN</t>
        </is>
      </c>
      <c r="E1703" t="inlineStr">
        <is>
          <t>FALKENBERG</t>
        </is>
      </c>
      <c r="G1703" t="n">
        <v>0.5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53081-2021</t>
        </is>
      </c>
      <c r="B1704" s="1" t="n">
        <v>44467</v>
      </c>
      <c r="C1704" s="1" t="n">
        <v>45358</v>
      </c>
      <c r="D1704" t="inlineStr">
        <is>
          <t>HALLANDS LÄN</t>
        </is>
      </c>
      <c r="E1704" t="inlineStr">
        <is>
          <t>FALKENBERG</t>
        </is>
      </c>
      <c r="G1704" t="n">
        <v>0.6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52909-2021</t>
        </is>
      </c>
      <c r="B1705" s="1" t="n">
        <v>44467</v>
      </c>
      <c r="C1705" s="1" t="n">
        <v>45358</v>
      </c>
      <c r="D1705" t="inlineStr">
        <is>
          <t>HALLANDS LÄN</t>
        </is>
      </c>
      <c r="E1705" t="inlineStr">
        <is>
          <t>KUNGSBACKA</t>
        </is>
      </c>
      <c r="G1705" t="n">
        <v>2.5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53069-2021</t>
        </is>
      </c>
      <c r="B1706" s="1" t="n">
        <v>44467</v>
      </c>
      <c r="C1706" s="1" t="n">
        <v>45358</v>
      </c>
      <c r="D1706" t="inlineStr">
        <is>
          <t>HALLANDS LÄN</t>
        </is>
      </c>
      <c r="E1706" t="inlineStr">
        <is>
          <t>FALKENBERG</t>
        </is>
      </c>
      <c r="G1706" t="n">
        <v>3.4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53127-2021</t>
        </is>
      </c>
      <c r="B1707" s="1" t="n">
        <v>44468</v>
      </c>
      <c r="C1707" s="1" t="n">
        <v>45358</v>
      </c>
      <c r="D1707" t="inlineStr">
        <is>
          <t>HALLANDS LÄN</t>
        </is>
      </c>
      <c r="E1707" t="inlineStr">
        <is>
          <t>LAHOLM</t>
        </is>
      </c>
      <c r="G1707" t="n">
        <v>1.9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53128-2021</t>
        </is>
      </c>
      <c r="B1708" s="1" t="n">
        <v>44468</v>
      </c>
      <c r="C1708" s="1" t="n">
        <v>45358</v>
      </c>
      <c r="D1708" t="inlineStr">
        <is>
          <t>HALLANDS LÄN</t>
        </is>
      </c>
      <c r="E1708" t="inlineStr">
        <is>
          <t>LAHOLM</t>
        </is>
      </c>
      <c r="G1708" t="n">
        <v>0.6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53378-2021</t>
        </is>
      </c>
      <c r="B1709" s="1" t="n">
        <v>44468</v>
      </c>
      <c r="C1709" s="1" t="n">
        <v>45358</v>
      </c>
      <c r="D1709" t="inlineStr">
        <is>
          <t>HALLANDS LÄN</t>
        </is>
      </c>
      <c r="E1709" t="inlineStr">
        <is>
          <t>KUNGSBACKA</t>
        </is>
      </c>
      <c r="G1709" t="n">
        <v>0.8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53380-2021</t>
        </is>
      </c>
      <c r="B1710" s="1" t="n">
        <v>44468</v>
      </c>
      <c r="C1710" s="1" t="n">
        <v>45358</v>
      </c>
      <c r="D1710" t="inlineStr">
        <is>
          <t>HALLANDS LÄN</t>
        </is>
      </c>
      <c r="E1710" t="inlineStr">
        <is>
          <t>KUNGSBACKA</t>
        </is>
      </c>
      <c r="G1710" t="n">
        <v>0.7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53598-2021</t>
        </is>
      </c>
      <c r="B1711" s="1" t="n">
        <v>44469</v>
      </c>
      <c r="C1711" s="1" t="n">
        <v>45358</v>
      </c>
      <c r="D1711" t="inlineStr">
        <is>
          <t>HALLANDS LÄN</t>
        </is>
      </c>
      <c r="E1711" t="inlineStr">
        <is>
          <t>LAHOLM</t>
        </is>
      </c>
      <c r="G1711" t="n">
        <v>3.6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53584-2021</t>
        </is>
      </c>
      <c r="B1712" s="1" t="n">
        <v>44469</v>
      </c>
      <c r="C1712" s="1" t="n">
        <v>45358</v>
      </c>
      <c r="D1712" t="inlineStr">
        <is>
          <t>HALLANDS LÄN</t>
        </is>
      </c>
      <c r="E1712" t="inlineStr">
        <is>
          <t>HYLTE</t>
        </is>
      </c>
      <c r="G1712" t="n">
        <v>2.1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53615-2021</t>
        </is>
      </c>
      <c r="B1713" s="1" t="n">
        <v>44469</v>
      </c>
      <c r="C1713" s="1" t="n">
        <v>45358</v>
      </c>
      <c r="D1713" t="inlineStr">
        <is>
          <t>HALLANDS LÄN</t>
        </is>
      </c>
      <c r="E1713" t="inlineStr">
        <is>
          <t>HALMSTAD</t>
        </is>
      </c>
      <c r="G1713" t="n">
        <v>1.4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53657-2021</t>
        </is>
      </c>
      <c r="B1714" s="1" t="n">
        <v>44469</v>
      </c>
      <c r="C1714" s="1" t="n">
        <v>45358</v>
      </c>
      <c r="D1714" t="inlineStr">
        <is>
          <t>HALLANDS LÄN</t>
        </is>
      </c>
      <c r="E1714" t="inlineStr">
        <is>
          <t>FALKENBERG</t>
        </is>
      </c>
      <c r="G1714" t="n">
        <v>1.6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53693-2021</t>
        </is>
      </c>
      <c r="B1715" s="1" t="n">
        <v>44469</v>
      </c>
      <c r="C1715" s="1" t="n">
        <v>45358</v>
      </c>
      <c r="D1715" t="inlineStr">
        <is>
          <t>HALLANDS LÄN</t>
        </is>
      </c>
      <c r="E1715" t="inlineStr">
        <is>
          <t>LAHOLM</t>
        </is>
      </c>
      <c r="G1715" t="n">
        <v>1.8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53815-2021</t>
        </is>
      </c>
      <c r="B1716" s="1" t="n">
        <v>44469</v>
      </c>
      <c r="C1716" s="1" t="n">
        <v>45358</v>
      </c>
      <c r="D1716" t="inlineStr">
        <is>
          <t>HALLANDS LÄN</t>
        </is>
      </c>
      <c r="E1716" t="inlineStr">
        <is>
          <t>HYLTE</t>
        </is>
      </c>
      <c r="G1716" t="n">
        <v>1.1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53939-2021</t>
        </is>
      </c>
      <c r="B1717" s="1" t="n">
        <v>44469</v>
      </c>
      <c r="C1717" s="1" t="n">
        <v>45358</v>
      </c>
      <c r="D1717" t="inlineStr">
        <is>
          <t>HALLANDS LÄN</t>
        </is>
      </c>
      <c r="E1717" t="inlineStr">
        <is>
          <t>FALKENBERG</t>
        </is>
      </c>
      <c r="G1717" t="n">
        <v>0.2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53813-2021</t>
        </is>
      </c>
      <c r="B1718" s="1" t="n">
        <v>44469</v>
      </c>
      <c r="C1718" s="1" t="n">
        <v>45358</v>
      </c>
      <c r="D1718" t="inlineStr">
        <is>
          <t>HALLANDS LÄN</t>
        </is>
      </c>
      <c r="E1718" t="inlineStr">
        <is>
          <t>HYLTE</t>
        </is>
      </c>
      <c r="G1718" t="n">
        <v>0.5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53941-2021</t>
        </is>
      </c>
      <c r="B1719" s="1" t="n">
        <v>44469</v>
      </c>
      <c r="C1719" s="1" t="n">
        <v>45358</v>
      </c>
      <c r="D1719" t="inlineStr">
        <is>
          <t>HALLANDS LÄN</t>
        </is>
      </c>
      <c r="E1719" t="inlineStr">
        <is>
          <t>LAHOLM</t>
        </is>
      </c>
      <c r="G1719" t="n">
        <v>2.5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54048-2021</t>
        </is>
      </c>
      <c r="B1720" s="1" t="n">
        <v>44470</v>
      </c>
      <c r="C1720" s="1" t="n">
        <v>45358</v>
      </c>
      <c r="D1720" t="inlineStr">
        <is>
          <t>HALLANDS LÄN</t>
        </is>
      </c>
      <c r="E1720" t="inlineStr">
        <is>
          <t>VARBERG</t>
        </is>
      </c>
      <c r="G1720" t="n">
        <v>1.9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54105-2021</t>
        </is>
      </c>
      <c r="B1721" s="1" t="n">
        <v>44470</v>
      </c>
      <c r="C1721" s="1" t="n">
        <v>45358</v>
      </c>
      <c r="D1721" t="inlineStr">
        <is>
          <t>HALLANDS LÄN</t>
        </is>
      </c>
      <c r="E1721" t="inlineStr">
        <is>
          <t>HALMSTAD</t>
        </is>
      </c>
      <c r="G1721" t="n">
        <v>1.6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54114-2021</t>
        </is>
      </c>
      <c r="B1722" s="1" t="n">
        <v>44470</v>
      </c>
      <c r="C1722" s="1" t="n">
        <v>45358</v>
      </c>
      <c r="D1722" t="inlineStr">
        <is>
          <t>HALLANDS LÄN</t>
        </is>
      </c>
      <c r="E1722" t="inlineStr">
        <is>
          <t>HALMSTAD</t>
        </is>
      </c>
      <c r="G1722" t="n">
        <v>2.5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54111-2021</t>
        </is>
      </c>
      <c r="B1723" s="1" t="n">
        <v>44470</v>
      </c>
      <c r="C1723" s="1" t="n">
        <v>45358</v>
      </c>
      <c r="D1723" t="inlineStr">
        <is>
          <t>HALLANDS LÄN</t>
        </is>
      </c>
      <c r="E1723" t="inlineStr">
        <is>
          <t>HALMSTAD</t>
        </is>
      </c>
      <c r="G1723" t="n">
        <v>0.6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54118-2021</t>
        </is>
      </c>
      <c r="B1724" s="1" t="n">
        <v>44470</v>
      </c>
      <c r="C1724" s="1" t="n">
        <v>45358</v>
      </c>
      <c r="D1724" t="inlineStr">
        <is>
          <t>HALLANDS LÄN</t>
        </is>
      </c>
      <c r="E1724" t="inlineStr">
        <is>
          <t>HALMSTAD</t>
        </is>
      </c>
      <c r="G1724" t="n">
        <v>6.1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54248-2021</t>
        </is>
      </c>
      <c r="B1725" s="1" t="n">
        <v>44470</v>
      </c>
      <c r="C1725" s="1" t="n">
        <v>45358</v>
      </c>
      <c r="D1725" t="inlineStr">
        <is>
          <t>HALLANDS LÄN</t>
        </is>
      </c>
      <c r="E1725" t="inlineStr">
        <is>
          <t>VARBERG</t>
        </is>
      </c>
      <c r="G1725" t="n">
        <v>1.3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54290-2021</t>
        </is>
      </c>
      <c r="B1726" s="1" t="n">
        <v>44471</v>
      </c>
      <c r="C1726" s="1" t="n">
        <v>45358</v>
      </c>
      <c r="D1726" t="inlineStr">
        <is>
          <t>HALLANDS LÄN</t>
        </is>
      </c>
      <c r="E1726" t="inlineStr">
        <is>
          <t>FALKENBERG</t>
        </is>
      </c>
      <c r="G1726" t="n">
        <v>6.4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54342-2021</t>
        </is>
      </c>
      <c r="B1727" s="1" t="n">
        <v>44473</v>
      </c>
      <c r="C1727" s="1" t="n">
        <v>45358</v>
      </c>
      <c r="D1727" t="inlineStr">
        <is>
          <t>HALLANDS LÄN</t>
        </is>
      </c>
      <c r="E1727" t="inlineStr">
        <is>
          <t>VARBERG</t>
        </is>
      </c>
      <c r="G1727" t="n">
        <v>1.3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54646-2021</t>
        </is>
      </c>
      <c r="B1728" s="1" t="n">
        <v>44473</v>
      </c>
      <c r="C1728" s="1" t="n">
        <v>45358</v>
      </c>
      <c r="D1728" t="inlineStr">
        <is>
          <t>HALLANDS LÄN</t>
        </is>
      </c>
      <c r="E1728" t="inlineStr">
        <is>
          <t>LAHOLM</t>
        </is>
      </c>
      <c r="G1728" t="n">
        <v>1.1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55025-2021</t>
        </is>
      </c>
      <c r="B1729" s="1" t="n">
        <v>44474</v>
      </c>
      <c r="C1729" s="1" t="n">
        <v>45358</v>
      </c>
      <c r="D1729" t="inlineStr">
        <is>
          <t>HALLANDS LÄN</t>
        </is>
      </c>
      <c r="E1729" t="inlineStr">
        <is>
          <t>HALMSTAD</t>
        </is>
      </c>
      <c r="G1729" t="n">
        <v>4.6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54838-2021</t>
        </is>
      </c>
      <c r="B1730" s="1" t="n">
        <v>44474</v>
      </c>
      <c r="C1730" s="1" t="n">
        <v>45358</v>
      </c>
      <c r="D1730" t="inlineStr">
        <is>
          <t>HALLANDS LÄN</t>
        </is>
      </c>
      <c r="E1730" t="inlineStr">
        <is>
          <t>HALMSTAD</t>
        </is>
      </c>
      <c r="G1730" t="n">
        <v>1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54931-2021</t>
        </is>
      </c>
      <c r="B1731" s="1" t="n">
        <v>44474</v>
      </c>
      <c r="C1731" s="1" t="n">
        <v>45358</v>
      </c>
      <c r="D1731" t="inlineStr">
        <is>
          <t>HALLANDS LÄN</t>
        </is>
      </c>
      <c r="E1731" t="inlineStr">
        <is>
          <t>LAHOLM</t>
        </is>
      </c>
      <c r="G1731" t="n">
        <v>0.7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55183-2021</t>
        </is>
      </c>
      <c r="B1732" s="1" t="n">
        <v>44475</v>
      </c>
      <c r="C1732" s="1" t="n">
        <v>45358</v>
      </c>
      <c r="D1732" t="inlineStr">
        <is>
          <t>HALLANDS LÄN</t>
        </is>
      </c>
      <c r="E1732" t="inlineStr">
        <is>
          <t>HALMSTAD</t>
        </is>
      </c>
      <c r="G1732" t="n">
        <v>0.7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55248-2021</t>
        </is>
      </c>
      <c r="B1733" s="1" t="n">
        <v>44475</v>
      </c>
      <c r="C1733" s="1" t="n">
        <v>45358</v>
      </c>
      <c r="D1733" t="inlineStr">
        <is>
          <t>HALLANDS LÄN</t>
        </is>
      </c>
      <c r="E1733" t="inlineStr">
        <is>
          <t>HYLTE</t>
        </is>
      </c>
      <c r="G1733" t="n">
        <v>1.9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55261-2021</t>
        </is>
      </c>
      <c r="B1734" s="1" t="n">
        <v>44475</v>
      </c>
      <c r="C1734" s="1" t="n">
        <v>45358</v>
      </c>
      <c r="D1734" t="inlineStr">
        <is>
          <t>HALLANDS LÄN</t>
        </is>
      </c>
      <c r="E1734" t="inlineStr">
        <is>
          <t>HYLTE</t>
        </is>
      </c>
      <c r="G1734" t="n">
        <v>0.8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55477-2021</t>
        </is>
      </c>
      <c r="B1735" s="1" t="n">
        <v>44475</v>
      </c>
      <c r="C1735" s="1" t="n">
        <v>45358</v>
      </c>
      <c r="D1735" t="inlineStr">
        <is>
          <t>HALLANDS LÄN</t>
        </is>
      </c>
      <c r="E1735" t="inlineStr">
        <is>
          <t>KUNGSBACKA</t>
        </is>
      </c>
      <c r="G1735" t="n">
        <v>0.8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55792-2021</t>
        </is>
      </c>
      <c r="B1736" s="1" t="n">
        <v>44476</v>
      </c>
      <c r="C1736" s="1" t="n">
        <v>45358</v>
      </c>
      <c r="D1736" t="inlineStr">
        <is>
          <t>HALLANDS LÄN</t>
        </is>
      </c>
      <c r="E1736" t="inlineStr">
        <is>
          <t>HYLTE</t>
        </is>
      </c>
      <c r="G1736" t="n">
        <v>1.1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55750-2021</t>
        </is>
      </c>
      <c r="B1737" s="1" t="n">
        <v>44476</v>
      </c>
      <c r="C1737" s="1" t="n">
        <v>45358</v>
      </c>
      <c r="D1737" t="inlineStr">
        <is>
          <t>HALLANDS LÄN</t>
        </is>
      </c>
      <c r="E1737" t="inlineStr">
        <is>
          <t>HYLTE</t>
        </is>
      </c>
      <c r="G1737" t="n">
        <v>0.8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56422-2021</t>
        </is>
      </c>
      <c r="B1738" s="1" t="n">
        <v>44477</v>
      </c>
      <c r="C1738" s="1" t="n">
        <v>45358</v>
      </c>
      <c r="D1738" t="inlineStr">
        <is>
          <t>HALLANDS LÄN</t>
        </is>
      </c>
      <c r="E1738" t="inlineStr">
        <is>
          <t>HYLTE</t>
        </is>
      </c>
      <c r="G1738" t="n">
        <v>2.3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56034-2021</t>
        </is>
      </c>
      <c r="B1739" s="1" t="n">
        <v>44477</v>
      </c>
      <c r="C1739" s="1" t="n">
        <v>45358</v>
      </c>
      <c r="D1739" t="inlineStr">
        <is>
          <t>HALLANDS LÄN</t>
        </is>
      </c>
      <c r="E1739" t="inlineStr">
        <is>
          <t>HYLTE</t>
        </is>
      </c>
      <c r="G1739" t="n">
        <v>0.5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56441-2021</t>
        </is>
      </c>
      <c r="B1740" s="1" t="n">
        <v>44477</v>
      </c>
      <c r="C1740" s="1" t="n">
        <v>45358</v>
      </c>
      <c r="D1740" t="inlineStr">
        <is>
          <t>HALLANDS LÄN</t>
        </is>
      </c>
      <c r="E1740" t="inlineStr">
        <is>
          <t>HYLTE</t>
        </is>
      </c>
      <c r="G1740" t="n">
        <v>3.5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56554-2021</t>
        </is>
      </c>
      <c r="B1741" s="1" t="n">
        <v>44480</v>
      </c>
      <c r="C1741" s="1" t="n">
        <v>45358</v>
      </c>
      <c r="D1741" t="inlineStr">
        <is>
          <t>HALLANDS LÄN</t>
        </is>
      </c>
      <c r="E1741" t="inlineStr">
        <is>
          <t>HYLTE</t>
        </is>
      </c>
      <c r="G1741" t="n">
        <v>3.6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56631-2021</t>
        </is>
      </c>
      <c r="B1742" s="1" t="n">
        <v>44480</v>
      </c>
      <c r="C1742" s="1" t="n">
        <v>45358</v>
      </c>
      <c r="D1742" t="inlineStr">
        <is>
          <t>HALLANDS LÄN</t>
        </is>
      </c>
      <c r="E1742" t="inlineStr">
        <is>
          <t>VARBERG</t>
        </is>
      </c>
      <c r="G1742" t="n">
        <v>5.1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56775-2021</t>
        </is>
      </c>
      <c r="B1743" s="1" t="n">
        <v>44481</v>
      </c>
      <c r="C1743" s="1" t="n">
        <v>45358</v>
      </c>
      <c r="D1743" t="inlineStr">
        <is>
          <t>HALLANDS LÄN</t>
        </is>
      </c>
      <c r="E1743" t="inlineStr">
        <is>
          <t>FALKENBERG</t>
        </is>
      </c>
      <c r="G1743" t="n">
        <v>1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56806-2021</t>
        </is>
      </c>
      <c r="B1744" s="1" t="n">
        <v>44481</v>
      </c>
      <c r="C1744" s="1" t="n">
        <v>45358</v>
      </c>
      <c r="D1744" t="inlineStr">
        <is>
          <t>HALLANDS LÄN</t>
        </is>
      </c>
      <c r="E1744" t="inlineStr">
        <is>
          <t>HYLTE</t>
        </is>
      </c>
      <c r="G1744" t="n">
        <v>0.9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56853-2021</t>
        </is>
      </c>
      <c r="B1745" s="1" t="n">
        <v>44481</v>
      </c>
      <c r="C1745" s="1" t="n">
        <v>45358</v>
      </c>
      <c r="D1745" t="inlineStr">
        <is>
          <t>HALLANDS LÄN</t>
        </is>
      </c>
      <c r="E1745" t="inlineStr">
        <is>
          <t>VARBERG</t>
        </is>
      </c>
      <c r="G1745" t="n">
        <v>1.8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56804-2021</t>
        </is>
      </c>
      <c r="B1746" s="1" t="n">
        <v>44481</v>
      </c>
      <c r="C1746" s="1" t="n">
        <v>45358</v>
      </c>
      <c r="D1746" t="inlineStr">
        <is>
          <t>HALLANDS LÄN</t>
        </is>
      </c>
      <c r="E1746" t="inlineStr">
        <is>
          <t>HYLTE</t>
        </is>
      </c>
      <c r="G1746" t="n">
        <v>0.8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57016-2021</t>
        </is>
      </c>
      <c r="B1747" s="1" t="n">
        <v>44482</v>
      </c>
      <c r="C1747" s="1" t="n">
        <v>45358</v>
      </c>
      <c r="D1747" t="inlineStr">
        <is>
          <t>HALLANDS LÄN</t>
        </is>
      </c>
      <c r="E1747" t="inlineStr">
        <is>
          <t>HYLTE</t>
        </is>
      </c>
      <c r="G1747" t="n">
        <v>1.6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57031-2021</t>
        </is>
      </c>
      <c r="B1748" s="1" t="n">
        <v>44482</v>
      </c>
      <c r="C1748" s="1" t="n">
        <v>45358</v>
      </c>
      <c r="D1748" t="inlineStr">
        <is>
          <t>HALLANDS LÄN</t>
        </is>
      </c>
      <c r="E1748" t="inlineStr">
        <is>
          <t>HALMSTAD</t>
        </is>
      </c>
      <c r="G1748" t="n">
        <v>0.9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57037-2021</t>
        </is>
      </c>
      <c r="B1749" s="1" t="n">
        <v>44482</v>
      </c>
      <c r="C1749" s="1" t="n">
        <v>45358</v>
      </c>
      <c r="D1749" t="inlineStr">
        <is>
          <t>HALLANDS LÄN</t>
        </is>
      </c>
      <c r="E1749" t="inlineStr">
        <is>
          <t>HALMSTAD</t>
        </is>
      </c>
      <c r="G1749" t="n">
        <v>2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57006-2021</t>
        </is>
      </c>
      <c r="B1750" s="1" t="n">
        <v>44482</v>
      </c>
      <c r="C1750" s="1" t="n">
        <v>45358</v>
      </c>
      <c r="D1750" t="inlineStr">
        <is>
          <t>HALLANDS LÄN</t>
        </is>
      </c>
      <c r="E1750" t="inlineStr">
        <is>
          <t>HYLTE</t>
        </is>
      </c>
      <c r="G1750" t="n">
        <v>1.4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57013-2021</t>
        </is>
      </c>
      <c r="B1751" s="1" t="n">
        <v>44482</v>
      </c>
      <c r="C1751" s="1" t="n">
        <v>45358</v>
      </c>
      <c r="D1751" t="inlineStr">
        <is>
          <t>HALLANDS LÄN</t>
        </is>
      </c>
      <c r="E1751" t="inlineStr">
        <is>
          <t>HALMSTAD</t>
        </is>
      </c>
      <c r="G1751" t="n">
        <v>1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57021-2021</t>
        </is>
      </c>
      <c r="B1752" s="1" t="n">
        <v>44482</v>
      </c>
      <c r="C1752" s="1" t="n">
        <v>45358</v>
      </c>
      <c r="D1752" t="inlineStr">
        <is>
          <t>HALLANDS LÄN</t>
        </is>
      </c>
      <c r="E1752" t="inlineStr">
        <is>
          <t>HALMSTAD</t>
        </is>
      </c>
      <c r="G1752" t="n">
        <v>9.300000000000001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57034-2021</t>
        </is>
      </c>
      <c r="B1753" s="1" t="n">
        <v>44482</v>
      </c>
      <c r="C1753" s="1" t="n">
        <v>45358</v>
      </c>
      <c r="D1753" t="inlineStr">
        <is>
          <t>HALLANDS LÄN</t>
        </is>
      </c>
      <c r="E1753" t="inlineStr">
        <is>
          <t>KUNGSBACKA</t>
        </is>
      </c>
      <c r="G1753" t="n">
        <v>1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57015-2021</t>
        </is>
      </c>
      <c r="B1754" s="1" t="n">
        <v>44482</v>
      </c>
      <c r="C1754" s="1" t="n">
        <v>45358</v>
      </c>
      <c r="D1754" t="inlineStr">
        <is>
          <t>HALLANDS LÄN</t>
        </is>
      </c>
      <c r="E1754" t="inlineStr">
        <is>
          <t>HYLTE</t>
        </is>
      </c>
      <c r="G1754" t="n">
        <v>0.7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57025-2021</t>
        </is>
      </c>
      <c r="B1755" s="1" t="n">
        <v>44482</v>
      </c>
      <c r="C1755" s="1" t="n">
        <v>45358</v>
      </c>
      <c r="D1755" t="inlineStr">
        <is>
          <t>HALLANDS LÄN</t>
        </is>
      </c>
      <c r="E1755" t="inlineStr">
        <is>
          <t>HALMSTAD</t>
        </is>
      </c>
      <c r="G1755" t="n">
        <v>5.6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57089-2021</t>
        </is>
      </c>
      <c r="B1756" s="1" t="n">
        <v>44482</v>
      </c>
      <c r="C1756" s="1" t="n">
        <v>45358</v>
      </c>
      <c r="D1756" t="inlineStr">
        <is>
          <t>HALLANDS LÄN</t>
        </is>
      </c>
      <c r="E1756" t="inlineStr">
        <is>
          <t>HYLTE</t>
        </is>
      </c>
      <c r="G1756" t="n">
        <v>5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57327-2021</t>
        </is>
      </c>
      <c r="B1757" s="1" t="n">
        <v>44483</v>
      </c>
      <c r="C1757" s="1" t="n">
        <v>45358</v>
      </c>
      <c r="D1757" t="inlineStr">
        <is>
          <t>HALLANDS LÄN</t>
        </is>
      </c>
      <c r="E1757" t="inlineStr">
        <is>
          <t>LAHOLM</t>
        </is>
      </c>
      <c r="G1757" t="n">
        <v>1.5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57267-2021</t>
        </is>
      </c>
      <c r="B1758" s="1" t="n">
        <v>44483</v>
      </c>
      <c r="C1758" s="1" t="n">
        <v>45358</v>
      </c>
      <c r="D1758" t="inlineStr">
        <is>
          <t>HALLANDS LÄN</t>
        </is>
      </c>
      <c r="E1758" t="inlineStr">
        <is>
          <t>LAHOLM</t>
        </is>
      </c>
      <c r="G1758" t="n">
        <v>0.7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57437-2021</t>
        </is>
      </c>
      <c r="B1759" s="1" t="n">
        <v>44483</v>
      </c>
      <c r="C1759" s="1" t="n">
        <v>45358</v>
      </c>
      <c r="D1759" t="inlineStr">
        <is>
          <t>HALLANDS LÄN</t>
        </is>
      </c>
      <c r="E1759" t="inlineStr">
        <is>
          <t>HYLTE</t>
        </is>
      </c>
      <c r="G1759" t="n">
        <v>2.2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57320-2021</t>
        </is>
      </c>
      <c r="B1760" s="1" t="n">
        <v>44483</v>
      </c>
      <c r="C1760" s="1" t="n">
        <v>45358</v>
      </c>
      <c r="D1760" t="inlineStr">
        <is>
          <t>HALLANDS LÄN</t>
        </is>
      </c>
      <c r="E1760" t="inlineStr">
        <is>
          <t>LAHOLM</t>
        </is>
      </c>
      <c r="G1760" t="n">
        <v>5.8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57383-2021</t>
        </is>
      </c>
      <c r="B1761" s="1" t="n">
        <v>44483</v>
      </c>
      <c r="C1761" s="1" t="n">
        <v>45358</v>
      </c>
      <c r="D1761" t="inlineStr">
        <is>
          <t>HALLANDS LÄN</t>
        </is>
      </c>
      <c r="E1761" t="inlineStr">
        <is>
          <t>HYLTE</t>
        </is>
      </c>
      <c r="G1761" t="n">
        <v>1.8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57334-2021</t>
        </is>
      </c>
      <c r="B1762" s="1" t="n">
        <v>44483</v>
      </c>
      <c r="C1762" s="1" t="n">
        <v>45358</v>
      </c>
      <c r="D1762" t="inlineStr">
        <is>
          <t>HALLANDS LÄN</t>
        </is>
      </c>
      <c r="E1762" t="inlineStr">
        <is>
          <t>LAHOLM</t>
        </is>
      </c>
      <c r="G1762" t="n">
        <v>0.4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57397-2021</t>
        </is>
      </c>
      <c r="B1763" s="1" t="n">
        <v>44483</v>
      </c>
      <c r="C1763" s="1" t="n">
        <v>45358</v>
      </c>
      <c r="D1763" t="inlineStr">
        <is>
          <t>HALLANDS LÄN</t>
        </is>
      </c>
      <c r="E1763" t="inlineStr">
        <is>
          <t>HYLTE</t>
        </is>
      </c>
      <c r="G1763" t="n">
        <v>1.1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57439-2021</t>
        </is>
      </c>
      <c r="B1764" s="1" t="n">
        <v>44483</v>
      </c>
      <c r="C1764" s="1" t="n">
        <v>45358</v>
      </c>
      <c r="D1764" t="inlineStr">
        <is>
          <t>HALLANDS LÄN</t>
        </is>
      </c>
      <c r="E1764" t="inlineStr">
        <is>
          <t>HYLTE</t>
        </is>
      </c>
      <c r="G1764" t="n">
        <v>0.6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57701-2021</t>
        </is>
      </c>
      <c r="B1765" s="1" t="n">
        <v>44484</v>
      </c>
      <c r="C1765" s="1" t="n">
        <v>45358</v>
      </c>
      <c r="D1765" t="inlineStr">
        <is>
          <t>HALLANDS LÄN</t>
        </is>
      </c>
      <c r="E1765" t="inlineStr">
        <is>
          <t>LAHOLM</t>
        </is>
      </c>
      <c r="G1765" t="n">
        <v>0.8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58051-2021</t>
        </is>
      </c>
      <c r="B1766" s="1" t="n">
        <v>44487</v>
      </c>
      <c r="C1766" s="1" t="n">
        <v>45358</v>
      </c>
      <c r="D1766" t="inlineStr">
        <is>
          <t>HALLANDS LÄN</t>
        </is>
      </c>
      <c r="E1766" t="inlineStr">
        <is>
          <t>HYLTE</t>
        </is>
      </c>
      <c r="F1766" t="inlineStr">
        <is>
          <t>Bergvik skog väst AB</t>
        </is>
      </c>
      <c r="G1766" t="n">
        <v>3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58045-2021</t>
        </is>
      </c>
      <c r="B1767" s="1" t="n">
        <v>44487</v>
      </c>
      <c r="C1767" s="1" t="n">
        <v>45358</v>
      </c>
      <c r="D1767" t="inlineStr">
        <is>
          <t>HALLANDS LÄN</t>
        </is>
      </c>
      <c r="E1767" t="inlineStr">
        <is>
          <t>HYLTE</t>
        </is>
      </c>
      <c r="F1767" t="inlineStr">
        <is>
          <t>Bergvik skog väst AB</t>
        </is>
      </c>
      <c r="G1767" t="n">
        <v>5.2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58118-2021</t>
        </is>
      </c>
      <c r="B1768" s="1" t="n">
        <v>44487</v>
      </c>
      <c r="C1768" s="1" t="n">
        <v>45358</v>
      </c>
      <c r="D1768" t="inlineStr">
        <is>
          <t>HALLANDS LÄN</t>
        </is>
      </c>
      <c r="E1768" t="inlineStr">
        <is>
          <t>KUNGSBACKA</t>
        </is>
      </c>
      <c r="G1768" t="n">
        <v>0.5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58248-2021</t>
        </is>
      </c>
      <c r="B1769" s="1" t="n">
        <v>44488</v>
      </c>
      <c r="C1769" s="1" t="n">
        <v>45358</v>
      </c>
      <c r="D1769" t="inlineStr">
        <is>
          <t>HALLANDS LÄN</t>
        </is>
      </c>
      <c r="E1769" t="inlineStr">
        <is>
          <t>HYLTE</t>
        </is>
      </c>
      <c r="G1769" t="n">
        <v>0.9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58499-2021</t>
        </is>
      </c>
      <c r="B1770" s="1" t="n">
        <v>44488</v>
      </c>
      <c r="C1770" s="1" t="n">
        <v>45358</v>
      </c>
      <c r="D1770" t="inlineStr">
        <is>
          <t>HALLANDS LÄN</t>
        </is>
      </c>
      <c r="E1770" t="inlineStr">
        <is>
          <t>HYLTE</t>
        </is>
      </c>
      <c r="G1770" t="n">
        <v>1.4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58678-2021</t>
        </is>
      </c>
      <c r="B1771" s="1" t="n">
        <v>44489</v>
      </c>
      <c r="C1771" s="1" t="n">
        <v>45358</v>
      </c>
      <c r="D1771" t="inlineStr">
        <is>
          <t>HALLANDS LÄN</t>
        </is>
      </c>
      <c r="E1771" t="inlineStr">
        <is>
          <t>KUNGSBACKA</t>
        </is>
      </c>
      <c r="F1771" t="inlineStr">
        <is>
          <t>Sveaskog</t>
        </is>
      </c>
      <c r="G1771" t="n">
        <v>10.2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58841-2021</t>
        </is>
      </c>
      <c r="B1772" s="1" t="n">
        <v>44489</v>
      </c>
      <c r="C1772" s="1" t="n">
        <v>45358</v>
      </c>
      <c r="D1772" t="inlineStr">
        <is>
          <t>HALLANDS LÄN</t>
        </is>
      </c>
      <c r="E1772" t="inlineStr">
        <is>
          <t>HYLTE</t>
        </is>
      </c>
      <c r="G1772" t="n">
        <v>2.1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58836-2021</t>
        </is>
      </c>
      <c r="B1773" s="1" t="n">
        <v>44489</v>
      </c>
      <c r="C1773" s="1" t="n">
        <v>45358</v>
      </c>
      <c r="D1773" t="inlineStr">
        <is>
          <t>HALLANDS LÄN</t>
        </is>
      </c>
      <c r="E1773" t="inlineStr">
        <is>
          <t>HYLTE</t>
        </is>
      </c>
      <c r="G1773" t="n">
        <v>3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58843-2021</t>
        </is>
      </c>
      <c r="B1774" s="1" t="n">
        <v>44489</v>
      </c>
      <c r="C1774" s="1" t="n">
        <v>45358</v>
      </c>
      <c r="D1774" t="inlineStr">
        <is>
          <t>HALLANDS LÄN</t>
        </is>
      </c>
      <c r="E1774" t="inlineStr">
        <is>
          <t>HYLTE</t>
        </is>
      </c>
      <c r="G1774" t="n">
        <v>1.8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58833-2021</t>
        </is>
      </c>
      <c r="B1775" s="1" t="n">
        <v>44489</v>
      </c>
      <c r="C1775" s="1" t="n">
        <v>45358</v>
      </c>
      <c r="D1775" t="inlineStr">
        <is>
          <t>HALLANDS LÄN</t>
        </is>
      </c>
      <c r="E1775" t="inlineStr">
        <is>
          <t>FALKENBERG</t>
        </is>
      </c>
      <c r="G1775" t="n">
        <v>1.5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59429-2021</t>
        </is>
      </c>
      <c r="B1776" s="1" t="n">
        <v>44491</v>
      </c>
      <c r="C1776" s="1" t="n">
        <v>45358</v>
      </c>
      <c r="D1776" t="inlineStr">
        <is>
          <t>HALLANDS LÄN</t>
        </is>
      </c>
      <c r="E1776" t="inlineStr">
        <is>
          <t>LAHOLM</t>
        </is>
      </c>
      <c r="G1776" t="n">
        <v>1.9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59576-2021</t>
        </is>
      </c>
      <c r="B1777" s="1" t="n">
        <v>44491</v>
      </c>
      <c r="C1777" s="1" t="n">
        <v>45358</v>
      </c>
      <c r="D1777" t="inlineStr">
        <is>
          <t>HALLANDS LÄN</t>
        </is>
      </c>
      <c r="E1777" t="inlineStr">
        <is>
          <t>LAHOLM</t>
        </is>
      </c>
      <c r="F1777" t="inlineStr">
        <is>
          <t>Övriga statliga verk och myndigheter</t>
        </is>
      </c>
      <c r="G1777" t="n">
        <v>3.6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59644-2021</t>
        </is>
      </c>
      <c r="B1778" s="1" t="n">
        <v>44493</v>
      </c>
      <c r="C1778" s="1" t="n">
        <v>45358</v>
      </c>
      <c r="D1778" t="inlineStr">
        <is>
          <t>HALLANDS LÄN</t>
        </is>
      </c>
      <c r="E1778" t="inlineStr">
        <is>
          <t>VARBERG</t>
        </is>
      </c>
      <c r="G1778" t="n">
        <v>1.3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59645-2021</t>
        </is>
      </c>
      <c r="B1779" s="1" t="n">
        <v>44493</v>
      </c>
      <c r="C1779" s="1" t="n">
        <v>45358</v>
      </c>
      <c r="D1779" t="inlineStr">
        <is>
          <t>HALLANDS LÄN</t>
        </is>
      </c>
      <c r="E1779" t="inlineStr">
        <is>
          <t>VARBERG</t>
        </is>
      </c>
      <c r="G1779" t="n">
        <v>2.3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59922-2021</t>
        </is>
      </c>
      <c r="B1780" s="1" t="n">
        <v>44494</v>
      </c>
      <c r="C1780" s="1" t="n">
        <v>45358</v>
      </c>
      <c r="D1780" t="inlineStr">
        <is>
          <t>HALLANDS LÄN</t>
        </is>
      </c>
      <c r="E1780" t="inlineStr">
        <is>
          <t>HALMSTAD</t>
        </is>
      </c>
      <c r="G1780" t="n">
        <v>0.5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59948-2021</t>
        </is>
      </c>
      <c r="B1781" s="1" t="n">
        <v>44494</v>
      </c>
      <c r="C1781" s="1" t="n">
        <v>45358</v>
      </c>
      <c r="D1781" t="inlineStr">
        <is>
          <t>HALLANDS LÄN</t>
        </is>
      </c>
      <c r="E1781" t="inlineStr">
        <is>
          <t>HYLTE</t>
        </is>
      </c>
      <c r="G1781" t="n">
        <v>3.9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60211-2021</t>
        </is>
      </c>
      <c r="B1782" s="1" t="n">
        <v>44495</v>
      </c>
      <c r="C1782" s="1" t="n">
        <v>45358</v>
      </c>
      <c r="D1782" t="inlineStr">
        <is>
          <t>HALLANDS LÄN</t>
        </is>
      </c>
      <c r="E1782" t="inlineStr">
        <is>
          <t>HYLTE</t>
        </is>
      </c>
      <c r="G1782" t="n">
        <v>5.1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60196-2021</t>
        </is>
      </c>
      <c r="B1783" s="1" t="n">
        <v>44495</v>
      </c>
      <c r="C1783" s="1" t="n">
        <v>45358</v>
      </c>
      <c r="D1783" t="inlineStr">
        <is>
          <t>HALLANDS LÄN</t>
        </is>
      </c>
      <c r="E1783" t="inlineStr">
        <is>
          <t>HYLTE</t>
        </is>
      </c>
      <c r="G1783" t="n">
        <v>1.4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60221-2021</t>
        </is>
      </c>
      <c r="B1784" s="1" t="n">
        <v>44495</v>
      </c>
      <c r="C1784" s="1" t="n">
        <v>45358</v>
      </c>
      <c r="D1784" t="inlineStr">
        <is>
          <t>HALLANDS LÄN</t>
        </is>
      </c>
      <c r="E1784" t="inlineStr">
        <is>
          <t>HYLTE</t>
        </is>
      </c>
      <c r="G1784" t="n">
        <v>1.1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61226-2021</t>
        </is>
      </c>
      <c r="B1785" s="1" t="n">
        <v>44498</v>
      </c>
      <c r="C1785" s="1" t="n">
        <v>45358</v>
      </c>
      <c r="D1785" t="inlineStr">
        <is>
          <t>HALLANDS LÄN</t>
        </is>
      </c>
      <c r="E1785" t="inlineStr">
        <is>
          <t>HYLTE</t>
        </is>
      </c>
      <c r="G1785" t="n">
        <v>0.5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61380-2021</t>
        </is>
      </c>
      <c r="B1786" s="1" t="n">
        <v>44500</v>
      </c>
      <c r="C1786" s="1" t="n">
        <v>45358</v>
      </c>
      <c r="D1786" t="inlineStr">
        <is>
          <t>HALLANDS LÄN</t>
        </is>
      </c>
      <c r="E1786" t="inlineStr">
        <is>
          <t>HYLTE</t>
        </is>
      </c>
      <c r="G1786" t="n">
        <v>1.2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61681-2021</t>
        </is>
      </c>
      <c r="B1787" s="1" t="n">
        <v>44501</v>
      </c>
      <c r="C1787" s="1" t="n">
        <v>45358</v>
      </c>
      <c r="D1787" t="inlineStr">
        <is>
          <t>HALLANDS LÄN</t>
        </is>
      </c>
      <c r="E1787" t="inlineStr">
        <is>
          <t>HYLTE</t>
        </is>
      </c>
      <c r="G1787" t="n">
        <v>1.9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61785-2021</t>
        </is>
      </c>
      <c r="B1788" s="1" t="n">
        <v>44501</v>
      </c>
      <c r="C1788" s="1" t="n">
        <v>45358</v>
      </c>
      <c r="D1788" t="inlineStr">
        <is>
          <t>HALLANDS LÄN</t>
        </is>
      </c>
      <c r="E1788" t="inlineStr">
        <is>
          <t>LAHOLM</t>
        </is>
      </c>
      <c r="G1788" t="n">
        <v>0.5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61711-2021</t>
        </is>
      </c>
      <c r="B1789" s="1" t="n">
        <v>44501</v>
      </c>
      <c r="C1789" s="1" t="n">
        <v>45358</v>
      </c>
      <c r="D1789" t="inlineStr">
        <is>
          <t>HALLANDS LÄN</t>
        </is>
      </c>
      <c r="E1789" t="inlineStr">
        <is>
          <t>LAHOLM</t>
        </is>
      </c>
      <c r="G1789" t="n">
        <v>0.9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61931-2021</t>
        </is>
      </c>
      <c r="B1790" s="1" t="n">
        <v>44502</v>
      </c>
      <c r="C1790" s="1" t="n">
        <v>45358</v>
      </c>
      <c r="D1790" t="inlineStr">
        <is>
          <t>HALLANDS LÄN</t>
        </is>
      </c>
      <c r="E1790" t="inlineStr">
        <is>
          <t>FALKENBERG</t>
        </is>
      </c>
      <c r="G1790" t="n">
        <v>1.8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62158-2021</t>
        </is>
      </c>
      <c r="B1791" s="1" t="n">
        <v>44502</v>
      </c>
      <c r="C1791" s="1" t="n">
        <v>45358</v>
      </c>
      <c r="D1791" t="inlineStr">
        <is>
          <t>HALLANDS LÄN</t>
        </is>
      </c>
      <c r="E1791" t="inlineStr">
        <is>
          <t>KUNGSBACKA</t>
        </is>
      </c>
      <c r="G1791" t="n">
        <v>0.7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62156-2021</t>
        </is>
      </c>
      <c r="B1792" s="1" t="n">
        <v>44502</v>
      </c>
      <c r="C1792" s="1" t="n">
        <v>45358</v>
      </c>
      <c r="D1792" t="inlineStr">
        <is>
          <t>HALLANDS LÄN</t>
        </is>
      </c>
      <c r="E1792" t="inlineStr">
        <is>
          <t>KUNGSBACKA</t>
        </is>
      </c>
      <c r="G1792" t="n">
        <v>1.6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62174-2021</t>
        </is>
      </c>
      <c r="B1793" s="1" t="n">
        <v>44502</v>
      </c>
      <c r="C1793" s="1" t="n">
        <v>45358</v>
      </c>
      <c r="D1793" t="inlineStr">
        <is>
          <t>HALLANDS LÄN</t>
        </is>
      </c>
      <c r="E1793" t="inlineStr">
        <is>
          <t>HYLTE</t>
        </is>
      </c>
      <c r="G1793" t="n">
        <v>0.3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62059-2021</t>
        </is>
      </c>
      <c r="B1794" s="1" t="n">
        <v>44504</v>
      </c>
      <c r="C1794" s="1" t="n">
        <v>45358</v>
      </c>
      <c r="D1794" t="inlineStr">
        <is>
          <t>HALLANDS LÄN</t>
        </is>
      </c>
      <c r="E1794" t="inlineStr">
        <is>
          <t>VARBERG</t>
        </is>
      </c>
      <c r="G1794" t="n">
        <v>2.4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63028-2021</t>
        </is>
      </c>
      <c r="B1795" s="1" t="n">
        <v>44505</v>
      </c>
      <c r="C1795" s="1" t="n">
        <v>45358</v>
      </c>
      <c r="D1795" t="inlineStr">
        <is>
          <t>HALLANDS LÄN</t>
        </is>
      </c>
      <c r="E1795" t="inlineStr">
        <is>
          <t>FALKENBERG</t>
        </is>
      </c>
      <c r="G1795" t="n">
        <v>1.9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63107-2021</t>
        </is>
      </c>
      <c r="B1796" s="1" t="n">
        <v>44505</v>
      </c>
      <c r="C1796" s="1" t="n">
        <v>45358</v>
      </c>
      <c r="D1796" t="inlineStr">
        <is>
          <t>HALLANDS LÄN</t>
        </is>
      </c>
      <c r="E1796" t="inlineStr">
        <is>
          <t>HYLTE</t>
        </is>
      </c>
      <c r="G1796" t="n">
        <v>0.7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63030-2021</t>
        </is>
      </c>
      <c r="B1797" s="1" t="n">
        <v>44505</v>
      </c>
      <c r="C1797" s="1" t="n">
        <v>45358</v>
      </c>
      <c r="D1797" t="inlineStr">
        <is>
          <t>HALLANDS LÄN</t>
        </is>
      </c>
      <c r="E1797" t="inlineStr">
        <is>
          <t>FALKENBERG</t>
        </is>
      </c>
      <c r="G1797" t="n">
        <v>1.5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63340-2021</t>
        </is>
      </c>
      <c r="B1798" s="1" t="n">
        <v>44508</v>
      </c>
      <c r="C1798" s="1" t="n">
        <v>45358</v>
      </c>
      <c r="D1798" t="inlineStr">
        <is>
          <t>HALLANDS LÄN</t>
        </is>
      </c>
      <c r="E1798" t="inlineStr">
        <is>
          <t>VARBERG</t>
        </is>
      </c>
      <c r="G1798" t="n">
        <v>1.2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63404-2021</t>
        </is>
      </c>
      <c r="B1799" s="1" t="n">
        <v>44508</v>
      </c>
      <c r="C1799" s="1" t="n">
        <v>45358</v>
      </c>
      <c r="D1799" t="inlineStr">
        <is>
          <t>HALLANDS LÄN</t>
        </is>
      </c>
      <c r="E1799" t="inlineStr">
        <is>
          <t>LAHOLM</t>
        </is>
      </c>
      <c r="G1799" t="n">
        <v>0.9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63808-2021</t>
        </is>
      </c>
      <c r="B1800" s="1" t="n">
        <v>44508</v>
      </c>
      <c r="C1800" s="1" t="n">
        <v>45358</v>
      </c>
      <c r="D1800" t="inlineStr">
        <is>
          <t>HALLANDS LÄN</t>
        </is>
      </c>
      <c r="E1800" t="inlineStr">
        <is>
          <t>HYLTE</t>
        </is>
      </c>
      <c r="G1800" t="n">
        <v>0.8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63613-2021</t>
        </is>
      </c>
      <c r="B1801" s="1" t="n">
        <v>44509</v>
      </c>
      <c r="C1801" s="1" t="n">
        <v>45358</v>
      </c>
      <c r="D1801" t="inlineStr">
        <is>
          <t>HALLANDS LÄN</t>
        </is>
      </c>
      <c r="E1801" t="inlineStr">
        <is>
          <t>VARBERG</t>
        </is>
      </c>
      <c r="G1801" t="n">
        <v>2.9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63966-2021</t>
        </is>
      </c>
      <c r="B1802" s="1" t="n">
        <v>44509</v>
      </c>
      <c r="C1802" s="1" t="n">
        <v>45358</v>
      </c>
      <c r="D1802" t="inlineStr">
        <is>
          <t>HALLANDS LÄN</t>
        </is>
      </c>
      <c r="E1802" t="inlineStr">
        <is>
          <t>KUNGSBACKA</t>
        </is>
      </c>
      <c r="G1802" t="n">
        <v>1.1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64129-2021</t>
        </is>
      </c>
      <c r="B1803" s="1" t="n">
        <v>44510</v>
      </c>
      <c r="C1803" s="1" t="n">
        <v>45358</v>
      </c>
      <c r="D1803" t="inlineStr">
        <is>
          <t>HALLANDS LÄN</t>
        </is>
      </c>
      <c r="E1803" t="inlineStr">
        <is>
          <t>KUNGSBACKA</t>
        </is>
      </c>
      <c r="G1803" t="n">
        <v>1.8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64221-2021</t>
        </is>
      </c>
      <c r="B1804" s="1" t="n">
        <v>44510</v>
      </c>
      <c r="C1804" s="1" t="n">
        <v>45358</v>
      </c>
      <c r="D1804" t="inlineStr">
        <is>
          <t>HALLANDS LÄN</t>
        </is>
      </c>
      <c r="E1804" t="inlineStr">
        <is>
          <t>HYLTE</t>
        </is>
      </c>
      <c r="G1804" t="n">
        <v>2.7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64566-2021</t>
        </is>
      </c>
      <c r="B1805" s="1" t="n">
        <v>44511</v>
      </c>
      <c r="C1805" s="1" t="n">
        <v>45358</v>
      </c>
      <c r="D1805" t="inlineStr">
        <is>
          <t>HALLANDS LÄN</t>
        </is>
      </c>
      <c r="E1805" t="inlineStr">
        <is>
          <t>LAHOLM</t>
        </is>
      </c>
      <c r="G1805" t="n">
        <v>0.5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64488-2021</t>
        </is>
      </c>
      <c r="B1806" s="1" t="n">
        <v>44511</v>
      </c>
      <c r="C1806" s="1" t="n">
        <v>45358</v>
      </c>
      <c r="D1806" t="inlineStr">
        <is>
          <t>HALLANDS LÄN</t>
        </is>
      </c>
      <c r="E1806" t="inlineStr">
        <is>
          <t>VARBERG</t>
        </is>
      </c>
      <c r="G1806" t="n">
        <v>0.5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64569-2021</t>
        </is>
      </c>
      <c r="B1807" s="1" t="n">
        <v>44511</v>
      </c>
      <c r="C1807" s="1" t="n">
        <v>45358</v>
      </c>
      <c r="D1807" t="inlineStr">
        <is>
          <t>HALLANDS LÄN</t>
        </is>
      </c>
      <c r="E1807" t="inlineStr">
        <is>
          <t>LAHOLM</t>
        </is>
      </c>
      <c r="G1807" t="n">
        <v>0.8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64575-2021</t>
        </is>
      </c>
      <c r="B1808" s="1" t="n">
        <v>44511</v>
      </c>
      <c r="C1808" s="1" t="n">
        <v>45358</v>
      </c>
      <c r="D1808" t="inlineStr">
        <is>
          <t>HALLANDS LÄN</t>
        </is>
      </c>
      <c r="E1808" t="inlineStr">
        <is>
          <t>LAHOLM</t>
        </is>
      </c>
      <c r="G1808" t="n">
        <v>0.5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64784-2021</t>
        </is>
      </c>
      <c r="B1809" s="1" t="n">
        <v>44512</v>
      </c>
      <c r="C1809" s="1" t="n">
        <v>45358</v>
      </c>
      <c r="D1809" t="inlineStr">
        <is>
          <t>HALLANDS LÄN</t>
        </is>
      </c>
      <c r="E1809" t="inlineStr">
        <is>
          <t>VARBERG</t>
        </is>
      </c>
      <c r="G1809" t="n">
        <v>2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64672-2021</t>
        </is>
      </c>
      <c r="B1810" s="1" t="n">
        <v>44512</v>
      </c>
      <c r="C1810" s="1" t="n">
        <v>45358</v>
      </c>
      <c r="D1810" t="inlineStr">
        <is>
          <t>HALLANDS LÄN</t>
        </is>
      </c>
      <c r="E1810" t="inlineStr">
        <is>
          <t>LAHOLM</t>
        </is>
      </c>
      <c r="G1810" t="n">
        <v>1.3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65081-2021</t>
        </is>
      </c>
      <c r="B1811" s="1" t="n">
        <v>44515</v>
      </c>
      <c r="C1811" s="1" t="n">
        <v>45358</v>
      </c>
      <c r="D1811" t="inlineStr">
        <is>
          <t>HALLANDS LÄN</t>
        </is>
      </c>
      <c r="E1811" t="inlineStr">
        <is>
          <t>FALKENBERG</t>
        </is>
      </c>
      <c r="G1811" t="n">
        <v>2.2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65207-2021</t>
        </is>
      </c>
      <c r="B1812" s="1" t="n">
        <v>44515</v>
      </c>
      <c r="C1812" s="1" t="n">
        <v>45358</v>
      </c>
      <c r="D1812" t="inlineStr">
        <is>
          <t>HALLANDS LÄN</t>
        </is>
      </c>
      <c r="E1812" t="inlineStr">
        <is>
          <t>VARBERG</t>
        </is>
      </c>
      <c r="G1812" t="n">
        <v>0.8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65342-2021</t>
        </is>
      </c>
      <c r="B1813" s="1" t="n">
        <v>44515</v>
      </c>
      <c r="C1813" s="1" t="n">
        <v>45358</v>
      </c>
      <c r="D1813" t="inlineStr">
        <is>
          <t>HALLANDS LÄN</t>
        </is>
      </c>
      <c r="E1813" t="inlineStr">
        <is>
          <t>HYLTE</t>
        </is>
      </c>
      <c r="F1813" t="inlineStr">
        <is>
          <t>Bergvik skog väst AB</t>
        </is>
      </c>
      <c r="G1813" t="n">
        <v>4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65528-2021</t>
        </is>
      </c>
      <c r="B1814" s="1" t="n">
        <v>44516</v>
      </c>
      <c r="C1814" s="1" t="n">
        <v>45358</v>
      </c>
      <c r="D1814" t="inlineStr">
        <is>
          <t>HALLANDS LÄN</t>
        </is>
      </c>
      <c r="E1814" t="inlineStr">
        <is>
          <t>HALMSTAD</t>
        </is>
      </c>
      <c r="G1814" t="n">
        <v>1.7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65916-2021</t>
        </is>
      </c>
      <c r="B1815" s="1" t="n">
        <v>44517</v>
      </c>
      <c r="C1815" s="1" t="n">
        <v>45358</v>
      </c>
      <c r="D1815" t="inlineStr">
        <is>
          <t>HALLANDS LÄN</t>
        </is>
      </c>
      <c r="E1815" t="inlineStr">
        <is>
          <t>LAHOLM</t>
        </is>
      </c>
      <c r="G1815" t="n">
        <v>1.5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66135-2021</t>
        </is>
      </c>
      <c r="B1816" s="1" t="n">
        <v>44517</v>
      </c>
      <c r="C1816" s="1" t="n">
        <v>45358</v>
      </c>
      <c r="D1816" t="inlineStr">
        <is>
          <t>HALLANDS LÄN</t>
        </is>
      </c>
      <c r="E1816" t="inlineStr">
        <is>
          <t>FALKENBERG</t>
        </is>
      </c>
      <c r="G1816" t="n">
        <v>2.8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66311-2021</t>
        </is>
      </c>
      <c r="B1817" s="1" t="n">
        <v>44518</v>
      </c>
      <c r="C1817" s="1" t="n">
        <v>45358</v>
      </c>
      <c r="D1817" t="inlineStr">
        <is>
          <t>HALLANDS LÄN</t>
        </is>
      </c>
      <c r="E1817" t="inlineStr">
        <is>
          <t>HALMSTAD</t>
        </is>
      </c>
      <c r="G1817" t="n">
        <v>0.6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66373-2021</t>
        </is>
      </c>
      <c r="B1818" s="1" t="n">
        <v>44518</v>
      </c>
      <c r="C1818" s="1" t="n">
        <v>45358</v>
      </c>
      <c r="D1818" t="inlineStr">
        <is>
          <t>HALLANDS LÄN</t>
        </is>
      </c>
      <c r="E1818" t="inlineStr">
        <is>
          <t>HALMSTAD</t>
        </is>
      </c>
      <c r="G1818" t="n">
        <v>4.1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66395-2021</t>
        </is>
      </c>
      <c r="B1819" s="1" t="n">
        <v>44518</v>
      </c>
      <c r="C1819" s="1" t="n">
        <v>45358</v>
      </c>
      <c r="D1819" t="inlineStr">
        <is>
          <t>HALLANDS LÄN</t>
        </is>
      </c>
      <c r="E1819" t="inlineStr">
        <is>
          <t>LAHOLM</t>
        </is>
      </c>
      <c r="G1819" t="n">
        <v>2.4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66730-2021</t>
        </is>
      </c>
      <c r="B1820" s="1" t="n">
        <v>44520</v>
      </c>
      <c r="C1820" s="1" t="n">
        <v>45358</v>
      </c>
      <c r="D1820" t="inlineStr">
        <is>
          <t>HALLANDS LÄN</t>
        </is>
      </c>
      <c r="E1820" t="inlineStr">
        <is>
          <t>HALMSTAD</t>
        </is>
      </c>
      <c r="G1820" t="n">
        <v>0.6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66747-2021</t>
        </is>
      </c>
      <c r="B1821" s="1" t="n">
        <v>44521</v>
      </c>
      <c r="C1821" s="1" t="n">
        <v>45358</v>
      </c>
      <c r="D1821" t="inlineStr">
        <is>
          <t>HALLANDS LÄN</t>
        </is>
      </c>
      <c r="E1821" t="inlineStr">
        <is>
          <t>FALKENBERG</t>
        </is>
      </c>
      <c r="G1821" t="n">
        <v>10.7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67290-2021</t>
        </is>
      </c>
      <c r="B1822" s="1" t="n">
        <v>44523</v>
      </c>
      <c r="C1822" s="1" t="n">
        <v>45358</v>
      </c>
      <c r="D1822" t="inlineStr">
        <is>
          <t>HALLANDS LÄN</t>
        </is>
      </c>
      <c r="E1822" t="inlineStr">
        <is>
          <t>HYLTE</t>
        </is>
      </c>
      <c r="G1822" t="n">
        <v>0.5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67579-2021</t>
        </is>
      </c>
      <c r="B1823" s="1" t="n">
        <v>44524</v>
      </c>
      <c r="C1823" s="1" t="n">
        <v>45358</v>
      </c>
      <c r="D1823" t="inlineStr">
        <is>
          <t>HALLANDS LÄN</t>
        </is>
      </c>
      <c r="E1823" t="inlineStr">
        <is>
          <t>HALMSTAD</t>
        </is>
      </c>
      <c r="G1823" t="n">
        <v>0.7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67570-2021</t>
        </is>
      </c>
      <c r="B1824" s="1" t="n">
        <v>44524</v>
      </c>
      <c r="C1824" s="1" t="n">
        <v>45358</v>
      </c>
      <c r="D1824" t="inlineStr">
        <is>
          <t>HALLANDS LÄN</t>
        </is>
      </c>
      <c r="E1824" t="inlineStr">
        <is>
          <t>HALMSTAD</t>
        </is>
      </c>
      <c r="G1824" t="n">
        <v>1.7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67454-2021</t>
        </is>
      </c>
      <c r="B1825" s="1" t="n">
        <v>44524</v>
      </c>
      <c r="C1825" s="1" t="n">
        <v>45358</v>
      </c>
      <c r="D1825" t="inlineStr">
        <is>
          <t>HALLANDS LÄN</t>
        </is>
      </c>
      <c r="E1825" t="inlineStr">
        <is>
          <t>FALKENBERG</t>
        </is>
      </c>
      <c r="G1825" t="n">
        <v>1.9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67861-2021</t>
        </is>
      </c>
      <c r="B1826" s="1" t="n">
        <v>44525</v>
      </c>
      <c r="C1826" s="1" t="n">
        <v>45358</v>
      </c>
      <c r="D1826" t="inlineStr">
        <is>
          <t>HALLANDS LÄN</t>
        </is>
      </c>
      <c r="E1826" t="inlineStr">
        <is>
          <t>LAHOLM</t>
        </is>
      </c>
      <c r="G1826" t="n">
        <v>6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67744-2021</t>
        </is>
      </c>
      <c r="B1827" s="1" t="n">
        <v>44525</v>
      </c>
      <c r="C1827" s="1" t="n">
        <v>45358</v>
      </c>
      <c r="D1827" t="inlineStr">
        <is>
          <t>HALLANDS LÄN</t>
        </is>
      </c>
      <c r="E1827" t="inlineStr">
        <is>
          <t>FALKENBERG</t>
        </is>
      </c>
      <c r="G1827" t="n">
        <v>3.3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68652-2021</t>
        </is>
      </c>
      <c r="B1828" s="1" t="n">
        <v>44529</v>
      </c>
      <c r="C1828" s="1" t="n">
        <v>45358</v>
      </c>
      <c r="D1828" t="inlineStr">
        <is>
          <t>HALLANDS LÄN</t>
        </is>
      </c>
      <c r="E1828" t="inlineStr">
        <is>
          <t>HYLTE</t>
        </is>
      </c>
      <c r="G1828" t="n">
        <v>4.2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68846-2021</t>
        </is>
      </c>
      <c r="B1829" s="1" t="n">
        <v>44530</v>
      </c>
      <c r="C1829" s="1" t="n">
        <v>45358</v>
      </c>
      <c r="D1829" t="inlineStr">
        <is>
          <t>HALLANDS LÄN</t>
        </is>
      </c>
      <c r="E1829" t="inlineStr">
        <is>
          <t>LAHOLM</t>
        </is>
      </c>
      <c r="G1829" t="n">
        <v>3.9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68969-2021</t>
        </is>
      </c>
      <c r="B1830" s="1" t="n">
        <v>44530</v>
      </c>
      <c r="C1830" s="1" t="n">
        <v>45358</v>
      </c>
      <c r="D1830" t="inlineStr">
        <is>
          <t>HALLANDS LÄN</t>
        </is>
      </c>
      <c r="E1830" t="inlineStr">
        <is>
          <t>HYLTE</t>
        </is>
      </c>
      <c r="G1830" t="n">
        <v>5.2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69587-2021</t>
        </is>
      </c>
      <c r="B1831" s="1" t="n">
        <v>44532</v>
      </c>
      <c r="C1831" s="1" t="n">
        <v>45358</v>
      </c>
      <c r="D1831" t="inlineStr">
        <is>
          <t>HALLANDS LÄN</t>
        </is>
      </c>
      <c r="E1831" t="inlineStr">
        <is>
          <t>LAHOLM</t>
        </is>
      </c>
      <c r="G1831" t="n">
        <v>1.9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69594-2021</t>
        </is>
      </c>
      <c r="B1832" s="1" t="n">
        <v>44532</v>
      </c>
      <c r="C1832" s="1" t="n">
        <v>45358</v>
      </c>
      <c r="D1832" t="inlineStr">
        <is>
          <t>HALLANDS LÄN</t>
        </is>
      </c>
      <c r="E1832" t="inlineStr">
        <is>
          <t>HYLTE</t>
        </is>
      </c>
      <c r="G1832" t="n">
        <v>2.3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69589-2021</t>
        </is>
      </c>
      <c r="B1833" s="1" t="n">
        <v>44532</v>
      </c>
      <c r="C1833" s="1" t="n">
        <v>45358</v>
      </c>
      <c r="D1833" t="inlineStr">
        <is>
          <t>HALLANDS LÄN</t>
        </is>
      </c>
      <c r="E1833" t="inlineStr">
        <is>
          <t>LAHOLM</t>
        </is>
      </c>
      <c r="G1833" t="n">
        <v>2.2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70040-2021</t>
        </is>
      </c>
      <c r="B1834" s="1" t="n">
        <v>44533</v>
      </c>
      <c r="C1834" s="1" t="n">
        <v>45358</v>
      </c>
      <c r="D1834" t="inlineStr">
        <is>
          <t>HALLANDS LÄN</t>
        </is>
      </c>
      <c r="E1834" t="inlineStr">
        <is>
          <t>VARBERG</t>
        </is>
      </c>
      <c r="G1834" t="n">
        <v>2.2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70335-2021</t>
        </is>
      </c>
      <c r="B1835" s="1" t="n">
        <v>44536</v>
      </c>
      <c r="C1835" s="1" t="n">
        <v>45358</v>
      </c>
      <c r="D1835" t="inlineStr">
        <is>
          <t>HALLANDS LÄN</t>
        </is>
      </c>
      <c r="E1835" t="inlineStr">
        <is>
          <t>HALMSTAD</t>
        </is>
      </c>
      <c r="G1835" t="n">
        <v>0.4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70634-2021</t>
        </is>
      </c>
      <c r="B1836" s="1" t="n">
        <v>44537</v>
      </c>
      <c r="C1836" s="1" t="n">
        <v>45358</v>
      </c>
      <c r="D1836" t="inlineStr">
        <is>
          <t>HALLANDS LÄN</t>
        </is>
      </c>
      <c r="E1836" t="inlineStr">
        <is>
          <t>KUNGSBACKA</t>
        </is>
      </c>
      <c r="G1836" t="n">
        <v>0.8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70720-2021</t>
        </is>
      </c>
      <c r="B1837" s="1" t="n">
        <v>44537</v>
      </c>
      <c r="C1837" s="1" t="n">
        <v>45358</v>
      </c>
      <c r="D1837" t="inlineStr">
        <is>
          <t>HALLANDS LÄN</t>
        </is>
      </c>
      <c r="E1837" t="inlineStr">
        <is>
          <t>HALMSTAD</t>
        </is>
      </c>
      <c r="F1837" t="inlineStr">
        <is>
          <t>Kyrkan</t>
        </is>
      </c>
      <c r="G1837" t="n">
        <v>1.9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70611-2021</t>
        </is>
      </c>
      <c r="B1838" s="1" t="n">
        <v>44537</v>
      </c>
      <c r="C1838" s="1" t="n">
        <v>45358</v>
      </c>
      <c r="D1838" t="inlineStr">
        <is>
          <t>HALLANDS LÄN</t>
        </is>
      </c>
      <c r="E1838" t="inlineStr">
        <is>
          <t>LAHOLM</t>
        </is>
      </c>
      <c r="G1838" t="n">
        <v>0.8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70731-2021</t>
        </is>
      </c>
      <c r="B1839" s="1" t="n">
        <v>44537</v>
      </c>
      <c r="C1839" s="1" t="n">
        <v>45358</v>
      </c>
      <c r="D1839" t="inlineStr">
        <is>
          <t>HALLANDS LÄN</t>
        </is>
      </c>
      <c r="E1839" t="inlineStr">
        <is>
          <t>HALMSTAD</t>
        </is>
      </c>
      <c r="F1839" t="inlineStr">
        <is>
          <t>Kyrkan</t>
        </is>
      </c>
      <c r="G1839" t="n">
        <v>1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70607-2021</t>
        </is>
      </c>
      <c r="B1840" s="1" t="n">
        <v>44537</v>
      </c>
      <c r="C1840" s="1" t="n">
        <v>45358</v>
      </c>
      <c r="D1840" t="inlineStr">
        <is>
          <t>HALLANDS LÄN</t>
        </is>
      </c>
      <c r="E1840" t="inlineStr">
        <is>
          <t>LAHOLM</t>
        </is>
      </c>
      <c r="G1840" t="n">
        <v>1.7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70771-2021</t>
        </is>
      </c>
      <c r="B1841" s="1" t="n">
        <v>44537</v>
      </c>
      <c r="C1841" s="1" t="n">
        <v>45358</v>
      </c>
      <c r="D1841" t="inlineStr">
        <is>
          <t>HALLANDS LÄN</t>
        </is>
      </c>
      <c r="E1841" t="inlineStr">
        <is>
          <t>HALMSTAD</t>
        </is>
      </c>
      <c r="F1841" t="inlineStr">
        <is>
          <t>Kyrkan</t>
        </is>
      </c>
      <c r="G1841" t="n">
        <v>10.1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70724-2021</t>
        </is>
      </c>
      <c r="B1842" s="1" t="n">
        <v>44537</v>
      </c>
      <c r="C1842" s="1" t="n">
        <v>45358</v>
      </c>
      <c r="D1842" t="inlineStr">
        <is>
          <t>HALLANDS LÄN</t>
        </is>
      </c>
      <c r="E1842" t="inlineStr">
        <is>
          <t>HALMSTAD</t>
        </is>
      </c>
      <c r="F1842" t="inlineStr">
        <is>
          <t>Kyrkan</t>
        </is>
      </c>
      <c r="G1842" t="n">
        <v>0.7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70733-2021</t>
        </is>
      </c>
      <c r="B1843" s="1" t="n">
        <v>44537</v>
      </c>
      <c r="C1843" s="1" t="n">
        <v>45358</v>
      </c>
      <c r="D1843" t="inlineStr">
        <is>
          <t>HALLANDS LÄN</t>
        </is>
      </c>
      <c r="E1843" t="inlineStr">
        <is>
          <t>FALKENBERG</t>
        </is>
      </c>
      <c r="F1843" t="inlineStr">
        <is>
          <t>Kyrkan</t>
        </is>
      </c>
      <c r="G1843" t="n">
        <v>0.8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71022-2021</t>
        </is>
      </c>
      <c r="B1844" s="1" t="n">
        <v>44537</v>
      </c>
      <c r="C1844" s="1" t="n">
        <v>45358</v>
      </c>
      <c r="D1844" t="inlineStr">
        <is>
          <t>HALLANDS LÄN</t>
        </is>
      </c>
      <c r="E1844" t="inlineStr">
        <is>
          <t>HALMSTAD</t>
        </is>
      </c>
      <c r="F1844" t="inlineStr">
        <is>
          <t>Bergvik skog väst AB</t>
        </is>
      </c>
      <c r="G1844" t="n">
        <v>11.4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70833-2021</t>
        </is>
      </c>
      <c r="B1845" s="1" t="n">
        <v>44538</v>
      </c>
      <c r="C1845" s="1" t="n">
        <v>45358</v>
      </c>
      <c r="D1845" t="inlineStr">
        <is>
          <t>HALLANDS LÄN</t>
        </is>
      </c>
      <c r="E1845" t="inlineStr">
        <is>
          <t>HALMSTAD</t>
        </is>
      </c>
      <c r="G1845" t="n">
        <v>0.5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70904-2021</t>
        </is>
      </c>
      <c r="B1846" s="1" t="n">
        <v>44538</v>
      </c>
      <c r="C1846" s="1" t="n">
        <v>45358</v>
      </c>
      <c r="D1846" t="inlineStr">
        <is>
          <t>HALLANDS LÄN</t>
        </is>
      </c>
      <c r="E1846" t="inlineStr">
        <is>
          <t>KUNGSBACKA</t>
        </is>
      </c>
      <c r="G1846" t="n">
        <v>0.9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70831-2021</t>
        </is>
      </c>
      <c r="B1847" s="1" t="n">
        <v>44538</v>
      </c>
      <c r="C1847" s="1" t="n">
        <v>45358</v>
      </c>
      <c r="D1847" t="inlineStr">
        <is>
          <t>HALLANDS LÄN</t>
        </is>
      </c>
      <c r="E1847" t="inlineStr">
        <is>
          <t>HALMSTAD</t>
        </is>
      </c>
      <c r="G1847" t="n">
        <v>0.9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70834-2021</t>
        </is>
      </c>
      <c r="B1848" s="1" t="n">
        <v>44538</v>
      </c>
      <c r="C1848" s="1" t="n">
        <v>45358</v>
      </c>
      <c r="D1848" t="inlineStr">
        <is>
          <t>HALLANDS LÄN</t>
        </is>
      </c>
      <c r="E1848" t="inlineStr">
        <is>
          <t>HALMSTAD</t>
        </is>
      </c>
      <c r="G1848" t="n">
        <v>1.4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70848-2021</t>
        </is>
      </c>
      <c r="B1849" s="1" t="n">
        <v>44538</v>
      </c>
      <c r="C1849" s="1" t="n">
        <v>45358</v>
      </c>
      <c r="D1849" t="inlineStr">
        <is>
          <t>HALLANDS LÄN</t>
        </is>
      </c>
      <c r="E1849" t="inlineStr">
        <is>
          <t>FALKENBERG</t>
        </is>
      </c>
      <c r="G1849" t="n">
        <v>0.6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70897-2021</t>
        </is>
      </c>
      <c r="B1850" s="1" t="n">
        <v>44538</v>
      </c>
      <c r="C1850" s="1" t="n">
        <v>45358</v>
      </c>
      <c r="D1850" t="inlineStr">
        <is>
          <t>HALLANDS LÄN</t>
        </is>
      </c>
      <c r="E1850" t="inlineStr">
        <is>
          <t>HALMSTAD</t>
        </is>
      </c>
      <c r="F1850" t="inlineStr">
        <is>
          <t>Kyrkan</t>
        </is>
      </c>
      <c r="G1850" t="n">
        <v>1.6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70830-2021</t>
        </is>
      </c>
      <c r="B1851" s="1" t="n">
        <v>44538</v>
      </c>
      <c r="C1851" s="1" t="n">
        <v>45358</v>
      </c>
      <c r="D1851" t="inlineStr">
        <is>
          <t>HALLANDS LÄN</t>
        </is>
      </c>
      <c r="E1851" t="inlineStr">
        <is>
          <t>HALMSTAD</t>
        </is>
      </c>
      <c r="G1851" t="n">
        <v>1.1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71120-2021</t>
        </is>
      </c>
      <c r="B1852" s="1" t="n">
        <v>44539</v>
      </c>
      <c r="C1852" s="1" t="n">
        <v>45358</v>
      </c>
      <c r="D1852" t="inlineStr">
        <is>
          <t>HALLANDS LÄN</t>
        </is>
      </c>
      <c r="E1852" t="inlineStr">
        <is>
          <t>HYLTE</t>
        </is>
      </c>
      <c r="G1852" t="n">
        <v>0.6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71260-2021</t>
        </is>
      </c>
      <c r="B1853" s="1" t="n">
        <v>44539</v>
      </c>
      <c r="C1853" s="1" t="n">
        <v>45358</v>
      </c>
      <c r="D1853" t="inlineStr">
        <is>
          <t>HALLANDS LÄN</t>
        </is>
      </c>
      <c r="E1853" t="inlineStr">
        <is>
          <t>VARBERG</t>
        </is>
      </c>
      <c r="G1853" t="n">
        <v>2.6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71676-2021</t>
        </is>
      </c>
      <c r="B1854" s="1" t="n">
        <v>44539</v>
      </c>
      <c r="C1854" s="1" t="n">
        <v>45358</v>
      </c>
      <c r="D1854" t="inlineStr">
        <is>
          <t>HALLANDS LÄN</t>
        </is>
      </c>
      <c r="E1854" t="inlineStr">
        <is>
          <t>KUNGSBACKA</t>
        </is>
      </c>
      <c r="G1854" t="n">
        <v>8.1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71732-2021</t>
        </is>
      </c>
      <c r="B1855" s="1" t="n">
        <v>44539</v>
      </c>
      <c r="C1855" s="1" t="n">
        <v>45358</v>
      </c>
      <c r="D1855" t="inlineStr">
        <is>
          <t>HALLANDS LÄN</t>
        </is>
      </c>
      <c r="E1855" t="inlineStr">
        <is>
          <t>FALKENBERG</t>
        </is>
      </c>
      <c r="G1855" t="n">
        <v>2.9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71743-2021</t>
        </is>
      </c>
      <c r="B1856" s="1" t="n">
        <v>44539</v>
      </c>
      <c r="C1856" s="1" t="n">
        <v>45358</v>
      </c>
      <c r="D1856" t="inlineStr">
        <is>
          <t>HALLANDS LÄN</t>
        </is>
      </c>
      <c r="E1856" t="inlineStr">
        <is>
          <t>FALKENBERG</t>
        </is>
      </c>
      <c r="G1856" t="n">
        <v>5.7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71687-2021</t>
        </is>
      </c>
      <c r="B1857" s="1" t="n">
        <v>44539</v>
      </c>
      <c r="C1857" s="1" t="n">
        <v>45358</v>
      </c>
      <c r="D1857" t="inlineStr">
        <is>
          <t>HALLANDS LÄN</t>
        </is>
      </c>
      <c r="E1857" t="inlineStr">
        <is>
          <t>KUNGSBACKA</t>
        </is>
      </c>
      <c r="G1857" t="n">
        <v>4.1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71703-2021</t>
        </is>
      </c>
      <c r="B1858" s="1" t="n">
        <v>44539</v>
      </c>
      <c r="C1858" s="1" t="n">
        <v>45358</v>
      </c>
      <c r="D1858" t="inlineStr">
        <is>
          <t>HALLANDS LÄN</t>
        </is>
      </c>
      <c r="E1858" t="inlineStr">
        <is>
          <t>FALKENBERG</t>
        </is>
      </c>
      <c r="G1858" t="n">
        <v>5.1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71761-2021</t>
        </is>
      </c>
      <c r="B1859" s="1" t="n">
        <v>44539</v>
      </c>
      <c r="C1859" s="1" t="n">
        <v>45358</v>
      </c>
      <c r="D1859" t="inlineStr">
        <is>
          <t>HALLANDS LÄN</t>
        </is>
      </c>
      <c r="E1859" t="inlineStr">
        <is>
          <t>FALKENBERG</t>
        </is>
      </c>
      <c r="G1859" t="n">
        <v>6.8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71711-2021</t>
        </is>
      </c>
      <c r="B1860" s="1" t="n">
        <v>44539</v>
      </c>
      <c r="C1860" s="1" t="n">
        <v>45358</v>
      </c>
      <c r="D1860" t="inlineStr">
        <is>
          <t>HALLANDS LÄN</t>
        </is>
      </c>
      <c r="E1860" t="inlineStr">
        <is>
          <t>FALKENBERG</t>
        </is>
      </c>
      <c r="G1860" t="n">
        <v>12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71731-2021</t>
        </is>
      </c>
      <c r="B1861" s="1" t="n">
        <v>44539</v>
      </c>
      <c r="C1861" s="1" t="n">
        <v>45358</v>
      </c>
      <c r="D1861" t="inlineStr">
        <is>
          <t>HALLANDS LÄN</t>
        </is>
      </c>
      <c r="E1861" t="inlineStr">
        <is>
          <t>FALKENBERG</t>
        </is>
      </c>
      <c r="G1861" t="n">
        <v>1.2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71765-2021</t>
        </is>
      </c>
      <c r="B1862" s="1" t="n">
        <v>44539</v>
      </c>
      <c r="C1862" s="1" t="n">
        <v>45358</v>
      </c>
      <c r="D1862" t="inlineStr">
        <is>
          <t>HALLANDS LÄN</t>
        </is>
      </c>
      <c r="E1862" t="inlineStr">
        <is>
          <t>FALKENBERG</t>
        </is>
      </c>
      <c r="G1862" t="n">
        <v>6.8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71740-2021</t>
        </is>
      </c>
      <c r="B1863" s="1" t="n">
        <v>44543</v>
      </c>
      <c r="C1863" s="1" t="n">
        <v>45358</v>
      </c>
      <c r="D1863" t="inlineStr">
        <is>
          <t>HALLANDS LÄN</t>
        </is>
      </c>
      <c r="E1863" t="inlineStr">
        <is>
          <t>FALKENBERG</t>
        </is>
      </c>
      <c r="G1863" t="n">
        <v>2.8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71841-2021</t>
        </is>
      </c>
      <c r="B1864" s="1" t="n">
        <v>44543</v>
      </c>
      <c r="C1864" s="1" t="n">
        <v>45358</v>
      </c>
      <c r="D1864" t="inlineStr">
        <is>
          <t>HALLANDS LÄN</t>
        </is>
      </c>
      <c r="E1864" t="inlineStr">
        <is>
          <t>VARBERG</t>
        </is>
      </c>
      <c r="G1864" t="n">
        <v>2.8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71891-2021</t>
        </is>
      </c>
      <c r="B1865" s="1" t="n">
        <v>44543</v>
      </c>
      <c r="C1865" s="1" t="n">
        <v>45358</v>
      </c>
      <c r="D1865" t="inlineStr">
        <is>
          <t>HALLANDS LÄN</t>
        </is>
      </c>
      <c r="E1865" t="inlineStr">
        <is>
          <t>KUNGSBACKA</t>
        </is>
      </c>
      <c r="G1865" t="n">
        <v>4.4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71844-2021</t>
        </is>
      </c>
      <c r="B1866" s="1" t="n">
        <v>44543</v>
      </c>
      <c r="C1866" s="1" t="n">
        <v>45358</v>
      </c>
      <c r="D1866" t="inlineStr">
        <is>
          <t>HALLANDS LÄN</t>
        </is>
      </c>
      <c r="E1866" t="inlineStr">
        <is>
          <t>FALKENBERG</t>
        </is>
      </c>
      <c r="G1866" t="n">
        <v>2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71958-2021</t>
        </is>
      </c>
      <c r="B1867" s="1" t="n">
        <v>44544</v>
      </c>
      <c r="C1867" s="1" t="n">
        <v>45358</v>
      </c>
      <c r="D1867" t="inlineStr">
        <is>
          <t>HALLANDS LÄN</t>
        </is>
      </c>
      <c r="E1867" t="inlineStr">
        <is>
          <t>FALKENBERG</t>
        </is>
      </c>
      <c r="G1867" t="n">
        <v>0.7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72139-2021</t>
        </is>
      </c>
      <c r="B1868" s="1" t="n">
        <v>44544</v>
      </c>
      <c r="C1868" s="1" t="n">
        <v>45358</v>
      </c>
      <c r="D1868" t="inlineStr">
        <is>
          <t>HALLANDS LÄN</t>
        </is>
      </c>
      <c r="E1868" t="inlineStr">
        <is>
          <t>HALMSTAD</t>
        </is>
      </c>
      <c r="G1868" t="n">
        <v>0.5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72277-2021</t>
        </is>
      </c>
      <c r="B1869" s="1" t="n">
        <v>44545</v>
      </c>
      <c r="C1869" s="1" t="n">
        <v>45358</v>
      </c>
      <c r="D1869" t="inlineStr">
        <is>
          <t>HALLANDS LÄN</t>
        </is>
      </c>
      <c r="E1869" t="inlineStr">
        <is>
          <t>FALKENBERG</t>
        </is>
      </c>
      <c r="G1869" t="n">
        <v>9.699999999999999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72361-2021</t>
        </is>
      </c>
      <c r="B1870" s="1" t="n">
        <v>44545</v>
      </c>
      <c r="C1870" s="1" t="n">
        <v>45358</v>
      </c>
      <c r="D1870" t="inlineStr">
        <is>
          <t>HALLANDS LÄN</t>
        </is>
      </c>
      <c r="E1870" t="inlineStr">
        <is>
          <t>VARBERG</t>
        </is>
      </c>
      <c r="G1870" t="n">
        <v>2.5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72468-2021</t>
        </is>
      </c>
      <c r="B1871" s="1" t="n">
        <v>44545</v>
      </c>
      <c r="C1871" s="1" t="n">
        <v>45358</v>
      </c>
      <c r="D1871" t="inlineStr">
        <is>
          <t>HALLANDS LÄN</t>
        </is>
      </c>
      <c r="E1871" t="inlineStr">
        <is>
          <t>FALKENBERG</t>
        </is>
      </c>
      <c r="G1871" t="n">
        <v>0.5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72470-2021</t>
        </is>
      </c>
      <c r="B1872" s="1" t="n">
        <v>44545</v>
      </c>
      <c r="C1872" s="1" t="n">
        <v>45358</v>
      </c>
      <c r="D1872" t="inlineStr">
        <is>
          <t>HALLANDS LÄN</t>
        </is>
      </c>
      <c r="E1872" t="inlineStr">
        <is>
          <t>FALKENBERG</t>
        </is>
      </c>
      <c r="G1872" t="n">
        <v>3.3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72906-2021</t>
        </is>
      </c>
      <c r="B1873" s="1" t="n">
        <v>44547</v>
      </c>
      <c r="C1873" s="1" t="n">
        <v>45358</v>
      </c>
      <c r="D1873" t="inlineStr">
        <is>
          <t>HALLANDS LÄN</t>
        </is>
      </c>
      <c r="E1873" t="inlineStr">
        <is>
          <t>FALKENBERG</t>
        </is>
      </c>
      <c r="G1873" t="n">
        <v>1.1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73820-2021</t>
        </is>
      </c>
      <c r="B1874" s="1" t="n">
        <v>44552</v>
      </c>
      <c r="C1874" s="1" t="n">
        <v>45358</v>
      </c>
      <c r="D1874" t="inlineStr">
        <is>
          <t>HALLANDS LÄN</t>
        </is>
      </c>
      <c r="E1874" t="inlineStr">
        <is>
          <t>VARBERG</t>
        </is>
      </c>
      <c r="G1874" t="n">
        <v>0.9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73853-2021</t>
        </is>
      </c>
      <c r="B1875" s="1" t="n">
        <v>44553</v>
      </c>
      <c r="C1875" s="1" t="n">
        <v>45358</v>
      </c>
      <c r="D1875" t="inlineStr">
        <is>
          <t>HALLANDS LÄN</t>
        </is>
      </c>
      <c r="E1875" t="inlineStr">
        <is>
          <t>LAHOLM</t>
        </is>
      </c>
      <c r="G1875" t="n">
        <v>0.4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73894-2021</t>
        </is>
      </c>
      <c r="B1876" s="1" t="n">
        <v>44553</v>
      </c>
      <c r="C1876" s="1" t="n">
        <v>45358</v>
      </c>
      <c r="D1876" t="inlineStr">
        <is>
          <t>HALLANDS LÄN</t>
        </is>
      </c>
      <c r="E1876" t="inlineStr">
        <is>
          <t>LAHOLM</t>
        </is>
      </c>
      <c r="G1876" t="n">
        <v>0.9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73934-2021</t>
        </is>
      </c>
      <c r="B1877" s="1" t="n">
        <v>44553</v>
      </c>
      <c r="C1877" s="1" t="n">
        <v>45358</v>
      </c>
      <c r="D1877" t="inlineStr">
        <is>
          <t>HALLANDS LÄN</t>
        </is>
      </c>
      <c r="E1877" t="inlineStr">
        <is>
          <t>FALKENBERG</t>
        </is>
      </c>
      <c r="G1877" t="n">
        <v>8.1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73973-2021</t>
        </is>
      </c>
      <c r="B1878" s="1" t="n">
        <v>44554</v>
      </c>
      <c r="C1878" s="1" t="n">
        <v>45358</v>
      </c>
      <c r="D1878" t="inlineStr">
        <is>
          <t>HALLANDS LÄN</t>
        </is>
      </c>
      <c r="E1878" t="inlineStr">
        <is>
          <t>FALKENBERG</t>
        </is>
      </c>
      <c r="G1878" t="n">
        <v>3.2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73974-2021</t>
        </is>
      </c>
      <c r="B1879" s="1" t="n">
        <v>44554</v>
      </c>
      <c r="C1879" s="1" t="n">
        <v>45358</v>
      </c>
      <c r="D1879" t="inlineStr">
        <is>
          <t>HALLANDS LÄN</t>
        </is>
      </c>
      <c r="E1879" t="inlineStr">
        <is>
          <t>FALKENBERG</t>
        </is>
      </c>
      <c r="G1879" t="n">
        <v>2.4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74038-2021</t>
        </is>
      </c>
      <c r="B1880" s="1" t="n">
        <v>44557</v>
      </c>
      <c r="C1880" s="1" t="n">
        <v>45358</v>
      </c>
      <c r="D1880" t="inlineStr">
        <is>
          <t>HALLANDS LÄN</t>
        </is>
      </c>
      <c r="E1880" t="inlineStr">
        <is>
          <t>HALMSTAD</t>
        </is>
      </c>
      <c r="G1880" t="n">
        <v>1.7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74045-2021</t>
        </is>
      </c>
      <c r="B1881" s="1" t="n">
        <v>44557</v>
      </c>
      <c r="C1881" s="1" t="n">
        <v>45358</v>
      </c>
      <c r="D1881" t="inlineStr">
        <is>
          <t>HALLANDS LÄN</t>
        </is>
      </c>
      <c r="E1881" t="inlineStr">
        <is>
          <t>HYLTE</t>
        </is>
      </c>
      <c r="G1881" t="n">
        <v>5.1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74058-2021</t>
        </is>
      </c>
      <c r="B1882" s="1" t="n">
        <v>44557</v>
      </c>
      <c r="C1882" s="1" t="n">
        <v>45358</v>
      </c>
      <c r="D1882" t="inlineStr">
        <is>
          <t>HALLANDS LÄN</t>
        </is>
      </c>
      <c r="E1882" t="inlineStr">
        <is>
          <t>HYLTE</t>
        </is>
      </c>
      <c r="G1882" t="n">
        <v>2.7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74246-2021</t>
        </is>
      </c>
      <c r="B1883" s="1" t="n">
        <v>44558</v>
      </c>
      <c r="C1883" s="1" t="n">
        <v>45358</v>
      </c>
      <c r="D1883" t="inlineStr">
        <is>
          <t>HALLANDS LÄN</t>
        </is>
      </c>
      <c r="E1883" t="inlineStr">
        <is>
          <t>LAHOLM</t>
        </is>
      </c>
      <c r="G1883" t="n">
        <v>1.3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74307-2021</t>
        </is>
      </c>
      <c r="B1884" s="1" t="n">
        <v>44559</v>
      </c>
      <c r="C1884" s="1" t="n">
        <v>45358</v>
      </c>
      <c r="D1884" t="inlineStr">
        <is>
          <t>HALLANDS LÄN</t>
        </is>
      </c>
      <c r="E1884" t="inlineStr">
        <is>
          <t>HYLTE</t>
        </is>
      </c>
      <c r="G1884" t="n">
        <v>1.5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74365-2021</t>
        </is>
      </c>
      <c r="B1885" s="1" t="n">
        <v>44559</v>
      </c>
      <c r="C1885" s="1" t="n">
        <v>45358</v>
      </c>
      <c r="D1885" t="inlineStr">
        <is>
          <t>HALLANDS LÄN</t>
        </is>
      </c>
      <c r="E1885" t="inlineStr">
        <is>
          <t>HYLTE</t>
        </is>
      </c>
      <c r="G1885" t="n">
        <v>2.1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74305-2021</t>
        </is>
      </c>
      <c r="B1886" s="1" t="n">
        <v>44559</v>
      </c>
      <c r="C1886" s="1" t="n">
        <v>45358</v>
      </c>
      <c r="D1886" t="inlineStr">
        <is>
          <t>HALLANDS LÄN</t>
        </is>
      </c>
      <c r="E1886" t="inlineStr">
        <is>
          <t>HYLTE</t>
        </is>
      </c>
      <c r="G1886" t="n">
        <v>6.1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893-2022</t>
        </is>
      </c>
      <c r="B1887" s="1" t="n">
        <v>44571</v>
      </c>
      <c r="C1887" s="1" t="n">
        <v>45358</v>
      </c>
      <c r="D1887" t="inlineStr">
        <is>
          <t>HALLANDS LÄN</t>
        </is>
      </c>
      <c r="E1887" t="inlineStr">
        <is>
          <t>HALMSTAD</t>
        </is>
      </c>
      <c r="G1887" t="n">
        <v>1.2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1171-2022</t>
        </is>
      </c>
      <c r="B1888" s="1" t="n">
        <v>44572</v>
      </c>
      <c r="C1888" s="1" t="n">
        <v>45358</v>
      </c>
      <c r="D1888" t="inlineStr">
        <is>
          <t>HALLANDS LÄN</t>
        </is>
      </c>
      <c r="E1888" t="inlineStr">
        <is>
          <t>FALKENBERG</t>
        </is>
      </c>
      <c r="G1888" t="n">
        <v>0.5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1302-2022</t>
        </is>
      </c>
      <c r="B1889" s="1" t="n">
        <v>44572</v>
      </c>
      <c r="C1889" s="1" t="n">
        <v>45358</v>
      </c>
      <c r="D1889" t="inlineStr">
        <is>
          <t>HALLANDS LÄN</t>
        </is>
      </c>
      <c r="E1889" t="inlineStr">
        <is>
          <t>LAHOLM</t>
        </is>
      </c>
      <c r="G1889" t="n">
        <v>4.1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1263-2022</t>
        </is>
      </c>
      <c r="B1890" s="1" t="n">
        <v>44572</v>
      </c>
      <c r="C1890" s="1" t="n">
        <v>45358</v>
      </c>
      <c r="D1890" t="inlineStr">
        <is>
          <t>HALLANDS LÄN</t>
        </is>
      </c>
      <c r="E1890" t="inlineStr">
        <is>
          <t>FALKENBERG</t>
        </is>
      </c>
      <c r="G1890" t="n">
        <v>1.9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1277-2022</t>
        </is>
      </c>
      <c r="B1891" s="1" t="n">
        <v>44572</v>
      </c>
      <c r="C1891" s="1" t="n">
        <v>45358</v>
      </c>
      <c r="D1891" t="inlineStr">
        <is>
          <t>HALLANDS LÄN</t>
        </is>
      </c>
      <c r="E1891" t="inlineStr">
        <is>
          <t>FALKENBERG</t>
        </is>
      </c>
      <c r="G1891" t="n">
        <v>1.5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1533-2022</t>
        </is>
      </c>
      <c r="B1892" s="1" t="n">
        <v>44573</v>
      </c>
      <c r="C1892" s="1" t="n">
        <v>45358</v>
      </c>
      <c r="D1892" t="inlineStr">
        <is>
          <t>HALLANDS LÄN</t>
        </is>
      </c>
      <c r="E1892" t="inlineStr">
        <is>
          <t>HALMSTAD</t>
        </is>
      </c>
      <c r="F1892" t="inlineStr">
        <is>
          <t>Kyrkan</t>
        </is>
      </c>
      <c r="G1892" t="n">
        <v>3.3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1438-2022</t>
        </is>
      </c>
      <c r="B1893" s="1" t="n">
        <v>44573</v>
      </c>
      <c r="C1893" s="1" t="n">
        <v>45358</v>
      </c>
      <c r="D1893" t="inlineStr">
        <is>
          <t>HALLANDS LÄN</t>
        </is>
      </c>
      <c r="E1893" t="inlineStr">
        <is>
          <t>HALMSTAD</t>
        </is>
      </c>
      <c r="G1893" t="n">
        <v>2.1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1615-2022</t>
        </is>
      </c>
      <c r="B1894" s="1" t="n">
        <v>44573</v>
      </c>
      <c r="C1894" s="1" t="n">
        <v>45358</v>
      </c>
      <c r="D1894" t="inlineStr">
        <is>
          <t>HALLANDS LÄN</t>
        </is>
      </c>
      <c r="E1894" t="inlineStr">
        <is>
          <t>HYLTE</t>
        </is>
      </c>
      <c r="G1894" t="n">
        <v>1.6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1614-2022</t>
        </is>
      </c>
      <c r="B1895" s="1" t="n">
        <v>44573</v>
      </c>
      <c r="C1895" s="1" t="n">
        <v>45358</v>
      </c>
      <c r="D1895" t="inlineStr">
        <is>
          <t>HALLANDS LÄN</t>
        </is>
      </c>
      <c r="E1895" t="inlineStr">
        <is>
          <t>HYLTE</t>
        </is>
      </c>
      <c r="G1895" t="n">
        <v>0.4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1784-2022</t>
        </is>
      </c>
      <c r="B1896" s="1" t="n">
        <v>44574</v>
      </c>
      <c r="C1896" s="1" t="n">
        <v>45358</v>
      </c>
      <c r="D1896" t="inlineStr">
        <is>
          <t>HALLANDS LÄN</t>
        </is>
      </c>
      <c r="E1896" t="inlineStr">
        <is>
          <t>VARBERG</t>
        </is>
      </c>
      <c r="G1896" t="n">
        <v>3.8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1781-2022</t>
        </is>
      </c>
      <c r="B1897" s="1" t="n">
        <v>44574</v>
      </c>
      <c r="C1897" s="1" t="n">
        <v>45358</v>
      </c>
      <c r="D1897" t="inlineStr">
        <is>
          <t>HALLANDS LÄN</t>
        </is>
      </c>
      <c r="E1897" t="inlineStr">
        <is>
          <t>FALKENBERG</t>
        </is>
      </c>
      <c r="G1897" t="n">
        <v>0.9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1785-2022</t>
        </is>
      </c>
      <c r="B1898" s="1" t="n">
        <v>44574</v>
      </c>
      <c r="C1898" s="1" t="n">
        <v>45358</v>
      </c>
      <c r="D1898" t="inlineStr">
        <is>
          <t>HALLANDS LÄN</t>
        </is>
      </c>
      <c r="E1898" t="inlineStr">
        <is>
          <t>FALKENBERG</t>
        </is>
      </c>
      <c r="G1898" t="n">
        <v>3.1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1889-2022</t>
        </is>
      </c>
      <c r="B1899" s="1" t="n">
        <v>44575</v>
      </c>
      <c r="C1899" s="1" t="n">
        <v>45358</v>
      </c>
      <c r="D1899" t="inlineStr">
        <is>
          <t>HALLANDS LÄN</t>
        </is>
      </c>
      <c r="E1899" t="inlineStr">
        <is>
          <t>LAHOLM</t>
        </is>
      </c>
      <c r="G1899" t="n">
        <v>1.2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1887-2022</t>
        </is>
      </c>
      <c r="B1900" s="1" t="n">
        <v>44575</v>
      </c>
      <c r="C1900" s="1" t="n">
        <v>45358</v>
      </c>
      <c r="D1900" t="inlineStr">
        <is>
          <t>HALLANDS LÄN</t>
        </is>
      </c>
      <c r="E1900" t="inlineStr">
        <is>
          <t>LAHOLM</t>
        </is>
      </c>
      <c r="G1900" t="n">
        <v>1.8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1907-2022</t>
        </is>
      </c>
      <c r="B1901" s="1" t="n">
        <v>44575</v>
      </c>
      <c r="C1901" s="1" t="n">
        <v>45358</v>
      </c>
      <c r="D1901" t="inlineStr">
        <is>
          <t>HALLANDS LÄN</t>
        </is>
      </c>
      <c r="E1901" t="inlineStr">
        <is>
          <t>VARBERG</t>
        </is>
      </c>
      <c r="G1901" t="n">
        <v>0.5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1950-2022</t>
        </is>
      </c>
      <c r="B1902" s="1" t="n">
        <v>44575</v>
      </c>
      <c r="C1902" s="1" t="n">
        <v>45358</v>
      </c>
      <c r="D1902" t="inlineStr">
        <is>
          <t>HALLANDS LÄN</t>
        </is>
      </c>
      <c r="E1902" t="inlineStr">
        <is>
          <t>HYLTE</t>
        </is>
      </c>
      <c r="G1902" t="n">
        <v>1.9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2078-2022</t>
        </is>
      </c>
      <c r="B1903" s="1" t="n">
        <v>44576</v>
      </c>
      <c r="C1903" s="1" t="n">
        <v>45358</v>
      </c>
      <c r="D1903" t="inlineStr">
        <is>
          <t>HALLANDS LÄN</t>
        </is>
      </c>
      <c r="E1903" t="inlineStr">
        <is>
          <t>FALKENBERG</t>
        </is>
      </c>
      <c r="G1903" t="n">
        <v>1.1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2281-2022</t>
        </is>
      </c>
      <c r="B1904" s="1" t="n">
        <v>44578</v>
      </c>
      <c r="C1904" s="1" t="n">
        <v>45358</v>
      </c>
      <c r="D1904" t="inlineStr">
        <is>
          <t>HALLANDS LÄN</t>
        </is>
      </c>
      <c r="E1904" t="inlineStr">
        <is>
          <t>KUNGSBACKA</t>
        </is>
      </c>
      <c r="G1904" t="n">
        <v>1.7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2315-2022</t>
        </is>
      </c>
      <c r="B1905" s="1" t="n">
        <v>44578</v>
      </c>
      <c r="C1905" s="1" t="n">
        <v>45358</v>
      </c>
      <c r="D1905" t="inlineStr">
        <is>
          <t>HALLANDS LÄN</t>
        </is>
      </c>
      <c r="E1905" t="inlineStr">
        <is>
          <t>HYLTE</t>
        </is>
      </c>
      <c r="G1905" t="n">
        <v>0.6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2434-2022</t>
        </is>
      </c>
      <c r="B1906" s="1" t="n">
        <v>44579</v>
      </c>
      <c r="C1906" s="1" t="n">
        <v>45358</v>
      </c>
      <c r="D1906" t="inlineStr">
        <is>
          <t>HALLANDS LÄN</t>
        </is>
      </c>
      <c r="E1906" t="inlineStr">
        <is>
          <t>HALMSTAD</t>
        </is>
      </c>
      <c r="G1906" t="n">
        <v>3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2552-2022</t>
        </is>
      </c>
      <c r="B1907" s="1" t="n">
        <v>44580</v>
      </c>
      <c r="C1907" s="1" t="n">
        <v>45358</v>
      </c>
      <c r="D1907" t="inlineStr">
        <is>
          <t>HALLANDS LÄN</t>
        </is>
      </c>
      <c r="E1907" t="inlineStr">
        <is>
          <t>HALMSTAD</t>
        </is>
      </c>
      <c r="G1907" t="n">
        <v>2.1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2647-2022</t>
        </is>
      </c>
      <c r="B1908" s="1" t="n">
        <v>44580</v>
      </c>
      <c r="C1908" s="1" t="n">
        <v>45358</v>
      </c>
      <c r="D1908" t="inlineStr">
        <is>
          <t>HALLANDS LÄN</t>
        </is>
      </c>
      <c r="E1908" t="inlineStr">
        <is>
          <t>HALMSTAD</t>
        </is>
      </c>
      <c r="G1908" t="n">
        <v>0.6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2959-2022</t>
        </is>
      </c>
      <c r="B1909" s="1" t="n">
        <v>44581</v>
      </c>
      <c r="C1909" s="1" t="n">
        <v>45358</v>
      </c>
      <c r="D1909" t="inlineStr">
        <is>
          <t>HALLANDS LÄN</t>
        </is>
      </c>
      <c r="E1909" t="inlineStr">
        <is>
          <t>VARBERG</t>
        </is>
      </c>
      <c r="G1909" t="n">
        <v>2.1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3137-2022</t>
        </is>
      </c>
      <c r="B1910" s="1" t="n">
        <v>44582</v>
      </c>
      <c r="C1910" s="1" t="n">
        <v>45358</v>
      </c>
      <c r="D1910" t="inlineStr">
        <is>
          <t>HALLANDS LÄN</t>
        </is>
      </c>
      <c r="E1910" t="inlineStr">
        <is>
          <t>VARBERG</t>
        </is>
      </c>
      <c r="F1910" t="inlineStr">
        <is>
          <t>Övriga statliga verk och myndigheter</t>
        </is>
      </c>
      <c r="G1910" t="n">
        <v>0.7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3291-2022</t>
        </is>
      </c>
      <c r="B1911" s="1" t="n">
        <v>44584</v>
      </c>
      <c r="C1911" s="1" t="n">
        <v>45358</v>
      </c>
      <c r="D1911" t="inlineStr">
        <is>
          <t>HALLANDS LÄN</t>
        </is>
      </c>
      <c r="E1911" t="inlineStr">
        <is>
          <t>FALKENBERG</t>
        </is>
      </c>
      <c r="G1911" t="n">
        <v>1.7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3731-2022</t>
        </is>
      </c>
      <c r="B1912" s="1" t="n">
        <v>44586</v>
      </c>
      <c r="C1912" s="1" t="n">
        <v>45358</v>
      </c>
      <c r="D1912" t="inlineStr">
        <is>
          <t>HALLANDS LÄN</t>
        </is>
      </c>
      <c r="E1912" t="inlineStr">
        <is>
          <t>VARBERG</t>
        </is>
      </c>
      <c r="F1912" t="inlineStr">
        <is>
          <t>Övriga statliga verk och myndigheter</t>
        </is>
      </c>
      <c r="G1912" t="n">
        <v>0.8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4322-2022</t>
        </is>
      </c>
      <c r="B1913" s="1" t="n">
        <v>44588</v>
      </c>
      <c r="C1913" s="1" t="n">
        <v>45358</v>
      </c>
      <c r="D1913" t="inlineStr">
        <is>
          <t>HALLANDS LÄN</t>
        </is>
      </c>
      <c r="E1913" t="inlineStr">
        <is>
          <t>VARBERG</t>
        </is>
      </c>
      <c r="G1913" t="n">
        <v>8.6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4243-2022</t>
        </is>
      </c>
      <c r="B1914" s="1" t="n">
        <v>44588</v>
      </c>
      <c r="C1914" s="1" t="n">
        <v>45358</v>
      </c>
      <c r="D1914" t="inlineStr">
        <is>
          <t>HALLANDS LÄN</t>
        </is>
      </c>
      <c r="E1914" t="inlineStr">
        <is>
          <t>VARBERG</t>
        </is>
      </c>
      <c r="G1914" t="n">
        <v>0.9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4718-2022</t>
        </is>
      </c>
      <c r="B1915" s="1" t="n">
        <v>44592</v>
      </c>
      <c r="C1915" s="1" t="n">
        <v>45358</v>
      </c>
      <c r="D1915" t="inlineStr">
        <is>
          <t>HALLANDS LÄN</t>
        </is>
      </c>
      <c r="E1915" t="inlineStr">
        <is>
          <t>FALKENBERG</t>
        </is>
      </c>
      <c r="F1915" t="inlineStr">
        <is>
          <t>Kyrkan</t>
        </is>
      </c>
      <c r="G1915" t="n">
        <v>2.2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4753-2022</t>
        </is>
      </c>
      <c r="B1916" s="1" t="n">
        <v>44592</v>
      </c>
      <c r="C1916" s="1" t="n">
        <v>45358</v>
      </c>
      <c r="D1916" t="inlineStr">
        <is>
          <t>HALLANDS LÄN</t>
        </is>
      </c>
      <c r="E1916" t="inlineStr">
        <is>
          <t>HYLTE</t>
        </is>
      </c>
      <c r="G1916" t="n">
        <v>3.9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4757-2022</t>
        </is>
      </c>
      <c r="B1917" s="1" t="n">
        <v>44592</v>
      </c>
      <c r="C1917" s="1" t="n">
        <v>45358</v>
      </c>
      <c r="D1917" t="inlineStr">
        <is>
          <t>HALLANDS LÄN</t>
        </is>
      </c>
      <c r="E1917" t="inlineStr">
        <is>
          <t>HYLTE</t>
        </is>
      </c>
      <c r="G1917" t="n">
        <v>2.4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4819-2022</t>
        </is>
      </c>
      <c r="B1918" s="1" t="n">
        <v>44592</v>
      </c>
      <c r="C1918" s="1" t="n">
        <v>45358</v>
      </c>
      <c r="D1918" t="inlineStr">
        <is>
          <t>HALLANDS LÄN</t>
        </is>
      </c>
      <c r="E1918" t="inlineStr">
        <is>
          <t>LAHOLM</t>
        </is>
      </c>
      <c r="G1918" t="n">
        <v>2.2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4905-2022</t>
        </is>
      </c>
      <c r="B1919" s="1" t="n">
        <v>44593</v>
      </c>
      <c r="C1919" s="1" t="n">
        <v>45358</v>
      </c>
      <c r="D1919" t="inlineStr">
        <is>
          <t>HALLANDS LÄN</t>
        </is>
      </c>
      <c r="E1919" t="inlineStr">
        <is>
          <t>HALMSTAD</t>
        </is>
      </c>
      <c r="F1919" t="inlineStr">
        <is>
          <t>Kyrkan</t>
        </is>
      </c>
      <c r="G1919" t="n">
        <v>0.6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4971-2022</t>
        </is>
      </c>
      <c r="B1920" s="1" t="n">
        <v>44593</v>
      </c>
      <c r="C1920" s="1" t="n">
        <v>45358</v>
      </c>
      <c r="D1920" t="inlineStr">
        <is>
          <t>HALLANDS LÄN</t>
        </is>
      </c>
      <c r="E1920" t="inlineStr">
        <is>
          <t>HALMSTAD</t>
        </is>
      </c>
      <c r="G1920" t="n">
        <v>1.7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4979-2022</t>
        </is>
      </c>
      <c r="B1921" s="1" t="n">
        <v>44593</v>
      </c>
      <c r="C1921" s="1" t="n">
        <v>45358</v>
      </c>
      <c r="D1921" t="inlineStr">
        <is>
          <t>HALLANDS LÄN</t>
        </is>
      </c>
      <c r="E1921" t="inlineStr">
        <is>
          <t>KUNGSBACKA</t>
        </is>
      </c>
      <c r="G1921" t="n">
        <v>0.2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4993-2022</t>
        </is>
      </c>
      <c r="B1922" s="1" t="n">
        <v>44593</v>
      </c>
      <c r="C1922" s="1" t="n">
        <v>45358</v>
      </c>
      <c r="D1922" t="inlineStr">
        <is>
          <t>HALLANDS LÄN</t>
        </is>
      </c>
      <c r="E1922" t="inlineStr">
        <is>
          <t>FALKENBERG</t>
        </is>
      </c>
      <c r="F1922" t="inlineStr">
        <is>
          <t>Kyrkan</t>
        </is>
      </c>
      <c r="G1922" t="n">
        <v>1.5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4997-2022</t>
        </is>
      </c>
      <c r="B1923" s="1" t="n">
        <v>44593</v>
      </c>
      <c r="C1923" s="1" t="n">
        <v>45358</v>
      </c>
      <c r="D1923" t="inlineStr">
        <is>
          <t>HALLANDS LÄN</t>
        </is>
      </c>
      <c r="E1923" t="inlineStr">
        <is>
          <t>FALKENBERG</t>
        </is>
      </c>
      <c r="F1923" t="inlineStr">
        <is>
          <t>Kyrkan</t>
        </is>
      </c>
      <c r="G1923" t="n">
        <v>7.5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5167-2022</t>
        </is>
      </c>
      <c r="B1924" s="1" t="n">
        <v>44594</v>
      </c>
      <c r="C1924" s="1" t="n">
        <v>45358</v>
      </c>
      <c r="D1924" t="inlineStr">
        <is>
          <t>HALLANDS LÄN</t>
        </is>
      </c>
      <c r="E1924" t="inlineStr">
        <is>
          <t>LAHOLM</t>
        </is>
      </c>
      <c r="F1924" t="inlineStr">
        <is>
          <t>Kommuner</t>
        </is>
      </c>
      <c r="G1924" t="n">
        <v>3.1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5330-2022</t>
        </is>
      </c>
      <c r="B1925" s="1" t="n">
        <v>44594</v>
      </c>
      <c r="C1925" s="1" t="n">
        <v>45358</v>
      </c>
      <c r="D1925" t="inlineStr">
        <is>
          <t>HALLANDS LÄN</t>
        </is>
      </c>
      <c r="E1925" t="inlineStr">
        <is>
          <t>HALMSTAD</t>
        </is>
      </c>
      <c r="G1925" t="n">
        <v>1.6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5522-2022</t>
        </is>
      </c>
      <c r="B1926" s="1" t="n">
        <v>44595</v>
      </c>
      <c r="C1926" s="1" t="n">
        <v>45358</v>
      </c>
      <c r="D1926" t="inlineStr">
        <is>
          <t>HALLANDS LÄN</t>
        </is>
      </c>
      <c r="E1926" t="inlineStr">
        <is>
          <t>HALMSTAD</t>
        </is>
      </c>
      <c r="G1926" t="n">
        <v>3.4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5597-2022</t>
        </is>
      </c>
      <c r="B1927" s="1" t="n">
        <v>44595</v>
      </c>
      <c r="C1927" s="1" t="n">
        <v>45358</v>
      </c>
      <c r="D1927" t="inlineStr">
        <is>
          <t>HALLANDS LÄN</t>
        </is>
      </c>
      <c r="E1927" t="inlineStr">
        <is>
          <t>VARBERG</t>
        </is>
      </c>
      <c r="G1927" t="n">
        <v>0.6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5738-2022</t>
        </is>
      </c>
      <c r="B1928" s="1" t="n">
        <v>44596</v>
      </c>
      <c r="C1928" s="1" t="n">
        <v>45358</v>
      </c>
      <c r="D1928" t="inlineStr">
        <is>
          <t>HALLANDS LÄN</t>
        </is>
      </c>
      <c r="E1928" t="inlineStr">
        <is>
          <t>HALMSTAD</t>
        </is>
      </c>
      <c r="G1928" t="n">
        <v>3.5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5677-2022</t>
        </is>
      </c>
      <c r="B1929" s="1" t="n">
        <v>44596</v>
      </c>
      <c r="C1929" s="1" t="n">
        <v>45358</v>
      </c>
      <c r="D1929" t="inlineStr">
        <is>
          <t>HALLANDS LÄN</t>
        </is>
      </c>
      <c r="E1929" t="inlineStr">
        <is>
          <t>LAHOLM</t>
        </is>
      </c>
      <c r="G1929" t="n">
        <v>0.2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5777-2022</t>
        </is>
      </c>
      <c r="B1930" s="1" t="n">
        <v>44596</v>
      </c>
      <c r="C1930" s="1" t="n">
        <v>45358</v>
      </c>
      <c r="D1930" t="inlineStr">
        <is>
          <t>HALLANDS LÄN</t>
        </is>
      </c>
      <c r="E1930" t="inlineStr">
        <is>
          <t>HYLTE</t>
        </is>
      </c>
      <c r="F1930" t="inlineStr">
        <is>
          <t>Bergvik skog väst AB</t>
        </is>
      </c>
      <c r="G1930" t="n">
        <v>15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5785-2022</t>
        </is>
      </c>
      <c r="B1931" s="1" t="n">
        <v>44596</v>
      </c>
      <c r="C1931" s="1" t="n">
        <v>45358</v>
      </c>
      <c r="D1931" t="inlineStr">
        <is>
          <t>HALLANDS LÄN</t>
        </is>
      </c>
      <c r="E1931" t="inlineStr">
        <is>
          <t>VARBERG</t>
        </is>
      </c>
      <c r="G1931" t="n">
        <v>9.1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5818-2022</t>
        </is>
      </c>
      <c r="B1932" s="1" t="n">
        <v>44596</v>
      </c>
      <c r="C1932" s="1" t="n">
        <v>45358</v>
      </c>
      <c r="D1932" t="inlineStr">
        <is>
          <t>HALLANDS LÄN</t>
        </is>
      </c>
      <c r="E1932" t="inlineStr">
        <is>
          <t>HALMSTAD</t>
        </is>
      </c>
      <c r="G1932" t="n">
        <v>1.8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5865-2022</t>
        </is>
      </c>
      <c r="B1933" s="1" t="n">
        <v>44596</v>
      </c>
      <c r="C1933" s="1" t="n">
        <v>45358</v>
      </c>
      <c r="D1933" t="inlineStr">
        <is>
          <t>HALLANDS LÄN</t>
        </is>
      </c>
      <c r="E1933" t="inlineStr">
        <is>
          <t>FALKENBERG</t>
        </is>
      </c>
      <c r="G1933" t="n">
        <v>1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6108-2022</t>
        </is>
      </c>
      <c r="B1934" s="1" t="n">
        <v>44599</v>
      </c>
      <c r="C1934" s="1" t="n">
        <v>45358</v>
      </c>
      <c r="D1934" t="inlineStr">
        <is>
          <t>HALLANDS LÄN</t>
        </is>
      </c>
      <c r="E1934" t="inlineStr">
        <is>
          <t>FALKENBERG</t>
        </is>
      </c>
      <c r="G1934" t="n">
        <v>1.9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6218-2022</t>
        </is>
      </c>
      <c r="B1935" s="1" t="n">
        <v>44600</v>
      </c>
      <c r="C1935" s="1" t="n">
        <v>45358</v>
      </c>
      <c r="D1935" t="inlineStr">
        <is>
          <t>HALLANDS LÄN</t>
        </is>
      </c>
      <c r="E1935" t="inlineStr">
        <is>
          <t>FALKENBERG</t>
        </is>
      </c>
      <c r="G1935" t="n">
        <v>1.4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6244-2022</t>
        </is>
      </c>
      <c r="B1936" s="1" t="n">
        <v>44600</v>
      </c>
      <c r="C1936" s="1" t="n">
        <v>45358</v>
      </c>
      <c r="D1936" t="inlineStr">
        <is>
          <t>HALLANDS LÄN</t>
        </is>
      </c>
      <c r="E1936" t="inlineStr">
        <is>
          <t>LAHOLM</t>
        </is>
      </c>
      <c r="G1936" t="n">
        <v>0.3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6250-2022</t>
        </is>
      </c>
      <c r="B1937" s="1" t="n">
        <v>44600</v>
      </c>
      <c r="C1937" s="1" t="n">
        <v>45358</v>
      </c>
      <c r="D1937" t="inlineStr">
        <is>
          <t>HALLANDS LÄN</t>
        </is>
      </c>
      <c r="E1937" t="inlineStr">
        <is>
          <t>LAHOLM</t>
        </is>
      </c>
      <c r="G1937" t="n">
        <v>0.4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6246-2022</t>
        </is>
      </c>
      <c r="B1938" s="1" t="n">
        <v>44600</v>
      </c>
      <c r="C1938" s="1" t="n">
        <v>45358</v>
      </c>
      <c r="D1938" t="inlineStr">
        <is>
          <t>HALLANDS LÄN</t>
        </is>
      </c>
      <c r="E1938" t="inlineStr">
        <is>
          <t>LAHOLM</t>
        </is>
      </c>
      <c r="G1938" t="n">
        <v>0.7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6252-2022</t>
        </is>
      </c>
      <c r="B1939" s="1" t="n">
        <v>44600</v>
      </c>
      <c r="C1939" s="1" t="n">
        <v>45358</v>
      </c>
      <c r="D1939" t="inlineStr">
        <is>
          <t>HALLANDS LÄN</t>
        </is>
      </c>
      <c r="E1939" t="inlineStr">
        <is>
          <t>LAHOLM</t>
        </is>
      </c>
      <c r="G1939" t="n">
        <v>0.4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6260-2022</t>
        </is>
      </c>
      <c r="B1940" s="1" t="n">
        <v>44600</v>
      </c>
      <c r="C1940" s="1" t="n">
        <v>45358</v>
      </c>
      <c r="D1940" t="inlineStr">
        <is>
          <t>HALLANDS LÄN</t>
        </is>
      </c>
      <c r="E1940" t="inlineStr">
        <is>
          <t>KUNGSBACKA</t>
        </is>
      </c>
      <c r="G1940" t="n">
        <v>2.4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6265-2022</t>
        </is>
      </c>
      <c r="B1941" s="1" t="n">
        <v>44600</v>
      </c>
      <c r="C1941" s="1" t="n">
        <v>45358</v>
      </c>
      <c r="D1941" t="inlineStr">
        <is>
          <t>HALLANDS LÄN</t>
        </is>
      </c>
      <c r="E1941" t="inlineStr">
        <is>
          <t>LAHOLM</t>
        </is>
      </c>
      <c r="G1941" t="n">
        <v>3.3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6316-2022</t>
        </is>
      </c>
      <c r="B1942" s="1" t="n">
        <v>44600</v>
      </c>
      <c r="C1942" s="1" t="n">
        <v>45358</v>
      </c>
      <c r="D1942" t="inlineStr">
        <is>
          <t>HALLANDS LÄN</t>
        </is>
      </c>
      <c r="E1942" t="inlineStr">
        <is>
          <t>FALKENBERG</t>
        </is>
      </c>
      <c r="G1942" t="n">
        <v>1.6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6325-2022</t>
        </is>
      </c>
      <c r="B1943" s="1" t="n">
        <v>44600</v>
      </c>
      <c r="C1943" s="1" t="n">
        <v>45358</v>
      </c>
      <c r="D1943" t="inlineStr">
        <is>
          <t>HALLANDS LÄN</t>
        </is>
      </c>
      <c r="E1943" t="inlineStr">
        <is>
          <t>FALKENBERG</t>
        </is>
      </c>
      <c r="G1943" t="n">
        <v>0.8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6241-2022</t>
        </is>
      </c>
      <c r="B1944" s="1" t="n">
        <v>44600</v>
      </c>
      <c r="C1944" s="1" t="n">
        <v>45358</v>
      </c>
      <c r="D1944" t="inlineStr">
        <is>
          <t>HALLANDS LÄN</t>
        </is>
      </c>
      <c r="E1944" t="inlineStr">
        <is>
          <t>LAHOLM</t>
        </is>
      </c>
      <c r="G1944" t="n">
        <v>0.7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6268-2022</t>
        </is>
      </c>
      <c r="B1945" s="1" t="n">
        <v>44600</v>
      </c>
      <c r="C1945" s="1" t="n">
        <v>45358</v>
      </c>
      <c r="D1945" t="inlineStr">
        <is>
          <t>HALLANDS LÄN</t>
        </is>
      </c>
      <c r="E1945" t="inlineStr">
        <is>
          <t>LAHOLM</t>
        </is>
      </c>
      <c r="G1945" t="n">
        <v>1.7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6220-2022</t>
        </is>
      </c>
      <c r="B1946" s="1" t="n">
        <v>44600</v>
      </c>
      <c r="C1946" s="1" t="n">
        <v>45358</v>
      </c>
      <c r="D1946" t="inlineStr">
        <is>
          <t>HALLANDS LÄN</t>
        </is>
      </c>
      <c r="E1946" t="inlineStr">
        <is>
          <t>FALKENBERG</t>
        </is>
      </c>
      <c r="G1946" t="n">
        <v>0.6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6271-2022</t>
        </is>
      </c>
      <c r="B1947" s="1" t="n">
        <v>44600</v>
      </c>
      <c r="C1947" s="1" t="n">
        <v>45358</v>
      </c>
      <c r="D1947" t="inlineStr">
        <is>
          <t>HALLANDS LÄN</t>
        </is>
      </c>
      <c r="E1947" t="inlineStr">
        <is>
          <t>LAHOLM</t>
        </is>
      </c>
      <c r="G1947" t="n">
        <v>0.5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6411-2022</t>
        </is>
      </c>
      <c r="B1948" s="1" t="n">
        <v>44600</v>
      </c>
      <c r="C1948" s="1" t="n">
        <v>45358</v>
      </c>
      <c r="D1948" t="inlineStr">
        <is>
          <t>HALLANDS LÄN</t>
        </is>
      </c>
      <c r="E1948" t="inlineStr">
        <is>
          <t>LAHOLM</t>
        </is>
      </c>
      <c r="G1948" t="n">
        <v>1.7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6322-2022</t>
        </is>
      </c>
      <c r="B1949" s="1" t="n">
        <v>44600</v>
      </c>
      <c r="C1949" s="1" t="n">
        <v>45358</v>
      </c>
      <c r="D1949" t="inlineStr">
        <is>
          <t>HALLANDS LÄN</t>
        </is>
      </c>
      <c r="E1949" t="inlineStr">
        <is>
          <t>FALKENBERG</t>
        </is>
      </c>
      <c r="G1949" t="n">
        <v>1.5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6377-2022</t>
        </is>
      </c>
      <c r="B1950" s="1" t="n">
        <v>44600</v>
      </c>
      <c r="C1950" s="1" t="n">
        <v>45358</v>
      </c>
      <c r="D1950" t="inlineStr">
        <is>
          <t>HALLANDS LÄN</t>
        </is>
      </c>
      <c r="E1950" t="inlineStr">
        <is>
          <t>VARBERG</t>
        </is>
      </c>
      <c r="G1950" t="n">
        <v>0.7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6419-2022</t>
        </is>
      </c>
      <c r="B1951" s="1" t="n">
        <v>44600</v>
      </c>
      <c r="C1951" s="1" t="n">
        <v>45358</v>
      </c>
      <c r="D1951" t="inlineStr">
        <is>
          <t>HALLANDS LÄN</t>
        </is>
      </c>
      <c r="E1951" t="inlineStr">
        <is>
          <t>HYLTE</t>
        </is>
      </c>
      <c r="G1951" t="n">
        <v>4.4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6415-2022</t>
        </is>
      </c>
      <c r="B1952" s="1" t="n">
        <v>44600</v>
      </c>
      <c r="C1952" s="1" t="n">
        <v>45358</v>
      </c>
      <c r="D1952" t="inlineStr">
        <is>
          <t>HALLANDS LÄN</t>
        </is>
      </c>
      <c r="E1952" t="inlineStr">
        <is>
          <t>HYLTE</t>
        </is>
      </c>
      <c r="G1952" t="n">
        <v>0.4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6417-2022</t>
        </is>
      </c>
      <c r="B1953" s="1" t="n">
        <v>44600</v>
      </c>
      <c r="C1953" s="1" t="n">
        <v>45358</v>
      </c>
      <c r="D1953" t="inlineStr">
        <is>
          <t>HALLANDS LÄN</t>
        </is>
      </c>
      <c r="E1953" t="inlineStr">
        <is>
          <t>HYLTE</t>
        </is>
      </c>
      <c r="G1953" t="n">
        <v>0.6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6504-2022</t>
        </is>
      </c>
      <c r="B1954" s="1" t="n">
        <v>44601</v>
      </c>
      <c r="C1954" s="1" t="n">
        <v>45358</v>
      </c>
      <c r="D1954" t="inlineStr">
        <is>
          <t>HALLANDS LÄN</t>
        </is>
      </c>
      <c r="E1954" t="inlineStr">
        <is>
          <t>KUNGSBACKA</t>
        </is>
      </c>
      <c r="G1954" t="n">
        <v>1.6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6610-2022</t>
        </is>
      </c>
      <c r="B1955" s="1" t="n">
        <v>44601</v>
      </c>
      <c r="C1955" s="1" t="n">
        <v>45358</v>
      </c>
      <c r="D1955" t="inlineStr">
        <is>
          <t>HALLANDS LÄN</t>
        </is>
      </c>
      <c r="E1955" t="inlineStr">
        <is>
          <t>HYLTE</t>
        </is>
      </c>
      <c r="G1955" t="n">
        <v>6.9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6703-2022</t>
        </is>
      </c>
      <c r="B1956" s="1" t="n">
        <v>44602</v>
      </c>
      <c r="C1956" s="1" t="n">
        <v>45358</v>
      </c>
      <c r="D1956" t="inlineStr">
        <is>
          <t>HALLANDS LÄN</t>
        </is>
      </c>
      <c r="E1956" t="inlineStr">
        <is>
          <t>FALKENBERG</t>
        </is>
      </c>
      <c r="G1956" t="n">
        <v>0.5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6833-2022</t>
        </is>
      </c>
      <c r="B1957" s="1" t="n">
        <v>44602</v>
      </c>
      <c r="C1957" s="1" t="n">
        <v>45358</v>
      </c>
      <c r="D1957" t="inlineStr">
        <is>
          <t>HALLANDS LÄN</t>
        </is>
      </c>
      <c r="E1957" t="inlineStr">
        <is>
          <t>LAHOLM</t>
        </is>
      </c>
      <c r="G1957" t="n">
        <v>1.4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7019-2022</t>
        </is>
      </c>
      <c r="B1958" s="1" t="n">
        <v>44603</v>
      </c>
      <c r="C1958" s="1" t="n">
        <v>45358</v>
      </c>
      <c r="D1958" t="inlineStr">
        <is>
          <t>HALLANDS LÄN</t>
        </is>
      </c>
      <c r="E1958" t="inlineStr">
        <is>
          <t>LAHOLM</t>
        </is>
      </c>
      <c r="G1958" t="n">
        <v>0.5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7405-2022</t>
        </is>
      </c>
      <c r="B1959" s="1" t="n">
        <v>44606</v>
      </c>
      <c r="C1959" s="1" t="n">
        <v>45358</v>
      </c>
      <c r="D1959" t="inlineStr">
        <is>
          <t>HALLANDS LÄN</t>
        </is>
      </c>
      <c r="E1959" t="inlineStr">
        <is>
          <t>LAHOLM</t>
        </is>
      </c>
      <c r="F1959" t="inlineStr">
        <is>
          <t>Kommuner</t>
        </is>
      </c>
      <c r="G1959" t="n">
        <v>5.8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7593-2022</t>
        </is>
      </c>
      <c r="B1960" s="1" t="n">
        <v>44607</v>
      </c>
      <c r="C1960" s="1" t="n">
        <v>45358</v>
      </c>
      <c r="D1960" t="inlineStr">
        <is>
          <t>HALLANDS LÄN</t>
        </is>
      </c>
      <c r="E1960" t="inlineStr">
        <is>
          <t>FALKENBERG</t>
        </is>
      </c>
      <c r="G1960" t="n">
        <v>1.7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7639-2022</t>
        </is>
      </c>
      <c r="B1961" s="1" t="n">
        <v>44607</v>
      </c>
      <c r="C1961" s="1" t="n">
        <v>45358</v>
      </c>
      <c r="D1961" t="inlineStr">
        <is>
          <t>HALLANDS LÄN</t>
        </is>
      </c>
      <c r="E1961" t="inlineStr">
        <is>
          <t>HALMSTAD</t>
        </is>
      </c>
      <c r="G1961" t="n">
        <v>1.4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7609-2022</t>
        </is>
      </c>
      <c r="B1962" s="1" t="n">
        <v>44607</v>
      </c>
      <c r="C1962" s="1" t="n">
        <v>45358</v>
      </c>
      <c r="D1962" t="inlineStr">
        <is>
          <t>HALLANDS LÄN</t>
        </is>
      </c>
      <c r="E1962" t="inlineStr">
        <is>
          <t>VARBERG</t>
        </is>
      </c>
      <c r="G1962" t="n">
        <v>1.6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7895-2022</t>
        </is>
      </c>
      <c r="B1963" s="1" t="n">
        <v>44607</v>
      </c>
      <c r="C1963" s="1" t="n">
        <v>45358</v>
      </c>
      <c r="D1963" t="inlineStr">
        <is>
          <t>HALLANDS LÄN</t>
        </is>
      </c>
      <c r="E1963" t="inlineStr">
        <is>
          <t>HYLTE</t>
        </is>
      </c>
      <c r="G1963" t="n">
        <v>12.5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8041-2022</t>
        </is>
      </c>
      <c r="B1964" s="1" t="n">
        <v>44609</v>
      </c>
      <c r="C1964" s="1" t="n">
        <v>45358</v>
      </c>
      <c r="D1964" t="inlineStr">
        <is>
          <t>HALLANDS LÄN</t>
        </is>
      </c>
      <c r="E1964" t="inlineStr">
        <is>
          <t>HALMSTAD</t>
        </is>
      </c>
      <c r="F1964" t="inlineStr">
        <is>
          <t>Kyrkan</t>
        </is>
      </c>
      <c r="G1964" t="n">
        <v>5.8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8071-2022</t>
        </is>
      </c>
      <c r="B1965" s="1" t="n">
        <v>44609</v>
      </c>
      <c r="C1965" s="1" t="n">
        <v>45358</v>
      </c>
      <c r="D1965" t="inlineStr">
        <is>
          <t>HALLANDS LÄN</t>
        </is>
      </c>
      <c r="E1965" t="inlineStr">
        <is>
          <t>HALMSTAD</t>
        </is>
      </c>
      <c r="G1965" t="n">
        <v>6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8284-2022</t>
        </is>
      </c>
      <c r="B1966" s="1" t="n">
        <v>44610</v>
      </c>
      <c r="C1966" s="1" t="n">
        <v>45358</v>
      </c>
      <c r="D1966" t="inlineStr">
        <is>
          <t>HALLANDS LÄN</t>
        </is>
      </c>
      <c r="E1966" t="inlineStr">
        <is>
          <t>HALMSTAD</t>
        </is>
      </c>
      <c r="G1966" t="n">
        <v>2.1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8349-2022</t>
        </is>
      </c>
      <c r="B1967" s="1" t="n">
        <v>44610</v>
      </c>
      <c r="C1967" s="1" t="n">
        <v>45358</v>
      </c>
      <c r="D1967" t="inlineStr">
        <is>
          <t>HALLANDS LÄN</t>
        </is>
      </c>
      <c r="E1967" t="inlineStr">
        <is>
          <t>FALKENBERG</t>
        </is>
      </c>
      <c r="G1967" t="n">
        <v>3.4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8640-2022</t>
        </is>
      </c>
      <c r="B1968" s="1" t="n">
        <v>44613</v>
      </c>
      <c r="C1968" s="1" t="n">
        <v>45358</v>
      </c>
      <c r="D1968" t="inlineStr">
        <is>
          <t>HALLANDS LÄN</t>
        </is>
      </c>
      <c r="E1968" t="inlineStr">
        <is>
          <t>KUNGSBACKA</t>
        </is>
      </c>
      <c r="G1968" t="n">
        <v>6.6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8677-2022</t>
        </is>
      </c>
      <c r="B1969" s="1" t="n">
        <v>44613</v>
      </c>
      <c r="C1969" s="1" t="n">
        <v>45358</v>
      </c>
      <c r="D1969" t="inlineStr">
        <is>
          <t>HALLANDS LÄN</t>
        </is>
      </c>
      <c r="E1969" t="inlineStr">
        <is>
          <t>KUNGSBACKA</t>
        </is>
      </c>
      <c r="G1969" t="n">
        <v>3.5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8610-2022</t>
        </is>
      </c>
      <c r="B1970" s="1" t="n">
        <v>44613</v>
      </c>
      <c r="C1970" s="1" t="n">
        <v>45358</v>
      </c>
      <c r="D1970" t="inlineStr">
        <is>
          <t>HALLANDS LÄN</t>
        </is>
      </c>
      <c r="E1970" t="inlineStr">
        <is>
          <t>FALKENBERG</t>
        </is>
      </c>
      <c r="G1970" t="n">
        <v>4.1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8543-2022</t>
        </is>
      </c>
      <c r="B1971" s="1" t="n">
        <v>44613</v>
      </c>
      <c r="C1971" s="1" t="n">
        <v>45358</v>
      </c>
      <c r="D1971" t="inlineStr">
        <is>
          <t>HALLANDS LÄN</t>
        </is>
      </c>
      <c r="E1971" t="inlineStr">
        <is>
          <t>HYLTE</t>
        </is>
      </c>
      <c r="G1971" t="n">
        <v>4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8902-2022</t>
        </is>
      </c>
      <c r="B1972" s="1" t="n">
        <v>44614</v>
      </c>
      <c r="C1972" s="1" t="n">
        <v>45358</v>
      </c>
      <c r="D1972" t="inlineStr">
        <is>
          <t>HALLANDS LÄN</t>
        </is>
      </c>
      <c r="E1972" t="inlineStr">
        <is>
          <t>FALKENBERG</t>
        </is>
      </c>
      <c r="G1972" t="n">
        <v>0.5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9002-2022</t>
        </is>
      </c>
      <c r="B1973" s="1" t="n">
        <v>44615</v>
      </c>
      <c r="C1973" s="1" t="n">
        <v>45358</v>
      </c>
      <c r="D1973" t="inlineStr">
        <is>
          <t>HALLANDS LÄN</t>
        </is>
      </c>
      <c r="E1973" t="inlineStr">
        <is>
          <t>VARBERG</t>
        </is>
      </c>
      <c r="G1973" t="n">
        <v>4.2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9056-2022</t>
        </is>
      </c>
      <c r="B1974" s="1" t="n">
        <v>44615</v>
      </c>
      <c r="C1974" s="1" t="n">
        <v>45358</v>
      </c>
      <c r="D1974" t="inlineStr">
        <is>
          <t>HALLANDS LÄN</t>
        </is>
      </c>
      <c r="E1974" t="inlineStr">
        <is>
          <t>HYLTE</t>
        </is>
      </c>
      <c r="G1974" t="n">
        <v>5.2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8989-2022</t>
        </is>
      </c>
      <c r="B1975" s="1" t="n">
        <v>44615</v>
      </c>
      <c r="C1975" s="1" t="n">
        <v>45358</v>
      </c>
      <c r="D1975" t="inlineStr">
        <is>
          <t>HALLANDS LÄN</t>
        </is>
      </c>
      <c r="E1975" t="inlineStr">
        <is>
          <t>VARBERG</t>
        </is>
      </c>
      <c r="G1975" t="n">
        <v>1.3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9328-2022</t>
        </is>
      </c>
      <c r="B1976" s="1" t="n">
        <v>44616</v>
      </c>
      <c r="C1976" s="1" t="n">
        <v>45358</v>
      </c>
      <c r="D1976" t="inlineStr">
        <is>
          <t>HALLANDS LÄN</t>
        </is>
      </c>
      <c r="E1976" t="inlineStr">
        <is>
          <t>FALKENBERG</t>
        </is>
      </c>
      <c r="F1976" t="inlineStr">
        <is>
          <t>Kommuner</t>
        </is>
      </c>
      <c r="G1976" t="n">
        <v>1.2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9323-2022</t>
        </is>
      </c>
      <c r="B1977" s="1" t="n">
        <v>44616</v>
      </c>
      <c r="C1977" s="1" t="n">
        <v>45358</v>
      </c>
      <c r="D1977" t="inlineStr">
        <is>
          <t>HALLANDS LÄN</t>
        </is>
      </c>
      <c r="E1977" t="inlineStr">
        <is>
          <t>FALKENBERG</t>
        </is>
      </c>
      <c r="F1977" t="inlineStr">
        <is>
          <t>Kommuner</t>
        </is>
      </c>
      <c r="G1977" t="n">
        <v>1.4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9364-2022</t>
        </is>
      </c>
      <c r="B1978" s="1" t="n">
        <v>44616</v>
      </c>
      <c r="C1978" s="1" t="n">
        <v>45358</v>
      </c>
      <c r="D1978" t="inlineStr">
        <is>
          <t>HALLANDS LÄN</t>
        </is>
      </c>
      <c r="E1978" t="inlineStr">
        <is>
          <t>FALKENBERG</t>
        </is>
      </c>
      <c r="F1978" t="inlineStr">
        <is>
          <t>Kommuner</t>
        </is>
      </c>
      <c r="G1978" t="n">
        <v>0.8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9556-2022</t>
        </is>
      </c>
      <c r="B1979" s="1" t="n">
        <v>44617</v>
      </c>
      <c r="C1979" s="1" t="n">
        <v>45358</v>
      </c>
      <c r="D1979" t="inlineStr">
        <is>
          <t>HALLANDS LÄN</t>
        </is>
      </c>
      <c r="E1979" t="inlineStr">
        <is>
          <t>FALKENBERG</t>
        </is>
      </c>
      <c r="G1979" t="n">
        <v>0.7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9507-2022</t>
        </is>
      </c>
      <c r="B1980" s="1" t="n">
        <v>44617</v>
      </c>
      <c r="C1980" s="1" t="n">
        <v>45358</v>
      </c>
      <c r="D1980" t="inlineStr">
        <is>
          <t>HALLANDS LÄN</t>
        </is>
      </c>
      <c r="E1980" t="inlineStr">
        <is>
          <t>KUNGSBACKA</t>
        </is>
      </c>
      <c r="F1980" t="inlineStr">
        <is>
          <t>Sveaskog</t>
        </is>
      </c>
      <c r="G1980" t="n">
        <v>1.1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9550-2022</t>
        </is>
      </c>
      <c r="B1981" s="1" t="n">
        <v>44617</v>
      </c>
      <c r="C1981" s="1" t="n">
        <v>45358</v>
      </c>
      <c r="D1981" t="inlineStr">
        <is>
          <t>HALLANDS LÄN</t>
        </is>
      </c>
      <c r="E1981" t="inlineStr">
        <is>
          <t>HYLTE</t>
        </is>
      </c>
      <c r="G1981" t="n">
        <v>3.8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9819-2022</t>
        </is>
      </c>
      <c r="B1982" s="1" t="n">
        <v>44620</v>
      </c>
      <c r="C1982" s="1" t="n">
        <v>45358</v>
      </c>
      <c r="D1982" t="inlineStr">
        <is>
          <t>HALLANDS LÄN</t>
        </is>
      </c>
      <c r="E1982" t="inlineStr">
        <is>
          <t>VARBERG</t>
        </is>
      </c>
      <c r="G1982" t="n">
        <v>2.3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10061-2022</t>
        </is>
      </c>
      <c r="B1983" s="1" t="n">
        <v>44621</v>
      </c>
      <c r="C1983" s="1" t="n">
        <v>45358</v>
      </c>
      <c r="D1983" t="inlineStr">
        <is>
          <t>HALLANDS LÄN</t>
        </is>
      </c>
      <c r="E1983" t="inlineStr">
        <is>
          <t>HALMSTAD</t>
        </is>
      </c>
      <c r="G1983" t="n">
        <v>2.5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10053-2022</t>
        </is>
      </c>
      <c r="B1984" s="1" t="n">
        <v>44621</v>
      </c>
      <c r="C1984" s="1" t="n">
        <v>45358</v>
      </c>
      <c r="D1984" t="inlineStr">
        <is>
          <t>HALLANDS LÄN</t>
        </is>
      </c>
      <c r="E1984" t="inlineStr">
        <is>
          <t>HALMSTAD</t>
        </is>
      </c>
      <c r="G1984" t="n">
        <v>1.4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10065-2022</t>
        </is>
      </c>
      <c r="B1985" s="1" t="n">
        <v>44621</v>
      </c>
      <c r="C1985" s="1" t="n">
        <v>45358</v>
      </c>
      <c r="D1985" t="inlineStr">
        <is>
          <t>HALLANDS LÄN</t>
        </is>
      </c>
      <c r="E1985" t="inlineStr">
        <is>
          <t>HALMSTAD</t>
        </is>
      </c>
      <c r="G1985" t="n">
        <v>3.3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10063-2022</t>
        </is>
      </c>
      <c r="B1986" s="1" t="n">
        <v>44621</v>
      </c>
      <c r="C1986" s="1" t="n">
        <v>45358</v>
      </c>
      <c r="D1986" t="inlineStr">
        <is>
          <t>HALLANDS LÄN</t>
        </is>
      </c>
      <c r="E1986" t="inlineStr">
        <is>
          <t>HALMSTAD</t>
        </is>
      </c>
      <c r="G1986" t="n">
        <v>3.7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10067-2022</t>
        </is>
      </c>
      <c r="B1987" s="1" t="n">
        <v>44621</v>
      </c>
      <c r="C1987" s="1" t="n">
        <v>45358</v>
      </c>
      <c r="D1987" t="inlineStr">
        <is>
          <t>HALLANDS LÄN</t>
        </is>
      </c>
      <c r="E1987" t="inlineStr">
        <is>
          <t>HALMSTAD</t>
        </is>
      </c>
      <c r="G1987" t="n">
        <v>0.7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10151-2022</t>
        </is>
      </c>
      <c r="B1988" s="1" t="n">
        <v>44621</v>
      </c>
      <c r="C1988" s="1" t="n">
        <v>45358</v>
      </c>
      <c r="D1988" t="inlineStr">
        <is>
          <t>HALLANDS LÄN</t>
        </is>
      </c>
      <c r="E1988" t="inlineStr">
        <is>
          <t>HYLTE</t>
        </is>
      </c>
      <c r="F1988" t="inlineStr">
        <is>
          <t>Kyrkan</t>
        </is>
      </c>
      <c r="G1988" t="n">
        <v>1.6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10186-2022</t>
        </is>
      </c>
      <c r="B1989" s="1" t="n">
        <v>44622</v>
      </c>
      <c r="C1989" s="1" t="n">
        <v>45358</v>
      </c>
      <c r="D1989" t="inlineStr">
        <is>
          <t>HALLANDS LÄN</t>
        </is>
      </c>
      <c r="E1989" t="inlineStr">
        <is>
          <t>VARBERG</t>
        </is>
      </c>
      <c r="G1989" t="n">
        <v>0.9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10269-2022</t>
        </is>
      </c>
      <c r="B1990" s="1" t="n">
        <v>44622</v>
      </c>
      <c r="C1990" s="1" t="n">
        <v>45358</v>
      </c>
      <c r="D1990" t="inlineStr">
        <is>
          <t>HALLANDS LÄN</t>
        </is>
      </c>
      <c r="E1990" t="inlineStr">
        <is>
          <t>HALMSTAD</t>
        </is>
      </c>
      <c r="G1990" t="n">
        <v>0.9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10270-2022</t>
        </is>
      </c>
      <c r="B1991" s="1" t="n">
        <v>44622</v>
      </c>
      <c r="C1991" s="1" t="n">
        <v>45358</v>
      </c>
      <c r="D1991" t="inlineStr">
        <is>
          <t>HALLANDS LÄN</t>
        </is>
      </c>
      <c r="E1991" t="inlineStr">
        <is>
          <t>FALKENBERG</t>
        </is>
      </c>
      <c r="G1991" t="n">
        <v>2.8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10276-2022</t>
        </is>
      </c>
      <c r="B1992" s="1" t="n">
        <v>44622</v>
      </c>
      <c r="C1992" s="1" t="n">
        <v>45358</v>
      </c>
      <c r="D1992" t="inlineStr">
        <is>
          <t>HALLANDS LÄN</t>
        </is>
      </c>
      <c r="E1992" t="inlineStr">
        <is>
          <t>HALMSTAD</t>
        </is>
      </c>
      <c r="G1992" t="n">
        <v>0.9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10263-2022</t>
        </is>
      </c>
      <c r="B1993" s="1" t="n">
        <v>44622</v>
      </c>
      <c r="C1993" s="1" t="n">
        <v>45358</v>
      </c>
      <c r="D1993" t="inlineStr">
        <is>
          <t>HALLANDS LÄN</t>
        </is>
      </c>
      <c r="E1993" t="inlineStr">
        <is>
          <t>HALMSTAD</t>
        </is>
      </c>
      <c r="G1993" t="n">
        <v>0.9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10285-2022</t>
        </is>
      </c>
      <c r="B1994" s="1" t="n">
        <v>44622</v>
      </c>
      <c r="C1994" s="1" t="n">
        <v>45358</v>
      </c>
      <c r="D1994" t="inlineStr">
        <is>
          <t>HALLANDS LÄN</t>
        </is>
      </c>
      <c r="E1994" t="inlineStr">
        <is>
          <t>HALMSTAD</t>
        </is>
      </c>
      <c r="F1994" t="inlineStr">
        <is>
          <t>Kommuner</t>
        </is>
      </c>
      <c r="G1994" t="n">
        <v>1.8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10268-2022</t>
        </is>
      </c>
      <c r="B1995" s="1" t="n">
        <v>44622</v>
      </c>
      <c r="C1995" s="1" t="n">
        <v>45358</v>
      </c>
      <c r="D1995" t="inlineStr">
        <is>
          <t>HALLANDS LÄN</t>
        </is>
      </c>
      <c r="E1995" t="inlineStr">
        <is>
          <t>FALKENBERG</t>
        </is>
      </c>
      <c r="G1995" t="n">
        <v>1.7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10448-2022</t>
        </is>
      </c>
      <c r="B1996" s="1" t="n">
        <v>44623</v>
      </c>
      <c r="C1996" s="1" t="n">
        <v>45358</v>
      </c>
      <c r="D1996" t="inlineStr">
        <is>
          <t>HALLANDS LÄN</t>
        </is>
      </c>
      <c r="E1996" t="inlineStr">
        <is>
          <t>FALKENBERG</t>
        </is>
      </c>
      <c r="G1996" t="n">
        <v>0.8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10635-2022</t>
        </is>
      </c>
      <c r="B1997" s="1" t="n">
        <v>44624</v>
      </c>
      <c r="C1997" s="1" t="n">
        <v>45358</v>
      </c>
      <c r="D1997" t="inlineStr">
        <is>
          <t>HALLANDS LÄN</t>
        </is>
      </c>
      <c r="E1997" t="inlineStr">
        <is>
          <t>HYLTE</t>
        </is>
      </c>
      <c r="G1997" t="n">
        <v>0.6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10570-2022</t>
        </is>
      </c>
      <c r="B1998" s="1" t="n">
        <v>44624</v>
      </c>
      <c r="C1998" s="1" t="n">
        <v>45358</v>
      </c>
      <c r="D1998" t="inlineStr">
        <is>
          <t>HALLANDS LÄN</t>
        </is>
      </c>
      <c r="E1998" t="inlineStr">
        <is>
          <t>LAHOLM</t>
        </is>
      </c>
      <c r="F1998" t="inlineStr">
        <is>
          <t>Sveaskog</t>
        </is>
      </c>
      <c r="G1998" t="n">
        <v>5.6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10636-2022</t>
        </is>
      </c>
      <c r="B1999" s="1" t="n">
        <v>44624</v>
      </c>
      <c r="C1999" s="1" t="n">
        <v>45358</v>
      </c>
      <c r="D1999" t="inlineStr">
        <is>
          <t>HALLANDS LÄN</t>
        </is>
      </c>
      <c r="E1999" t="inlineStr">
        <is>
          <t>HYLTE</t>
        </is>
      </c>
      <c r="G1999" t="n">
        <v>5.4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10748-2022</t>
        </is>
      </c>
      <c r="B2000" s="1" t="n">
        <v>44627</v>
      </c>
      <c r="C2000" s="1" t="n">
        <v>45358</v>
      </c>
      <c r="D2000" t="inlineStr">
        <is>
          <t>HALLANDS LÄN</t>
        </is>
      </c>
      <c r="E2000" t="inlineStr">
        <is>
          <t>FALKENBERG</t>
        </is>
      </c>
      <c r="G2000" t="n">
        <v>0.6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10746-2022</t>
        </is>
      </c>
      <c r="B2001" s="1" t="n">
        <v>44627</v>
      </c>
      <c r="C2001" s="1" t="n">
        <v>45358</v>
      </c>
      <c r="D2001" t="inlineStr">
        <is>
          <t>HALLANDS LÄN</t>
        </is>
      </c>
      <c r="E2001" t="inlineStr">
        <is>
          <t>FALKENBERG</t>
        </is>
      </c>
      <c r="G2001" t="n">
        <v>1.5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10941-2022</t>
        </is>
      </c>
      <c r="B2002" s="1" t="n">
        <v>44628</v>
      </c>
      <c r="C2002" s="1" t="n">
        <v>45358</v>
      </c>
      <c r="D2002" t="inlineStr">
        <is>
          <t>HALLANDS LÄN</t>
        </is>
      </c>
      <c r="E2002" t="inlineStr">
        <is>
          <t>VARBERG</t>
        </is>
      </c>
      <c r="G2002" t="n">
        <v>1.8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11056-2022</t>
        </is>
      </c>
      <c r="B2003" s="1" t="n">
        <v>44628</v>
      </c>
      <c r="C2003" s="1" t="n">
        <v>45358</v>
      </c>
      <c r="D2003" t="inlineStr">
        <is>
          <t>HALLANDS LÄN</t>
        </is>
      </c>
      <c r="E2003" t="inlineStr">
        <is>
          <t>FALKENBERG</t>
        </is>
      </c>
      <c r="F2003" t="inlineStr">
        <is>
          <t>Bergvik skog väst AB</t>
        </is>
      </c>
      <c r="G2003" t="n">
        <v>0.6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10940-2022</t>
        </is>
      </c>
      <c r="B2004" s="1" t="n">
        <v>44628</v>
      </c>
      <c r="C2004" s="1" t="n">
        <v>45358</v>
      </c>
      <c r="D2004" t="inlineStr">
        <is>
          <t>HALLANDS LÄN</t>
        </is>
      </c>
      <c r="E2004" t="inlineStr">
        <is>
          <t>VARBERG</t>
        </is>
      </c>
      <c r="G2004" t="n">
        <v>1.6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11091-2022</t>
        </is>
      </c>
      <c r="B2005" s="1" t="n">
        <v>44628</v>
      </c>
      <c r="C2005" s="1" t="n">
        <v>45358</v>
      </c>
      <c r="D2005" t="inlineStr">
        <is>
          <t>HALLANDS LÄN</t>
        </is>
      </c>
      <c r="E2005" t="inlineStr">
        <is>
          <t>HALMSTAD</t>
        </is>
      </c>
      <c r="G2005" t="n">
        <v>4.9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11088-2022</t>
        </is>
      </c>
      <c r="B2006" s="1" t="n">
        <v>44628</v>
      </c>
      <c r="C2006" s="1" t="n">
        <v>45358</v>
      </c>
      <c r="D2006" t="inlineStr">
        <is>
          <t>HALLANDS LÄN</t>
        </is>
      </c>
      <c r="E2006" t="inlineStr">
        <is>
          <t>HALMSTAD</t>
        </is>
      </c>
      <c r="G2006" t="n">
        <v>0.5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11154-2022</t>
        </is>
      </c>
      <c r="B2007" s="1" t="n">
        <v>44629</v>
      </c>
      <c r="C2007" s="1" t="n">
        <v>45358</v>
      </c>
      <c r="D2007" t="inlineStr">
        <is>
          <t>HALLANDS LÄN</t>
        </is>
      </c>
      <c r="E2007" t="inlineStr">
        <is>
          <t>KUNGSBACKA</t>
        </is>
      </c>
      <c r="G2007" t="n">
        <v>2.6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11321-2022</t>
        </is>
      </c>
      <c r="B2008" s="1" t="n">
        <v>44630</v>
      </c>
      <c r="C2008" s="1" t="n">
        <v>45358</v>
      </c>
      <c r="D2008" t="inlineStr">
        <is>
          <t>HALLANDS LÄN</t>
        </is>
      </c>
      <c r="E2008" t="inlineStr">
        <is>
          <t>VARBERG</t>
        </is>
      </c>
      <c r="G2008" t="n">
        <v>2.6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11567-2022</t>
        </is>
      </c>
      <c r="B2009" s="1" t="n">
        <v>44631</v>
      </c>
      <c r="C2009" s="1" t="n">
        <v>45358</v>
      </c>
      <c r="D2009" t="inlineStr">
        <is>
          <t>HALLANDS LÄN</t>
        </is>
      </c>
      <c r="E2009" t="inlineStr">
        <is>
          <t>HYLTE</t>
        </is>
      </c>
      <c r="G2009" t="n">
        <v>1.6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11574-2022</t>
        </is>
      </c>
      <c r="B2010" s="1" t="n">
        <v>44631</v>
      </c>
      <c r="C2010" s="1" t="n">
        <v>45358</v>
      </c>
      <c r="D2010" t="inlineStr">
        <is>
          <t>HALLANDS LÄN</t>
        </is>
      </c>
      <c r="E2010" t="inlineStr">
        <is>
          <t>FALKENBERG</t>
        </is>
      </c>
      <c r="G2010" t="n">
        <v>1.3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11689-2022</t>
        </is>
      </c>
      <c r="B2011" s="1" t="n">
        <v>44634</v>
      </c>
      <c r="C2011" s="1" t="n">
        <v>45358</v>
      </c>
      <c r="D2011" t="inlineStr">
        <is>
          <t>HALLANDS LÄN</t>
        </is>
      </c>
      <c r="E2011" t="inlineStr">
        <is>
          <t>HYLTE</t>
        </is>
      </c>
      <c r="G2011" t="n">
        <v>1.7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11941-2022</t>
        </is>
      </c>
      <c r="B2012" s="1" t="n">
        <v>44635</v>
      </c>
      <c r="C2012" s="1" t="n">
        <v>45358</v>
      </c>
      <c r="D2012" t="inlineStr">
        <is>
          <t>HALLANDS LÄN</t>
        </is>
      </c>
      <c r="E2012" t="inlineStr">
        <is>
          <t>HYLTE</t>
        </is>
      </c>
      <c r="F2012" t="inlineStr">
        <is>
          <t>Bergvik skog väst AB</t>
        </is>
      </c>
      <c r="G2012" t="n">
        <v>2.7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11852-2022</t>
        </is>
      </c>
      <c r="B2013" s="1" t="n">
        <v>44635</v>
      </c>
      <c r="C2013" s="1" t="n">
        <v>45358</v>
      </c>
      <c r="D2013" t="inlineStr">
        <is>
          <t>HALLANDS LÄN</t>
        </is>
      </c>
      <c r="E2013" t="inlineStr">
        <is>
          <t>VARBERG</t>
        </is>
      </c>
      <c r="G2013" t="n">
        <v>9.5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11886-2022</t>
        </is>
      </c>
      <c r="B2014" s="1" t="n">
        <v>44635</v>
      </c>
      <c r="C2014" s="1" t="n">
        <v>45358</v>
      </c>
      <c r="D2014" t="inlineStr">
        <is>
          <t>HALLANDS LÄN</t>
        </is>
      </c>
      <c r="E2014" t="inlineStr">
        <is>
          <t>HALMSTAD</t>
        </is>
      </c>
      <c r="G2014" t="n">
        <v>0.9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12241-2022</t>
        </is>
      </c>
      <c r="B2015" s="1" t="n">
        <v>44637</v>
      </c>
      <c r="C2015" s="1" t="n">
        <v>45358</v>
      </c>
      <c r="D2015" t="inlineStr">
        <is>
          <t>HALLANDS LÄN</t>
        </is>
      </c>
      <c r="E2015" t="inlineStr">
        <is>
          <t>HYLTE</t>
        </is>
      </c>
      <c r="G2015" t="n">
        <v>1.6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12415-2022</t>
        </is>
      </c>
      <c r="B2016" s="1" t="n">
        <v>44638</v>
      </c>
      <c r="C2016" s="1" t="n">
        <v>45358</v>
      </c>
      <c r="D2016" t="inlineStr">
        <is>
          <t>HALLANDS LÄN</t>
        </is>
      </c>
      <c r="E2016" t="inlineStr">
        <is>
          <t>HALMSTAD</t>
        </is>
      </c>
      <c r="G2016" t="n">
        <v>0.2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12493-2022</t>
        </is>
      </c>
      <c r="B2017" s="1" t="n">
        <v>44638</v>
      </c>
      <c r="C2017" s="1" t="n">
        <v>45358</v>
      </c>
      <c r="D2017" t="inlineStr">
        <is>
          <t>HALLANDS LÄN</t>
        </is>
      </c>
      <c r="E2017" t="inlineStr">
        <is>
          <t>VARBERG</t>
        </is>
      </c>
      <c r="G2017" t="n">
        <v>0.6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12538-2022</t>
        </is>
      </c>
      <c r="B2018" s="1" t="n">
        <v>44638</v>
      </c>
      <c r="C2018" s="1" t="n">
        <v>45358</v>
      </c>
      <c r="D2018" t="inlineStr">
        <is>
          <t>HALLANDS LÄN</t>
        </is>
      </c>
      <c r="E2018" t="inlineStr">
        <is>
          <t>HALMSTAD</t>
        </is>
      </c>
      <c r="G2018" t="n">
        <v>2.9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12541-2022</t>
        </is>
      </c>
      <c r="B2019" s="1" t="n">
        <v>44638</v>
      </c>
      <c r="C2019" s="1" t="n">
        <v>45358</v>
      </c>
      <c r="D2019" t="inlineStr">
        <is>
          <t>HALLANDS LÄN</t>
        </is>
      </c>
      <c r="E2019" t="inlineStr">
        <is>
          <t>FALKENBERG</t>
        </is>
      </c>
      <c r="G2019" t="n">
        <v>5.3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12537-2022</t>
        </is>
      </c>
      <c r="B2020" s="1" t="n">
        <v>44638</v>
      </c>
      <c r="C2020" s="1" t="n">
        <v>45358</v>
      </c>
      <c r="D2020" t="inlineStr">
        <is>
          <t>HALLANDS LÄN</t>
        </is>
      </c>
      <c r="E2020" t="inlineStr">
        <is>
          <t>FALKENBERG</t>
        </is>
      </c>
      <c r="G2020" t="n">
        <v>1.8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12417-2022</t>
        </is>
      </c>
      <c r="B2021" s="1" t="n">
        <v>44638</v>
      </c>
      <c r="C2021" s="1" t="n">
        <v>45358</v>
      </c>
      <c r="D2021" t="inlineStr">
        <is>
          <t>HALLANDS LÄN</t>
        </is>
      </c>
      <c r="E2021" t="inlineStr">
        <is>
          <t>HALMSTAD</t>
        </is>
      </c>
      <c r="G2021" t="n">
        <v>2.7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12550-2022</t>
        </is>
      </c>
      <c r="B2022" s="1" t="n">
        <v>44638</v>
      </c>
      <c r="C2022" s="1" t="n">
        <v>45358</v>
      </c>
      <c r="D2022" t="inlineStr">
        <is>
          <t>HALLANDS LÄN</t>
        </is>
      </c>
      <c r="E2022" t="inlineStr">
        <is>
          <t>HYLTE</t>
        </is>
      </c>
      <c r="G2022" t="n">
        <v>1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12587-2022</t>
        </is>
      </c>
      <c r="B2023" s="1" t="n">
        <v>44639</v>
      </c>
      <c r="C2023" s="1" t="n">
        <v>45358</v>
      </c>
      <c r="D2023" t="inlineStr">
        <is>
          <t>HALLANDS LÄN</t>
        </is>
      </c>
      <c r="E2023" t="inlineStr">
        <is>
          <t>LAHOLM</t>
        </is>
      </c>
      <c r="G2023" t="n">
        <v>1.6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12586-2022</t>
        </is>
      </c>
      <c r="B2024" s="1" t="n">
        <v>44639</v>
      </c>
      <c r="C2024" s="1" t="n">
        <v>45358</v>
      </c>
      <c r="D2024" t="inlineStr">
        <is>
          <t>HALLANDS LÄN</t>
        </is>
      </c>
      <c r="E2024" t="inlineStr">
        <is>
          <t>LAHOLM</t>
        </is>
      </c>
      <c r="G2024" t="n">
        <v>0.5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12706-2022</t>
        </is>
      </c>
      <c r="B2025" s="1" t="n">
        <v>44641</v>
      </c>
      <c r="C2025" s="1" t="n">
        <v>45358</v>
      </c>
      <c r="D2025" t="inlineStr">
        <is>
          <t>HALLANDS LÄN</t>
        </is>
      </c>
      <c r="E2025" t="inlineStr">
        <is>
          <t>HYLTE</t>
        </is>
      </c>
      <c r="G2025" t="n">
        <v>1.7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12721-2022</t>
        </is>
      </c>
      <c r="B2026" s="1" t="n">
        <v>44641</v>
      </c>
      <c r="C2026" s="1" t="n">
        <v>45358</v>
      </c>
      <c r="D2026" t="inlineStr">
        <is>
          <t>HALLANDS LÄN</t>
        </is>
      </c>
      <c r="E2026" t="inlineStr">
        <is>
          <t>LAHOLM</t>
        </is>
      </c>
      <c r="F2026" t="inlineStr">
        <is>
          <t>Sveaskog</t>
        </is>
      </c>
      <c r="G2026" t="n">
        <v>2.4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12748-2022</t>
        </is>
      </c>
      <c r="B2027" s="1" t="n">
        <v>44641</v>
      </c>
      <c r="C2027" s="1" t="n">
        <v>45358</v>
      </c>
      <c r="D2027" t="inlineStr">
        <is>
          <t>HALLANDS LÄN</t>
        </is>
      </c>
      <c r="E2027" t="inlineStr">
        <is>
          <t>VARBERG</t>
        </is>
      </c>
      <c r="G2027" t="n">
        <v>1.3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12722-2022</t>
        </is>
      </c>
      <c r="B2028" s="1" t="n">
        <v>44641</v>
      </c>
      <c r="C2028" s="1" t="n">
        <v>45358</v>
      </c>
      <c r="D2028" t="inlineStr">
        <is>
          <t>HALLANDS LÄN</t>
        </is>
      </c>
      <c r="E2028" t="inlineStr">
        <is>
          <t>LAHOLM</t>
        </is>
      </c>
      <c r="F2028" t="inlineStr">
        <is>
          <t>Sveaskog</t>
        </is>
      </c>
      <c r="G2028" t="n">
        <v>5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12743-2022</t>
        </is>
      </c>
      <c r="B2029" s="1" t="n">
        <v>44641</v>
      </c>
      <c r="C2029" s="1" t="n">
        <v>45358</v>
      </c>
      <c r="D2029" t="inlineStr">
        <is>
          <t>HALLANDS LÄN</t>
        </is>
      </c>
      <c r="E2029" t="inlineStr">
        <is>
          <t>VARBERG</t>
        </is>
      </c>
      <c r="G2029" t="n">
        <v>1.3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12803-2022</t>
        </is>
      </c>
      <c r="B2030" s="1" t="n">
        <v>44642</v>
      </c>
      <c r="C2030" s="1" t="n">
        <v>45358</v>
      </c>
      <c r="D2030" t="inlineStr">
        <is>
          <t>HALLANDS LÄN</t>
        </is>
      </c>
      <c r="E2030" t="inlineStr">
        <is>
          <t>FALKENBERG</t>
        </is>
      </c>
      <c r="G2030" t="n">
        <v>1.7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12890-2022</t>
        </is>
      </c>
      <c r="B2031" s="1" t="n">
        <v>44642</v>
      </c>
      <c r="C2031" s="1" t="n">
        <v>45358</v>
      </c>
      <c r="D2031" t="inlineStr">
        <is>
          <t>HALLANDS LÄN</t>
        </is>
      </c>
      <c r="E2031" t="inlineStr">
        <is>
          <t>HALMSTAD</t>
        </is>
      </c>
      <c r="G2031" t="n">
        <v>3.6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13113-2022</t>
        </is>
      </c>
      <c r="B2032" s="1" t="n">
        <v>44644</v>
      </c>
      <c r="C2032" s="1" t="n">
        <v>45358</v>
      </c>
      <c r="D2032" t="inlineStr">
        <is>
          <t>HALLANDS LÄN</t>
        </is>
      </c>
      <c r="E2032" t="inlineStr">
        <is>
          <t>FALKENBERG</t>
        </is>
      </c>
      <c r="G2032" t="n">
        <v>3.1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13141-2022</t>
        </is>
      </c>
      <c r="B2033" s="1" t="n">
        <v>44644</v>
      </c>
      <c r="C2033" s="1" t="n">
        <v>45358</v>
      </c>
      <c r="D2033" t="inlineStr">
        <is>
          <t>HALLANDS LÄN</t>
        </is>
      </c>
      <c r="E2033" t="inlineStr">
        <is>
          <t>VARBERG</t>
        </is>
      </c>
      <c r="G2033" t="n">
        <v>1.4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 ht="15" customHeight="1">
      <c r="A2034" t="inlineStr">
        <is>
          <t>A 13159-2022</t>
        </is>
      </c>
      <c r="B2034" s="1" t="n">
        <v>44644</v>
      </c>
      <c r="C2034" s="1" t="n">
        <v>45358</v>
      </c>
      <c r="D2034" t="inlineStr">
        <is>
          <t>HALLANDS LÄN</t>
        </is>
      </c>
      <c r="E2034" t="inlineStr">
        <is>
          <t>HYLTE</t>
        </is>
      </c>
      <c r="G2034" t="n">
        <v>0.7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</row>
    <row r="2035" ht="15" customHeight="1">
      <c r="A2035" t="inlineStr">
        <is>
          <t>A 13252-2022</t>
        </is>
      </c>
      <c r="B2035" s="1" t="n">
        <v>44644</v>
      </c>
      <c r="C2035" s="1" t="n">
        <v>45358</v>
      </c>
      <c r="D2035" t="inlineStr">
        <is>
          <t>HALLANDS LÄN</t>
        </is>
      </c>
      <c r="E2035" t="inlineStr">
        <is>
          <t>HYLTE</t>
        </is>
      </c>
      <c r="G2035" t="n">
        <v>1.4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</row>
    <row r="2036" ht="15" customHeight="1">
      <c r="A2036" t="inlineStr">
        <is>
          <t>A 13326-2022</t>
        </is>
      </c>
      <c r="B2036" s="1" t="n">
        <v>44645</v>
      </c>
      <c r="C2036" s="1" t="n">
        <v>45358</v>
      </c>
      <c r="D2036" t="inlineStr">
        <is>
          <t>HALLANDS LÄN</t>
        </is>
      </c>
      <c r="E2036" t="inlineStr">
        <is>
          <t>LAHOLM</t>
        </is>
      </c>
      <c r="G2036" t="n">
        <v>1.1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s="2" t="inlineStr"/>
    </row>
    <row r="2037" ht="15" customHeight="1">
      <c r="A2037" t="inlineStr">
        <is>
          <t>A 13373-2022</t>
        </is>
      </c>
      <c r="B2037" s="1" t="n">
        <v>44645</v>
      </c>
      <c r="C2037" s="1" t="n">
        <v>45358</v>
      </c>
      <c r="D2037" t="inlineStr">
        <is>
          <t>HALLANDS LÄN</t>
        </is>
      </c>
      <c r="E2037" t="inlineStr">
        <is>
          <t>KUNGSBACKA</t>
        </is>
      </c>
      <c r="G2037" t="n">
        <v>4.7</v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s="2" t="inlineStr"/>
    </row>
    <row r="2038" ht="15" customHeight="1">
      <c r="A2038" t="inlineStr">
        <is>
          <t>A 13434-2022</t>
        </is>
      </c>
      <c r="B2038" s="1" t="n">
        <v>44645</v>
      </c>
      <c r="C2038" s="1" t="n">
        <v>45358</v>
      </c>
      <c r="D2038" t="inlineStr">
        <is>
          <t>HALLANDS LÄN</t>
        </is>
      </c>
      <c r="E2038" t="inlineStr">
        <is>
          <t>KUNGSBACKA</t>
        </is>
      </c>
      <c r="G2038" t="n">
        <v>4.6</v>
      </c>
      <c r="H2038" t="n">
        <v>0</v>
      </c>
      <c r="I2038" t="n">
        <v>0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s="2" t="inlineStr"/>
    </row>
    <row r="2039" ht="15" customHeight="1">
      <c r="A2039" t="inlineStr">
        <is>
          <t>A 13645-2022</t>
        </is>
      </c>
      <c r="B2039" s="1" t="n">
        <v>44648</v>
      </c>
      <c r="C2039" s="1" t="n">
        <v>45358</v>
      </c>
      <c r="D2039" t="inlineStr">
        <is>
          <t>HALLANDS LÄN</t>
        </is>
      </c>
      <c r="E2039" t="inlineStr">
        <is>
          <t>VARBERG</t>
        </is>
      </c>
      <c r="G2039" t="n">
        <v>11.4</v>
      </c>
      <c r="H2039" t="n">
        <v>0</v>
      </c>
      <c r="I2039" t="n">
        <v>0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s="2" t="inlineStr"/>
    </row>
    <row r="2040" ht="15" customHeight="1">
      <c r="A2040" t="inlineStr">
        <is>
          <t>A 13697-2022</t>
        </is>
      </c>
      <c r="B2040" s="1" t="n">
        <v>44648</v>
      </c>
      <c r="C2040" s="1" t="n">
        <v>45358</v>
      </c>
      <c r="D2040" t="inlineStr">
        <is>
          <t>HALLANDS LÄN</t>
        </is>
      </c>
      <c r="E2040" t="inlineStr">
        <is>
          <t>HYLTE</t>
        </is>
      </c>
      <c r="G2040" t="n">
        <v>0.4</v>
      </c>
      <c r="H2040" t="n">
        <v>0</v>
      </c>
      <c r="I2040" t="n">
        <v>0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s="2" t="inlineStr"/>
    </row>
    <row r="2041" ht="15" customHeight="1">
      <c r="A2041" t="inlineStr">
        <is>
          <t>A 13725-2022</t>
        </is>
      </c>
      <c r="B2041" s="1" t="n">
        <v>44649</v>
      </c>
      <c r="C2041" s="1" t="n">
        <v>45358</v>
      </c>
      <c r="D2041" t="inlineStr">
        <is>
          <t>HALLANDS LÄN</t>
        </is>
      </c>
      <c r="E2041" t="inlineStr">
        <is>
          <t>HALMSTAD</t>
        </is>
      </c>
      <c r="G2041" t="n">
        <v>2.2</v>
      </c>
      <c r="H2041" t="n">
        <v>0</v>
      </c>
      <c r="I2041" t="n">
        <v>0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s="2" t="inlineStr"/>
    </row>
    <row r="2042" ht="15" customHeight="1">
      <c r="A2042" t="inlineStr">
        <is>
          <t>A 13739-2022</t>
        </is>
      </c>
      <c r="B2042" s="1" t="n">
        <v>44649</v>
      </c>
      <c r="C2042" s="1" t="n">
        <v>45358</v>
      </c>
      <c r="D2042" t="inlineStr">
        <is>
          <t>HALLANDS LÄN</t>
        </is>
      </c>
      <c r="E2042" t="inlineStr">
        <is>
          <t>KUNGSBACKA</t>
        </is>
      </c>
      <c r="G2042" t="n">
        <v>3.1</v>
      </c>
      <c r="H2042" t="n">
        <v>0</v>
      </c>
      <c r="I2042" t="n">
        <v>0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s="2" t="inlineStr"/>
    </row>
    <row r="2043" ht="15" customHeight="1">
      <c r="A2043" t="inlineStr">
        <is>
          <t>A 13799-2022</t>
        </is>
      </c>
      <c r="B2043" s="1" t="n">
        <v>44649</v>
      </c>
      <c r="C2043" s="1" t="n">
        <v>45358</v>
      </c>
      <c r="D2043" t="inlineStr">
        <is>
          <t>HALLANDS LÄN</t>
        </is>
      </c>
      <c r="E2043" t="inlineStr">
        <is>
          <t>VARBERG</t>
        </is>
      </c>
      <c r="G2043" t="n">
        <v>2.1</v>
      </c>
      <c r="H2043" t="n">
        <v>0</v>
      </c>
      <c r="I2043" t="n">
        <v>0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s="2" t="inlineStr"/>
    </row>
    <row r="2044" ht="15" customHeight="1">
      <c r="A2044" t="inlineStr">
        <is>
          <t>A 13782-2022</t>
        </is>
      </c>
      <c r="B2044" s="1" t="n">
        <v>44649</v>
      </c>
      <c r="C2044" s="1" t="n">
        <v>45358</v>
      </c>
      <c r="D2044" t="inlineStr">
        <is>
          <t>HALLANDS LÄN</t>
        </is>
      </c>
      <c r="E2044" t="inlineStr">
        <is>
          <t>VARBERG</t>
        </is>
      </c>
      <c r="G2044" t="n">
        <v>1.5</v>
      </c>
      <c r="H2044" t="n">
        <v>0</v>
      </c>
      <c r="I2044" t="n">
        <v>0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s="2" t="inlineStr"/>
    </row>
    <row r="2045" ht="15" customHeight="1">
      <c r="A2045" t="inlineStr">
        <is>
          <t>A 13825-2022</t>
        </is>
      </c>
      <c r="B2045" s="1" t="n">
        <v>44649</v>
      </c>
      <c r="C2045" s="1" t="n">
        <v>45358</v>
      </c>
      <c r="D2045" t="inlineStr">
        <is>
          <t>HALLANDS LÄN</t>
        </is>
      </c>
      <c r="E2045" t="inlineStr">
        <is>
          <t>VARBERG</t>
        </is>
      </c>
      <c r="G2045" t="n">
        <v>1.4</v>
      </c>
      <c r="H2045" t="n">
        <v>0</v>
      </c>
      <c r="I2045" t="n">
        <v>0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s="2" t="inlineStr"/>
    </row>
    <row r="2046" ht="15" customHeight="1">
      <c r="A2046" t="inlineStr">
        <is>
          <t>A 13788-2022</t>
        </is>
      </c>
      <c r="B2046" s="1" t="n">
        <v>44649</v>
      </c>
      <c r="C2046" s="1" t="n">
        <v>45358</v>
      </c>
      <c r="D2046" t="inlineStr">
        <is>
          <t>HALLANDS LÄN</t>
        </is>
      </c>
      <c r="E2046" t="inlineStr">
        <is>
          <t>VARBERG</t>
        </is>
      </c>
      <c r="G2046" t="n">
        <v>1.1</v>
      </c>
      <c r="H2046" t="n">
        <v>0</v>
      </c>
      <c r="I2046" t="n">
        <v>0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s="2" t="inlineStr"/>
    </row>
    <row r="2047" ht="15" customHeight="1">
      <c r="A2047" t="inlineStr">
        <is>
          <t>A 13828-2022</t>
        </is>
      </c>
      <c r="B2047" s="1" t="n">
        <v>44649</v>
      </c>
      <c r="C2047" s="1" t="n">
        <v>45358</v>
      </c>
      <c r="D2047" t="inlineStr">
        <is>
          <t>HALLANDS LÄN</t>
        </is>
      </c>
      <c r="E2047" t="inlineStr">
        <is>
          <t>VARBERG</t>
        </is>
      </c>
      <c r="G2047" t="n">
        <v>2.8</v>
      </c>
      <c r="H2047" t="n">
        <v>0</v>
      </c>
      <c r="I2047" t="n">
        <v>0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s="2" t="inlineStr"/>
    </row>
    <row r="2048" ht="15" customHeight="1">
      <c r="A2048" t="inlineStr">
        <is>
          <t>A 14257-2022</t>
        </is>
      </c>
      <c r="B2048" s="1" t="n">
        <v>44651</v>
      </c>
      <c r="C2048" s="1" t="n">
        <v>45358</v>
      </c>
      <c r="D2048" t="inlineStr">
        <is>
          <t>HALLANDS LÄN</t>
        </is>
      </c>
      <c r="E2048" t="inlineStr">
        <is>
          <t>HYLTE</t>
        </is>
      </c>
      <c r="G2048" t="n">
        <v>1.1</v>
      </c>
      <c r="H2048" t="n">
        <v>0</v>
      </c>
      <c r="I2048" t="n">
        <v>0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s="2" t="inlineStr"/>
    </row>
    <row r="2049" ht="15" customHeight="1">
      <c r="A2049" t="inlineStr">
        <is>
          <t>A 14176-2022</t>
        </is>
      </c>
      <c r="B2049" s="1" t="n">
        <v>44651</v>
      </c>
      <c r="C2049" s="1" t="n">
        <v>45358</v>
      </c>
      <c r="D2049" t="inlineStr">
        <is>
          <t>HALLANDS LÄN</t>
        </is>
      </c>
      <c r="E2049" t="inlineStr">
        <is>
          <t>HYLTE</t>
        </is>
      </c>
      <c r="G2049" t="n">
        <v>0.4</v>
      </c>
      <c r="H2049" t="n">
        <v>0</v>
      </c>
      <c r="I2049" t="n">
        <v>0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s="2" t="inlineStr"/>
    </row>
    <row r="2050" ht="15" customHeight="1">
      <c r="A2050" t="inlineStr">
        <is>
          <t>A 14254-2022</t>
        </is>
      </c>
      <c r="B2050" s="1" t="n">
        <v>44651</v>
      </c>
      <c r="C2050" s="1" t="n">
        <v>45358</v>
      </c>
      <c r="D2050" t="inlineStr">
        <is>
          <t>HALLANDS LÄN</t>
        </is>
      </c>
      <c r="E2050" t="inlineStr">
        <is>
          <t>HYLTE</t>
        </is>
      </c>
      <c r="G2050" t="n">
        <v>2.2</v>
      </c>
      <c r="H2050" t="n">
        <v>0</v>
      </c>
      <c r="I2050" t="n">
        <v>0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s="2" t="inlineStr"/>
    </row>
    <row r="2051" ht="15" customHeight="1">
      <c r="A2051" t="inlineStr">
        <is>
          <t>A 14256-2022</t>
        </is>
      </c>
      <c r="B2051" s="1" t="n">
        <v>44651</v>
      </c>
      <c r="C2051" s="1" t="n">
        <v>45358</v>
      </c>
      <c r="D2051" t="inlineStr">
        <is>
          <t>HALLANDS LÄN</t>
        </is>
      </c>
      <c r="E2051" t="inlineStr">
        <is>
          <t>HYLTE</t>
        </is>
      </c>
      <c r="G2051" t="n">
        <v>1</v>
      </c>
      <c r="H2051" t="n">
        <v>0</v>
      </c>
      <c r="I2051" t="n">
        <v>0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s="2" t="inlineStr"/>
    </row>
    <row r="2052" ht="15" customHeight="1">
      <c r="A2052" t="inlineStr">
        <is>
          <t>A 14312-2022</t>
        </is>
      </c>
      <c r="B2052" s="1" t="n">
        <v>44652</v>
      </c>
      <c r="C2052" s="1" t="n">
        <v>45358</v>
      </c>
      <c r="D2052" t="inlineStr">
        <is>
          <t>HALLANDS LÄN</t>
        </is>
      </c>
      <c r="E2052" t="inlineStr">
        <is>
          <t>VARBERG</t>
        </is>
      </c>
      <c r="G2052" t="n">
        <v>2.2</v>
      </c>
      <c r="H2052" t="n">
        <v>0</v>
      </c>
      <c r="I2052" t="n">
        <v>0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s="2" t="inlineStr"/>
    </row>
    <row r="2053" ht="15" customHeight="1">
      <c r="A2053" t="inlineStr">
        <is>
          <t>A 14331-2022</t>
        </is>
      </c>
      <c r="B2053" s="1" t="n">
        <v>44652</v>
      </c>
      <c r="C2053" s="1" t="n">
        <v>45358</v>
      </c>
      <c r="D2053" t="inlineStr">
        <is>
          <t>HALLANDS LÄN</t>
        </is>
      </c>
      <c r="E2053" t="inlineStr">
        <is>
          <t>FALKENBERG</t>
        </is>
      </c>
      <c r="G2053" t="n">
        <v>1.5</v>
      </c>
      <c r="H2053" t="n">
        <v>0</v>
      </c>
      <c r="I2053" t="n">
        <v>0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s="2" t="inlineStr"/>
    </row>
    <row r="2054" ht="15" customHeight="1">
      <c r="A2054" t="inlineStr">
        <is>
          <t>A 14712-2022</t>
        </is>
      </c>
      <c r="B2054" s="1" t="n">
        <v>44655</v>
      </c>
      <c r="C2054" s="1" t="n">
        <v>45358</v>
      </c>
      <c r="D2054" t="inlineStr">
        <is>
          <t>HALLANDS LÄN</t>
        </is>
      </c>
      <c r="E2054" t="inlineStr">
        <is>
          <t>HYLTE</t>
        </is>
      </c>
      <c r="G2054" t="n">
        <v>0.9</v>
      </c>
      <c r="H2054" t="n">
        <v>0</v>
      </c>
      <c r="I2054" t="n">
        <v>0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s="2" t="inlineStr"/>
    </row>
    <row r="2055" ht="15" customHeight="1">
      <c r="A2055" t="inlineStr">
        <is>
          <t>A 14753-2022</t>
        </is>
      </c>
      <c r="B2055" s="1" t="n">
        <v>44656</v>
      </c>
      <c r="C2055" s="1" t="n">
        <v>45358</v>
      </c>
      <c r="D2055" t="inlineStr">
        <is>
          <t>HALLANDS LÄN</t>
        </is>
      </c>
      <c r="E2055" t="inlineStr">
        <is>
          <t>FALKENBERG</t>
        </is>
      </c>
      <c r="G2055" t="n">
        <v>0.9</v>
      </c>
      <c r="H2055" t="n">
        <v>0</v>
      </c>
      <c r="I2055" t="n">
        <v>0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s="2" t="inlineStr"/>
    </row>
    <row r="2056" ht="15" customHeight="1">
      <c r="A2056" t="inlineStr">
        <is>
          <t>A 14707-2022</t>
        </is>
      </c>
      <c r="B2056" s="1" t="n">
        <v>44656</v>
      </c>
      <c r="C2056" s="1" t="n">
        <v>45358</v>
      </c>
      <c r="D2056" t="inlineStr">
        <is>
          <t>HALLANDS LÄN</t>
        </is>
      </c>
      <c r="E2056" t="inlineStr">
        <is>
          <t>HALMSTAD</t>
        </is>
      </c>
      <c r="G2056" t="n">
        <v>1.1</v>
      </c>
      <c r="H2056" t="n">
        <v>0</v>
      </c>
      <c r="I2056" t="n">
        <v>0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s="2" t="inlineStr"/>
    </row>
    <row r="2057" ht="15" customHeight="1">
      <c r="A2057" t="inlineStr">
        <is>
          <t>A 14779-2022</t>
        </is>
      </c>
      <c r="B2057" s="1" t="n">
        <v>44656</v>
      </c>
      <c r="C2057" s="1" t="n">
        <v>45358</v>
      </c>
      <c r="D2057" t="inlineStr">
        <is>
          <t>HALLANDS LÄN</t>
        </is>
      </c>
      <c r="E2057" t="inlineStr">
        <is>
          <t>HALMSTAD</t>
        </is>
      </c>
      <c r="G2057" t="n">
        <v>5.3</v>
      </c>
      <c r="H2057" t="n">
        <v>0</v>
      </c>
      <c r="I2057" t="n">
        <v>0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s="2" t="inlineStr"/>
    </row>
    <row r="2058" ht="15" customHeight="1">
      <c r="A2058" t="inlineStr">
        <is>
          <t>A 14956-2022</t>
        </is>
      </c>
      <c r="B2058" s="1" t="n">
        <v>44657</v>
      </c>
      <c r="C2058" s="1" t="n">
        <v>45358</v>
      </c>
      <c r="D2058" t="inlineStr">
        <is>
          <t>HALLANDS LÄN</t>
        </is>
      </c>
      <c r="E2058" t="inlineStr">
        <is>
          <t>VARBERG</t>
        </is>
      </c>
      <c r="G2058" t="n">
        <v>3.1</v>
      </c>
      <c r="H2058" t="n">
        <v>0</v>
      </c>
      <c r="I2058" t="n">
        <v>0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s="2" t="inlineStr"/>
    </row>
    <row r="2059" ht="15" customHeight="1">
      <c r="A2059" t="inlineStr">
        <is>
          <t>A 14991-2022</t>
        </is>
      </c>
      <c r="B2059" s="1" t="n">
        <v>44657</v>
      </c>
      <c r="C2059" s="1" t="n">
        <v>45358</v>
      </c>
      <c r="D2059" t="inlineStr">
        <is>
          <t>HALLANDS LÄN</t>
        </is>
      </c>
      <c r="E2059" t="inlineStr">
        <is>
          <t>VARBERG</t>
        </is>
      </c>
      <c r="G2059" t="n">
        <v>1.8</v>
      </c>
      <c r="H2059" t="n">
        <v>0</v>
      </c>
      <c r="I2059" t="n">
        <v>0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s="2" t="inlineStr"/>
    </row>
    <row r="2060" ht="15" customHeight="1">
      <c r="A2060" t="inlineStr">
        <is>
          <t>A 15067-2022</t>
        </is>
      </c>
      <c r="B2060" s="1" t="n">
        <v>44657</v>
      </c>
      <c r="C2060" s="1" t="n">
        <v>45358</v>
      </c>
      <c r="D2060" t="inlineStr">
        <is>
          <t>HALLANDS LÄN</t>
        </is>
      </c>
      <c r="E2060" t="inlineStr">
        <is>
          <t>VARBERG</t>
        </is>
      </c>
      <c r="G2060" t="n">
        <v>0.8</v>
      </c>
      <c r="H2060" t="n">
        <v>0</v>
      </c>
      <c r="I2060" t="n">
        <v>0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s="2" t="inlineStr"/>
    </row>
    <row r="2061" ht="15" customHeight="1">
      <c r="A2061" t="inlineStr">
        <is>
          <t>A 15066-2022</t>
        </is>
      </c>
      <c r="B2061" s="1" t="n">
        <v>44657</v>
      </c>
      <c r="C2061" s="1" t="n">
        <v>45358</v>
      </c>
      <c r="D2061" t="inlineStr">
        <is>
          <t>HALLANDS LÄN</t>
        </is>
      </c>
      <c r="E2061" t="inlineStr">
        <is>
          <t>VARBERG</t>
        </is>
      </c>
      <c r="G2061" t="n">
        <v>4.8</v>
      </c>
      <c r="H2061" t="n">
        <v>0</v>
      </c>
      <c r="I2061" t="n">
        <v>0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s="2" t="inlineStr"/>
    </row>
    <row r="2062" ht="15" customHeight="1">
      <c r="A2062" t="inlineStr">
        <is>
          <t>A 15317-2022</t>
        </is>
      </c>
      <c r="B2062" s="1" t="n">
        <v>44659</v>
      </c>
      <c r="C2062" s="1" t="n">
        <v>45358</v>
      </c>
      <c r="D2062" t="inlineStr">
        <is>
          <t>HALLANDS LÄN</t>
        </is>
      </c>
      <c r="E2062" t="inlineStr">
        <is>
          <t>HYLTE</t>
        </is>
      </c>
      <c r="F2062" t="inlineStr">
        <is>
          <t>Bergvik skog väst AB</t>
        </is>
      </c>
      <c r="G2062" t="n">
        <v>2.6</v>
      </c>
      <c r="H2062" t="n">
        <v>0</v>
      </c>
      <c r="I2062" t="n">
        <v>0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s="2" t="inlineStr"/>
    </row>
    <row r="2063" ht="15" customHeight="1">
      <c r="A2063" t="inlineStr">
        <is>
          <t>A 15328-2022</t>
        </is>
      </c>
      <c r="B2063" s="1" t="n">
        <v>44659</v>
      </c>
      <c r="C2063" s="1" t="n">
        <v>45358</v>
      </c>
      <c r="D2063" t="inlineStr">
        <is>
          <t>HALLANDS LÄN</t>
        </is>
      </c>
      <c r="E2063" t="inlineStr">
        <is>
          <t>HYLTE</t>
        </is>
      </c>
      <c r="F2063" t="inlineStr">
        <is>
          <t>Bergvik skog väst AB</t>
        </is>
      </c>
      <c r="G2063" t="n">
        <v>1</v>
      </c>
      <c r="H2063" t="n">
        <v>0</v>
      </c>
      <c r="I2063" t="n">
        <v>0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s="2" t="inlineStr"/>
    </row>
    <row r="2064" ht="15" customHeight="1">
      <c r="A2064" t="inlineStr">
        <is>
          <t>A 15336-2022</t>
        </is>
      </c>
      <c r="B2064" s="1" t="n">
        <v>44659</v>
      </c>
      <c r="C2064" s="1" t="n">
        <v>45358</v>
      </c>
      <c r="D2064" t="inlineStr">
        <is>
          <t>HALLANDS LÄN</t>
        </is>
      </c>
      <c r="E2064" t="inlineStr">
        <is>
          <t>HYLTE</t>
        </is>
      </c>
      <c r="G2064" t="n">
        <v>0.7</v>
      </c>
      <c r="H2064" t="n">
        <v>0</v>
      </c>
      <c r="I2064" t="n">
        <v>0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s="2" t="inlineStr"/>
    </row>
    <row r="2065" ht="15" customHeight="1">
      <c r="A2065" t="inlineStr">
        <is>
          <t>A 15315-2022</t>
        </is>
      </c>
      <c r="B2065" s="1" t="n">
        <v>44659</v>
      </c>
      <c r="C2065" s="1" t="n">
        <v>45358</v>
      </c>
      <c r="D2065" t="inlineStr">
        <is>
          <t>HALLANDS LÄN</t>
        </is>
      </c>
      <c r="E2065" t="inlineStr">
        <is>
          <t>VARBERG</t>
        </is>
      </c>
      <c r="G2065" t="n">
        <v>4.2</v>
      </c>
      <c r="H2065" t="n">
        <v>0</v>
      </c>
      <c r="I2065" t="n">
        <v>0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s="2" t="inlineStr"/>
    </row>
    <row r="2066" ht="15" customHeight="1">
      <c r="A2066" t="inlineStr">
        <is>
          <t>A 15329-2022</t>
        </is>
      </c>
      <c r="B2066" s="1" t="n">
        <v>44659</v>
      </c>
      <c r="C2066" s="1" t="n">
        <v>45358</v>
      </c>
      <c r="D2066" t="inlineStr">
        <is>
          <t>HALLANDS LÄN</t>
        </is>
      </c>
      <c r="E2066" t="inlineStr">
        <is>
          <t>HYLTE</t>
        </is>
      </c>
      <c r="F2066" t="inlineStr">
        <is>
          <t>Bergvik skog väst AB</t>
        </is>
      </c>
      <c r="G2066" t="n">
        <v>2.2</v>
      </c>
      <c r="H2066" t="n">
        <v>0</v>
      </c>
      <c r="I2066" t="n">
        <v>0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s="2" t="inlineStr"/>
    </row>
    <row r="2067" ht="15" customHeight="1">
      <c r="A2067" t="inlineStr">
        <is>
          <t>A 15322-2022</t>
        </is>
      </c>
      <c r="B2067" s="1" t="n">
        <v>44659</v>
      </c>
      <c r="C2067" s="1" t="n">
        <v>45358</v>
      </c>
      <c r="D2067" t="inlineStr">
        <is>
          <t>HALLANDS LÄN</t>
        </is>
      </c>
      <c r="E2067" t="inlineStr">
        <is>
          <t>HYLTE</t>
        </is>
      </c>
      <c r="F2067" t="inlineStr">
        <is>
          <t>Bergvik skog väst AB</t>
        </is>
      </c>
      <c r="G2067" t="n">
        <v>0.4</v>
      </c>
      <c r="H2067" t="n">
        <v>0</v>
      </c>
      <c r="I2067" t="n">
        <v>0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s="2" t="inlineStr"/>
    </row>
    <row r="2068" ht="15" customHeight="1">
      <c r="A2068" t="inlineStr">
        <is>
          <t>A 15426-2022</t>
        </is>
      </c>
      <c r="B2068" s="1" t="n">
        <v>44659</v>
      </c>
      <c r="C2068" s="1" t="n">
        <v>45358</v>
      </c>
      <c r="D2068" t="inlineStr">
        <is>
          <t>HALLANDS LÄN</t>
        </is>
      </c>
      <c r="E2068" t="inlineStr">
        <is>
          <t>VARBERG</t>
        </is>
      </c>
      <c r="G2068" t="n">
        <v>3.6</v>
      </c>
      <c r="H2068" t="n">
        <v>0</v>
      </c>
      <c r="I2068" t="n">
        <v>0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s="2" t="inlineStr"/>
    </row>
    <row r="2069" ht="15" customHeight="1">
      <c r="A2069" t="inlineStr">
        <is>
          <t>A 15346-2022</t>
        </is>
      </c>
      <c r="B2069" s="1" t="n">
        <v>44659</v>
      </c>
      <c r="C2069" s="1" t="n">
        <v>45358</v>
      </c>
      <c r="D2069" t="inlineStr">
        <is>
          <t>HALLANDS LÄN</t>
        </is>
      </c>
      <c r="E2069" t="inlineStr">
        <is>
          <t>HYLTE</t>
        </is>
      </c>
      <c r="G2069" t="n">
        <v>0.8</v>
      </c>
      <c r="H2069" t="n">
        <v>0</v>
      </c>
      <c r="I2069" t="n">
        <v>0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s="2" t="inlineStr"/>
    </row>
    <row r="2070" ht="15" customHeight="1">
      <c r="A2070" t="inlineStr">
        <is>
          <t>A 15474-2022</t>
        </is>
      </c>
      <c r="B2070" s="1" t="n">
        <v>44662</v>
      </c>
      <c r="C2070" s="1" t="n">
        <v>45358</v>
      </c>
      <c r="D2070" t="inlineStr">
        <is>
          <t>HALLANDS LÄN</t>
        </is>
      </c>
      <c r="E2070" t="inlineStr">
        <is>
          <t>VARBERG</t>
        </is>
      </c>
      <c r="G2070" t="n">
        <v>1.6</v>
      </c>
      <c r="H2070" t="n">
        <v>0</v>
      </c>
      <c r="I2070" t="n">
        <v>0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s="2" t="inlineStr"/>
    </row>
    <row r="2071" ht="15" customHeight="1">
      <c r="A2071" t="inlineStr">
        <is>
          <t>A 15545-2022</t>
        </is>
      </c>
      <c r="B2071" s="1" t="n">
        <v>44662</v>
      </c>
      <c r="C2071" s="1" t="n">
        <v>45358</v>
      </c>
      <c r="D2071" t="inlineStr">
        <is>
          <t>HALLANDS LÄN</t>
        </is>
      </c>
      <c r="E2071" t="inlineStr">
        <is>
          <t>HALMSTAD</t>
        </is>
      </c>
      <c r="G2071" t="n">
        <v>1.1</v>
      </c>
      <c r="H2071" t="n">
        <v>0</v>
      </c>
      <c r="I2071" t="n">
        <v>0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s="2" t="inlineStr"/>
    </row>
    <row r="2072" ht="15" customHeight="1">
      <c r="A2072" t="inlineStr">
        <is>
          <t>A 15707-2022</t>
        </is>
      </c>
      <c r="B2072" s="1" t="n">
        <v>44663</v>
      </c>
      <c r="C2072" s="1" t="n">
        <v>45358</v>
      </c>
      <c r="D2072" t="inlineStr">
        <is>
          <t>HALLANDS LÄN</t>
        </is>
      </c>
      <c r="E2072" t="inlineStr">
        <is>
          <t>LAHOLM</t>
        </is>
      </c>
      <c r="G2072" t="n">
        <v>9.6</v>
      </c>
      <c r="H2072" t="n">
        <v>0</v>
      </c>
      <c r="I2072" t="n">
        <v>0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s="2" t="inlineStr"/>
    </row>
    <row r="2073" ht="15" customHeight="1">
      <c r="A2073" t="inlineStr">
        <is>
          <t>A 15858-2022</t>
        </is>
      </c>
      <c r="B2073" s="1" t="n">
        <v>44664</v>
      </c>
      <c r="C2073" s="1" t="n">
        <v>45358</v>
      </c>
      <c r="D2073" t="inlineStr">
        <is>
          <t>HALLANDS LÄN</t>
        </is>
      </c>
      <c r="E2073" t="inlineStr">
        <is>
          <t>FALKENBERG</t>
        </is>
      </c>
      <c r="G2073" t="n">
        <v>1.2</v>
      </c>
      <c r="H2073" t="n">
        <v>0</v>
      </c>
      <c r="I2073" t="n">
        <v>0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s="2" t="inlineStr"/>
    </row>
    <row r="2074" ht="15" customHeight="1">
      <c r="A2074" t="inlineStr">
        <is>
          <t>A 15859-2022</t>
        </is>
      </c>
      <c r="B2074" s="1" t="n">
        <v>44664</v>
      </c>
      <c r="C2074" s="1" t="n">
        <v>45358</v>
      </c>
      <c r="D2074" t="inlineStr">
        <is>
          <t>HALLANDS LÄN</t>
        </is>
      </c>
      <c r="E2074" t="inlineStr">
        <is>
          <t>FALKENBERG</t>
        </is>
      </c>
      <c r="G2074" t="n">
        <v>0.7</v>
      </c>
      <c r="H2074" t="n">
        <v>0</v>
      </c>
      <c r="I2074" t="n">
        <v>0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s="2" t="inlineStr"/>
    </row>
    <row r="2075" ht="15" customHeight="1">
      <c r="A2075" t="inlineStr">
        <is>
          <t>A 16412-2022</t>
        </is>
      </c>
      <c r="B2075" s="1" t="n">
        <v>44671</v>
      </c>
      <c r="C2075" s="1" t="n">
        <v>45358</v>
      </c>
      <c r="D2075" t="inlineStr">
        <is>
          <t>HALLANDS LÄN</t>
        </is>
      </c>
      <c r="E2075" t="inlineStr">
        <is>
          <t>HYLTE</t>
        </is>
      </c>
      <c r="G2075" t="n">
        <v>6.3</v>
      </c>
      <c r="H2075" t="n">
        <v>0</v>
      </c>
      <c r="I2075" t="n">
        <v>0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s="2" t="inlineStr"/>
    </row>
    <row r="2076" ht="15" customHeight="1">
      <c r="A2076" t="inlineStr">
        <is>
          <t>A 16410-2022</t>
        </is>
      </c>
      <c r="B2076" s="1" t="n">
        <v>44671</v>
      </c>
      <c r="C2076" s="1" t="n">
        <v>45358</v>
      </c>
      <c r="D2076" t="inlineStr">
        <is>
          <t>HALLANDS LÄN</t>
        </is>
      </c>
      <c r="E2076" t="inlineStr">
        <is>
          <t>HYLTE</t>
        </is>
      </c>
      <c r="G2076" t="n">
        <v>3.1</v>
      </c>
      <c r="H2076" t="n">
        <v>0</v>
      </c>
      <c r="I2076" t="n">
        <v>0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s="2" t="inlineStr"/>
    </row>
    <row r="2077" ht="15" customHeight="1">
      <c r="A2077" t="inlineStr">
        <is>
          <t>A 17156-2022</t>
        </is>
      </c>
      <c r="B2077" s="1" t="n">
        <v>44677</v>
      </c>
      <c r="C2077" s="1" t="n">
        <v>45358</v>
      </c>
      <c r="D2077" t="inlineStr">
        <is>
          <t>HALLANDS LÄN</t>
        </is>
      </c>
      <c r="E2077" t="inlineStr">
        <is>
          <t>HALMSTAD</t>
        </is>
      </c>
      <c r="G2077" t="n">
        <v>1.2</v>
      </c>
      <c r="H2077" t="n">
        <v>0</v>
      </c>
      <c r="I2077" t="n">
        <v>0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s="2" t="inlineStr"/>
    </row>
    <row r="2078" ht="15" customHeight="1">
      <c r="A2078" t="inlineStr">
        <is>
          <t>A 17067-2022</t>
        </is>
      </c>
      <c r="B2078" s="1" t="n">
        <v>44677</v>
      </c>
      <c r="C2078" s="1" t="n">
        <v>45358</v>
      </c>
      <c r="D2078" t="inlineStr">
        <is>
          <t>HALLANDS LÄN</t>
        </is>
      </c>
      <c r="E2078" t="inlineStr">
        <is>
          <t>HALMSTAD</t>
        </is>
      </c>
      <c r="G2078" t="n">
        <v>1.6</v>
      </c>
      <c r="H2078" t="n">
        <v>0</v>
      </c>
      <c r="I2078" t="n">
        <v>0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s="2" t="inlineStr"/>
    </row>
    <row r="2079" ht="15" customHeight="1">
      <c r="A2079" t="inlineStr">
        <is>
          <t>A 17097-2022</t>
        </is>
      </c>
      <c r="B2079" s="1" t="n">
        <v>44677</v>
      </c>
      <c r="C2079" s="1" t="n">
        <v>45358</v>
      </c>
      <c r="D2079" t="inlineStr">
        <is>
          <t>HALLANDS LÄN</t>
        </is>
      </c>
      <c r="E2079" t="inlineStr">
        <is>
          <t>LAHOLM</t>
        </is>
      </c>
      <c r="G2079" t="n">
        <v>1.4</v>
      </c>
      <c r="H2079" t="n">
        <v>0</v>
      </c>
      <c r="I2079" t="n">
        <v>0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s="2" t="inlineStr"/>
    </row>
    <row r="2080" ht="15" customHeight="1">
      <c r="A2080" t="inlineStr">
        <is>
          <t>A 17069-2022</t>
        </is>
      </c>
      <c r="B2080" s="1" t="n">
        <v>44677</v>
      </c>
      <c r="C2080" s="1" t="n">
        <v>45358</v>
      </c>
      <c r="D2080" t="inlineStr">
        <is>
          <t>HALLANDS LÄN</t>
        </is>
      </c>
      <c r="E2080" t="inlineStr">
        <is>
          <t>HALMSTAD</t>
        </is>
      </c>
      <c r="G2080" t="n">
        <v>0.3</v>
      </c>
      <c r="H2080" t="n">
        <v>0</v>
      </c>
      <c r="I2080" t="n">
        <v>0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s="2" t="inlineStr"/>
    </row>
    <row r="2081" ht="15" customHeight="1">
      <c r="A2081" t="inlineStr">
        <is>
          <t>A 17366-2022</t>
        </is>
      </c>
      <c r="B2081" s="1" t="n">
        <v>44678</v>
      </c>
      <c r="C2081" s="1" t="n">
        <v>45358</v>
      </c>
      <c r="D2081" t="inlineStr">
        <is>
          <t>HALLANDS LÄN</t>
        </is>
      </c>
      <c r="E2081" t="inlineStr">
        <is>
          <t>VARBERG</t>
        </is>
      </c>
      <c r="G2081" t="n">
        <v>1.4</v>
      </c>
      <c r="H2081" t="n">
        <v>0</v>
      </c>
      <c r="I2081" t="n">
        <v>0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s="2" t="inlineStr"/>
    </row>
    <row r="2082" ht="15" customHeight="1">
      <c r="A2082" t="inlineStr">
        <is>
          <t>A 17368-2022</t>
        </is>
      </c>
      <c r="B2082" s="1" t="n">
        <v>44678</v>
      </c>
      <c r="C2082" s="1" t="n">
        <v>45358</v>
      </c>
      <c r="D2082" t="inlineStr">
        <is>
          <t>HALLANDS LÄN</t>
        </is>
      </c>
      <c r="E2082" t="inlineStr">
        <is>
          <t>VARBERG</t>
        </is>
      </c>
      <c r="G2082" t="n">
        <v>1.1</v>
      </c>
      <c r="H2082" t="n">
        <v>0</v>
      </c>
      <c r="I2082" t="n">
        <v>0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s="2" t="inlineStr"/>
    </row>
    <row r="2083" ht="15" customHeight="1">
      <c r="A2083" t="inlineStr">
        <is>
          <t>A 17395-2022</t>
        </is>
      </c>
      <c r="B2083" s="1" t="n">
        <v>44678</v>
      </c>
      <c r="C2083" s="1" t="n">
        <v>45358</v>
      </c>
      <c r="D2083" t="inlineStr">
        <is>
          <t>HALLANDS LÄN</t>
        </is>
      </c>
      <c r="E2083" t="inlineStr">
        <is>
          <t>LAHOLM</t>
        </is>
      </c>
      <c r="G2083" t="n">
        <v>1</v>
      </c>
      <c r="H2083" t="n">
        <v>0</v>
      </c>
      <c r="I2083" t="n">
        <v>0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s="2" t="inlineStr"/>
    </row>
    <row r="2084" ht="15" customHeight="1">
      <c r="A2084" t="inlineStr">
        <is>
          <t>A 17703-2022</t>
        </is>
      </c>
      <c r="B2084" s="1" t="n">
        <v>44680</v>
      </c>
      <c r="C2084" s="1" t="n">
        <v>45358</v>
      </c>
      <c r="D2084" t="inlineStr">
        <is>
          <t>HALLANDS LÄN</t>
        </is>
      </c>
      <c r="E2084" t="inlineStr">
        <is>
          <t>FALKENBERG</t>
        </is>
      </c>
      <c r="G2084" t="n">
        <v>2.5</v>
      </c>
      <c r="H2084" t="n">
        <v>0</v>
      </c>
      <c r="I2084" t="n">
        <v>0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s="2" t="inlineStr"/>
    </row>
    <row r="2085" ht="15" customHeight="1">
      <c r="A2085" t="inlineStr">
        <is>
          <t>A 17702-2022</t>
        </is>
      </c>
      <c r="B2085" s="1" t="n">
        <v>44680</v>
      </c>
      <c r="C2085" s="1" t="n">
        <v>45358</v>
      </c>
      <c r="D2085" t="inlineStr">
        <is>
          <t>HALLANDS LÄN</t>
        </is>
      </c>
      <c r="E2085" t="inlineStr">
        <is>
          <t>FALKENBERG</t>
        </is>
      </c>
      <c r="G2085" t="n">
        <v>2.8</v>
      </c>
      <c r="H2085" t="n">
        <v>0</v>
      </c>
      <c r="I2085" t="n">
        <v>0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s="2" t="inlineStr"/>
    </row>
    <row r="2086" ht="15" customHeight="1">
      <c r="A2086" t="inlineStr">
        <is>
          <t>A 17699-2022</t>
        </is>
      </c>
      <c r="B2086" s="1" t="n">
        <v>44680</v>
      </c>
      <c r="C2086" s="1" t="n">
        <v>45358</v>
      </c>
      <c r="D2086" t="inlineStr">
        <is>
          <t>HALLANDS LÄN</t>
        </is>
      </c>
      <c r="E2086" t="inlineStr">
        <is>
          <t>FALKENBERG</t>
        </is>
      </c>
      <c r="G2086" t="n">
        <v>1.7</v>
      </c>
      <c r="H2086" t="n">
        <v>0</v>
      </c>
      <c r="I2086" t="n">
        <v>0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s="2" t="inlineStr"/>
    </row>
    <row r="2087" ht="15" customHeight="1">
      <c r="A2087" t="inlineStr">
        <is>
          <t>A 17769-2022</t>
        </is>
      </c>
      <c r="B2087" s="1" t="n">
        <v>44681</v>
      </c>
      <c r="C2087" s="1" t="n">
        <v>45358</v>
      </c>
      <c r="D2087" t="inlineStr">
        <is>
          <t>HALLANDS LÄN</t>
        </is>
      </c>
      <c r="E2087" t="inlineStr">
        <is>
          <t>KUNGSBACKA</t>
        </is>
      </c>
      <c r="G2087" t="n">
        <v>8.5</v>
      </c>
      <c r="H2087" t="n">
        <v>0</v>
      </c>
      <c r="I2087" t="n">
        <v>0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s="2" t="inlineStr"/>
    </row>
    <row r="2088" ht="15" customHeight="1">
      <c r="A2088" t="inlineStr">
        <is>
          <t>A 18078-2022</t>
        </is>
      </c>
      <c r="B2088" s="1" t="n">
        <v>44684</v>
      </c>
      <c r="C2088" s="1" t="n">
        <v>45358</v>
      </c>
      <c r="D2088" t="inlineStr">
        <is>
          <t>HALLANDS LÄN</t>
        </is>
      </c>
      <c r="E2088" t="inlineStr">
        <is>
          <t>VARBERG</t>
        </is>
      </c>
      <c r="G2088" t="n">
        <v>2</v>
      </c>
      <c r="H2088" t="n">
        <v>0</v>
      </c>
      <c r="I2088" t="n">
        <v>0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s="2" t="inlineStr"/>
    </row>
    <row r="2089" ht="15" customHeight="1">
      <c r="A2089" t="inlineStr">
        <is>
          <t>A 18076-2022</t>
        </is>
      </c>
      <c r="B2089" s="1" t="n">
        <v>44684</v>
      </c>
      <c r="C2089" s="1" t="n">
        <v>45358</v>
      </c>
      <c r="D2089" t="inlineStr">
        <is>
          <t>HALLANDS LÄN</t>
        </is>
      </c>
      <c r="E2089" t="inlineStr">
        <is>
          <t>VARBERG</t>
        </is>
      </c>
      <c r="G2089" t="n">
        <v>9.6</v>
      </c>
      <c r="H2089" t="n">
        <v>0</v>
      </c>
      <c r="I2089" t="n">
        <v>0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s="2" t="inlineStr"/>
    </row>
    <row r="2090" ht="15" customHeight="1">
      <c r="A2090" t="inlineStr">
        <is>
          <t>A 18080-2022</t>
        </is>
      </c>
      <c r="B2090" s="1" t="n">
        <v>44684</v>
      </c>
      <c r="C2090" s="1" t="n">
        <v>45358</v>
      </c>
      <c r="D2090" t="inlineStr">
        <is>
          <t>HALLANDS LÄN</t>
        </is>
      </c>
      <c r="E2090" t="inlineStr">
        <is>
          <t>VARBERG</t>
        </is>
      </c>
      <c r="G2090" t="n">
        <v>1.5</v>
      </c>
      <c r="H2090" t="n">
        <v>0</v>
      </c>
      <c r="I2090" t="n">
        <v>0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s="2" t="inlineStr"/>
    </row>
    <row r="2091" ht="15" customHeight="1">
      <c r="A2091" t="inlineStr">
        <is>
          <t>A 18057-2022</t>
        </is>
      </c>
      <c r="B2091" s="1" t="n">
        <v>44684</v>
      </c>
      <c r="C2091" s="1" t="n">
        <v>45358</v>
      </c>
      <c r="D2091" t="inlineStr">
        <is>
          <t>HALLANDS LÄN</t>
        </is>
      </c>
      <c r="E2091" t="inlineStr">
        <is>
          <t>KUNGSBACKA</t>
        </is>
      </c>
      <c r="G2091" t="n">
        <v>4.2</v>
      </c>
      <c r="H2091" t="n">
        <v>0</v>
      </c>
      <c r="I2091" t="n">
        <v>0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s="2" t="inlineStr"/>
    </row>
    <row r="2092" ht="15" customHeight="1">
      <c r="A2092" t="inlineStr">
        <is>
          <t>A 18214-2022</t>
        </is>
      </c>
      <c r="B2092" s="1" t="n">
        <v>44685</v>
      </c>
      <c r="C2092" s="1" t="n">
        <v>45358</v>
      </c>
      <c r="D2092" t="inlineStr">
        <is>
          <t>HALLANDS LÄN</t>
        </is>
      </c>
      <c r="E2092" t="inlineStr">
        <is>
          <t>FALKENBERG</t>
        </is>
      </c>
      <c r="G2092" t="n">
        <v>0.5</v>
      </c>
      <c r="H2092" t="n">
        <v>0</v>
      </c>
      <c r="I2092" t="n">
        <v>0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s="2" t="inlineStr"/>
    </row>
    <row r="2093" ht="15" customHeight="1">
      <c r="A2093" t="inlineStr">
        <is>
          <t>A 18598-2022</t>
        </is>
      </c>
      <c r="B2093" s="1" t="n">
        <v>44687</v>
      </c>
      <c r="C2093" s="1" t="n">
        <v>45358</v>
      </c>
      <c r="D2093" t="inlineStr">
        <is>
          <t>HALLANDS LÄN</t>
        </is>
      </c>
      <c r="E2093" t="inlineStr">
        <is>
          <t>HALMSTAD</t>
        </is>
      </c>
      <c r="G2093" t="n">
        <v>2</v>
      </c>
      <c r="H2093" t="n">
        <v>0</v>
      </c>
      <c r="I2093" t="n">
        <v>0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s="2" t="inlineStr"/>
    </row>
    <row r="2094" ht="15" customHeight="1">
      <c r="A2094" t="inlineStr">
        <is>
          <t>A 18710-2022</t>
        </is>
      </c>
      <c r="B2094" s="1" t="n">
        <v>44687</v>
      </c>
      <c r="C2094" s="1" t="n">
        <v>45358</v>
      </c>
      <c r="D2094" t="inlineStr">
        <is>
          <t>HALLANDS LÄN</t>
        </is>
      </c>
      <c r="E2094" t="inlineStr">
        <is>
          <t>FALKENBERG</t>
        </is>
      </c>
      <c r="G2094" t="n">
        <v>5.5</v>
      </c>
      <c r="H2094" t="n">
        <v>0</v>
      </c>
      <c r="I2094" t="n">
        <v>0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s="2" t="inlineStr"/>
    </row>
    <row r="2095" ht="15" customHeight="1">
      <c r="A2095" t="inlineStr">
        <is>
          <t>A 18707-2022</t>
        </is>
      </c>
      <c r="B2095" s="1" t="n">
        <v>44687</v>
      </c>
      <c r="C2095" s="1" t="n">
        <v>45358</v>
      </c>
      <c r="D2095" t="inlineStr">
        <is>
          <t>HALLANDS LÄN</t>
        </is>
      </c>
      <c r="E2095" t="inlineStr">
        <is>
          <t>FALKENBERG</t>
        </is>
      </c>
      <c r="G2095" t="n">
        <v>2.2</v>
      </c>
      <c r="H2095" t="n">
        <v>0</v>
      </c>
      <c r="I2095" t="n">
        <v>0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s="2" t="inlineStr"/>
    </row>
    <row r="2096" ht="15" customHeight="1">
      <c r="A2096" t="inlineStr">
        <is>
          <t>A 18773-2022</t>
        </is>
      </c>
      <c r="B2096" s="1" t="n">
        <v>44689</v>
      </c>
      <c r="C2096" s="1" t="n">
        <v>45358</v>
      </c>
      <c r="D2096" t="inlineStr">
        <is>
          <t>HALLANDS LÄN</t>
        </is>
      </c>
      <c r="E2096" t="inlineStr">
        <is>
          <t>FALKENBERG</t>
        </is>
      </c>
      <c r="G2096" t="n">
        <v>0.4</v>
      </c>
      <c r="H2096" t="n">
        <v>0</v>
      </c>
      <c r="I2096" t="n">
        <v>0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s="2" t="inlineStr"/>
    </row>
    <row r="2097" ht="15" customHeight="1">
      <c r="A2097" t="inlineStr">
        <is>
          <t>A 18774-2022</t>
        </is>
      </c>
      <c r="B2097" s="1" t="n">
        <v>44689</v>
      </c>
      <c r="C2097" s="1" t="n">
        <v>45358</v>
      </c>
      <c r="D2097" t="inlineStr">
        <is>
          <t>HALLANDS LÄN</t>
        </is>
      </c>
      <c r="E2097" t="inlineStr">
        <is>
          <t>FALKENBERG</t>
        </is>
      </c>
      <c r="G2097" t="n">
        <v>0.2</v>
      </c>
      <c r="H2097" t="n">
        <v>0</v>
      </c>
      <c r="I2097" t="n">
        <v>0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s="2" t="inlineStr"/>
    </row>
    <row r="2098" ht="15" customHeight="1">
      <c r="A2098" t="inlineStr">
        <is>
          <t>A 19066-2022</t>
        </is>
      </c>
      <c r="B2098" s="1" t="n">
        <v>44691</v>
      </c>
      <c r="C2098" s="1" t="n">
        <v>45358</v>
      </c>
      <c r="D2098" t="inlineStr">
        <is>
          <t>HALLANDS LÄN</t>
        </is>
      </c>
      <c r="E2098" t="inlineStr">
        <is>
          <t>FALKENBERG</t>
        </is>
      </c>
      <c r="G2098" t="n">
        <v>4.3</v>
      </c>
      <c r="H2098" t="n">
        <v>0</v>
      </c>
      <c r="I2098" t="n">
        <v>0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s="2" t="inlineStr"/>
    </row>
    <row r="2099" ht="15" customHeight="1">
      <c r="A2099" t="inlineStr">
        <is>
          <t>A 19087-2022</t>
        </is>
      </c>
      <c r="B2099" s="1" t="n">
        <v>44691</v>
      </c>
      <c r="C2099" s="1" t="n">
        <v>45358</v>
      </c>
      <c r="D2099" t="inlineStr">
        <is>
          <t>HALLANDS LÄN</t>
        </is>
      </c>
      <c r="E2099" t="inlineStr">
        <is>
          <t>HALMSTAD</t>
        </is>
      </c>
      <c r="G2099" t="n">
        <v>1</v>
      </c>
      <c r="H2099" t="n">
        <v>0</v>
      </c>
      <c r="I2099" t="n">
        <v>0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s="2" t="inlineStr"/>
    </row>
    <row r="2100" ht="15" customHeight="1">
      <c r="A2100" t="inlineStr">
        <is>
          <t>A 19186-2022</t>
        </is>
      </c>
      <c r="B2100" s="1" t="n">
        <v>44691</v>
      </c>
      <c r="C2100" s="1" t="n">
        <v>45358</v>
      </c>
      <c r="D2100" t="inlineStr">
        <is>
          <t>HALLANDS LÄN</t>
        </is>
      </c>
      <c r="E2100" t="inlineStr">
        <is>
          <t>VARBERG</t>
        </is>
      </c>
      <c r="G2100" t="n">
        <v>5.1</v>
      </c>
      <c r="H2100" t="n">
        <v>0</v>
      </c>
      <c r="I2100" t="n">
        <v>0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s="2" t="inlineStr"/>
    </row>
    <row r="2101" ht="15" customHeight="1">
      <c r="A2101" t="inlineStr">
        <is>
          <t>A 19239-2022</t>
        </is>
      </c>
      <c r="B2101" s="1" t="n">
        <v>44692</v>
      </c>
      <c r="C2101" s="1" t="n">
        <v>45358</v>
      </c>
      <c r="D2101" t="inlineStr">
        <is>
          <t>HALLANDS LÄN</t>
        </is>
      </c>
      <c r="E2101" t="inlineStr">
        <is>
          <t>HYLTE</t>
        </is>
      </c>
      <c r="G2101" t="n">
        <v>4.9</v>
      </c>
      <c r="H2101" t="n">
        <v>0</v>
      </c>
      <c r="I2101" t="n">
        <v>0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s="2" t="inlineStr"/>
    </row>
    <row r="2102" ht="15" customHeight="1">
      <c r="A2102" t="inlineStr">
        <is>
          <t>A 19312-2022</t>
        </is>
      </c>
      <c r="B2102" s="1" t="n">
        <v>44692</v>
      </c>
      <c r="C2102" s="1" t="n">
        <v>45358</v>
      </c>
      <c r="D2102" t="inlineStr">
        <is>
          <t>HALLANDS LÄN</t>
        </is>
      </c>
      <c r="E2102" t="inlineStr">
        <is>
          <t>FALKENBERG</t>
        </is>
      </c>
      <c r="G2102" t="n">
        <v>0.8</v>
      </c>
      <c r="H2102" t="n">
        <v>0</v>
      </c>
      <c r="I2102" t="n">
        <v>0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s="2" t="inlineStr"/>
    </row>
    <row r="2103" ht="15" customHeight="1">
      <c r="A2103" t="inlineStr">
        <is>
          <t>A 19347-2022</t>
        </is>
      </c>
      <c r="B2103" s="1" t="n">
        <v>44692</v>
      </c>
      <c r="C2103" s="1" t="n">
        <v>45358</v>
      </c>
      <c r="D2103" t="inlineStr">
        <is>
          <t>HALLANDS LÄN</t>
        </is>
      </c>
      <c r="E2103" t="inlineStr">
        <is>
          <t>FALKENBERG</t>
        </is>
      </c>
      <c r="G2103" t="n">
        <v>2.7</v>
      </c>
      <c r="H2103" t="n">
        <v>0</v>
      </c>
      <c r="I2103" t="n">
        <v>0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s="2" t="inlineStr"/>
    </row>
    <row r="2104" ht="15" customHeight="1">
      <c r="A2104" t="inlineStr">
        <is>
          <t>A 19354-2022</t>
        </is>
      </c>
      <c r="B2104" s="1" t="n">
        <v>44692</v>
      </c>
      <c r="C2104" s="1" t="n">
        <v>45358</v>
      </c>
      <c r="D2104" t="inlineStr">
        <is>
          <t>HALLANDS LÄN</t>
        </is>
      </c>
      <c r="E2104" t="inlineStr">
        <is>
          <t>FALKENBERG</t>
        </is>
      </c>
      <c r="G2104" t="n">
        <v>1.9</v>
      </c>
      <c r="H2104" t="n">
        <v>0</v>
      </c>
      <c r="I2104" t="n">
        <v>0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s="2" t="inlineStr"/>
    </row>
    <row r="2105" ht="15" customHeight="1">
      <c r="A2105" t="inlineStr">
        <is>
          <t>A 19271-2022</t>
        </is>
      </c>
      <c r="B2105" s="1" t="n">
        <v>44692</v>
      </c>
      <c r="C2105" s="1" t="n">
        <v>45358</v>
      </c>
      <c r="D2105" t="inlineStr">
        <is>
          <t>HALLANDS LÄN</t>
        </is>
      </c>
      <c r="E2105" t="inlineStr">
        <is>
          <t>FALKENBERG</t>
        </is>
      </c>
      <c r="G2105" t="n">
        <v>3.6</v>
      </c>
      <c r="H2105" t="n">
        <v>0</v>
      </c>
      <c r="I2105" t="n">
        <v>0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s="2" t="inlineStr"/>
    </row>
    <row r="2106" ht="15" customHeight="1">
      <c r="A2106" t="inlineStr">
        <is>
          <t>A 19272-2022</t>
        </is>
      </c>
      <c r="B2106" s="1" t="n">
        <v>44692</v>
      </c>
      <c r="C2106" s="1" t="n">
        <v>45358</v>
      </c>
      <c r="D2106" t="inlineStr">
        <is>
          <t>HALLANDS LÄN</t>
        </is>
      </c>
      <c r="E2106" t="inlineStr">
        <is>
          <t>FALKENBERG</t>
        </is>
      </c>
      <c r="G2106" t="n">
        <v>3</v>
      </c>
      <c r="H2106" t="n">
        <v>0</v>
      </c>
      <c r="I2106" t="n">
        <v>0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s="2" t="inlineStr"/>
    </row>
    <row r="2107" ht="15" customHeight="1">
      <c r="A2107" t="inlineStr">
        <is>
          <t>A 19419-2022</t>
        </is>
      </c>
      <c r="B2107" s="1" t="n">
        <v>44693</v>
      </c>
      <c r="C2107" s="1" t="n">
        <v>45358</v>
      </c>
      <c r="D2107" t="inlineStr">
        <is>
          <t>HALLANDS LÄN</t>
        </is>
      </c>
      <c r="E2107" t="inlineStr">
        <is>
          <t>FALKENBERG</t>
        </is>
      </c>
      <c r="G2107" t="n">
        <v>1</v>
      </c>
      <c r="H2107" t="n">
        <v>0</v>
      </c>
      <c r="I2107" t="n">
        <v>0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s="2" t="inlineStr"/>
    </row>
    <row r="2108" ht="15" customHeight="1">
      <c r="A2108" t="inlineStr">
        <is>
          <t>A 19502-2022</t>
        </is>
      </c>
      <c r="B2108" s="1" t="n">
        <v>44693</v>
      </c>
      <c r="C2108" s="1" t="n">
        <v>45358</v>
      </c>
      <c r="D2108" t="inlineStr">
        <is>
          <t>HALLANDS LÄN</t>
        </is>
      </c>
      <c r="E2108" t="inlineStr">
        <is>
          <t>KUNGSBACKA</t>
        </is>
      </c>
      <c r="G2108" t="n">
        <v>1.6</v>
      </c>
      <c r="H2108" t="n">
        <v>0</v>
      </c>
      <c r="I2108" t="n">
        <v>0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s="2" t="inlineStr"/>
    </row>
    <row r="2109" ht="15" customHeight="1">
      <c r="A2109" t="inlineStr">
        <is>
          <t>A 19474-2022</t>
        </is>
      </c>
      <c r="B2109" s="1" t="n">
        <v>44693</v>
      </c>
      <c r="C2109" s="1" t="n">
        <v>45358</v>
      </c>
      <c r="D2109" t="inlineStr">
        <is>
          <t>HALLANDS LÄN</t>
        </is>
      </c>
      <c r="E2109" t="inlineStr">
        <is>
          <t>HYLTE</t>
        </is>
      </c>
      <c r="G2109" t="n">
        <v>5</v>
      </c>
      <c r="H2109" t="n">
        <v>0</v>
      </c>
      <c r="I2109" t="n">
        <v>0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s="2" t="inlineStr"/>
    </row>
    <row r="2110" ht="15" customHeight="1">
      <c r="A2110" t="inlineStr">
        <is>
          <t>A 19534-2022</t>
        </is>
      </c>
      <c r="B2110" s="1" t="n">
        <v>44693</v>
      </c>
      <c r="C2110" s="1" t="n">
        <v>45358</v>
      </c>
      <c r="D2110" t="inlineStr">
        <is>
          <t>HALLANDS LÄN</t>
        </is>
      </c>
      <c r="E2110" t="inlineStr">
        <is>
          <t>FALKENBERG</t>
        </is>
      </c>
      <c r="G2110" t="n">
        <v>1.4</v>
      </c>
      <c r="H2110" t="n">
        <v>0</v>
      </c>
      <c r="I2110" t="n">
        <v>0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s="2" t="inlineStr"/>
    </row>
    <row r="2111" ht="15" customHeight="1">
      <c r="A2111" t="inlineStr">
        <is>
          <t>A 19659-2022</t>
        </is>
      </c>
      <c r="B2111" s="1" t="n">
        <v>44694</v>
      </c>
      <c r="C2111" s="1" t="n">
        <v>45358</v>
      </c>
      <c r="D2111" t="inlineStr">
        <is>
          <t>HALLANDS LÄN</t>
        </is>
      </c>
      <c r="E2111" t="inlineStr">
        <is>
          <t>HYLTE</t>
        </is>
      </c>
      <c r="G2111" t="n">
        <v>4</v>
      </c>
      <c r="H2111" t="n">
        <v>0</v>
      </c>
      <c r="I2111" t="n">
        <v>0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s="2" t="inlineStr"/>
    </row>
    <row r="2112" ht="15" customHeight="1">
      <c r="A2112" t="inlineStr">
        <is>
          <t>A 19666-2022</t>
        </is>
      </c>
      <c r="B2112" s="1" t="n">
        <v>44694</v>
      </c>
      <c r="C2112" s="1" t="n">
        <v>45358</v>
      </c>
      <c r="D2112" t="inlineStr">
        <is>
          <t>HALLANDS LÄN</t>
        </is>
      </c>
      <c r="E2112" t="inlineStr">
        <is>
          <t>HYLTE</t>
        </is>
      </c>
      <c r="G2112" t="n">
        <v>1.3</v>
      </c>
      <c r="H2112" t="n">
        <v>0</v>
      </c>
      <c r="I2112" t="n">
        <v>0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s="2" t="inlineStr"/>
    </row>
    <row r="2113" ht="15" customHeight="1">
      <c r="A2113" t="inlineStr">
        <is>
          <t>A 19749-2022</t>
        </is>
      </c>
      <c r="B2113" s="1" t="n">
        <v>44694</v>
      </c>
      <c r="C2113" s="1" t="n">
        <v>45358</v>
      </c>
      <c r="D2113" t="inlineStr">
        <is>
          <t>HALLANDS LÄN</t>
        </is>
      </c>
      <c r="E2113" t="inlineStr">
        <is>
          <t>FALKENBERG</t>
        </is>
      </c>
      <c r="G2113" t="n">
        <v>2.4</v>
      </c>
      <c r="H2113" t="n">
        <v>0</v>
      </c>
      <c r="I2113" t="n">
        <v>0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s="2" t="inlineStr"/>
    </row>
    <row r="2114" ht="15" customHeight="1">
      <c r="A2114" t="inlineStr">
        <is>
          <t>A 19956-2022</t>
        </is>
      </c>
      <c r="B2114" s="1" t="n">
        <v>44697</v>
      </c>
      <c r="C2114" s="1" t="n">
        <v>45358</v>
      </c>
      <c r="D2114" t="inlineStr">
        <is>
          <t>HALLANDS LÄN</t>
        </is>
      </c>
      <c r="E2114" t="inlineStr">
        <is>
          <t>HYLTE</t>
        </is>
      </c>
      <c r="G2114" t="n">
        <v>1.8</v>
      </c>
      <c r="H2114" t="n">
        <v>0</v>
      </c>
      <c r="I2114" t="n">
        <v>0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s="2" t="inlineStr"/>
    </row>
    <row r="2115" ht="15" customHeight="1">
      <c r="A2115" t="inlineStr">
        <is>
          <t>A 20201-2022</t>
        </is>
      </c>
      <c r="B2115" s="1" t="n">
        <v>44698</v>
      </c>
      <c r="C2115" s="1" t="n">
        <v>45358</v>
      </c>
      <c r="D2115" t="inlineStr">
        <is>
          <t>HALLANDS LÄN</t>
        </is>
      </c>
      <c r="E2115" t="inlineStr">
        <is>
          <t>LAHOLM</t>
        </is>
      </c>
      <c r="F2115" t="inlineStr">
        <is>
          <t>Kyrkan</t>
        </is>
      </c>
      <c r="G2115" t="n">
        <v>3.4</v>
      </c>
      <c r="H2115" t="n">
        <v>0</v>
      </c>
      <c r="I2115" t="n">
        <v>0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s="2" t="inlineStr"/>
    </row>
    <row r="2116" ht="15" customHeight="1">
      <c r="A2116" t="inlineStr">
        <is>
          <t>A 20204-2022</t>
        </is>
      </c>
      <c r="B2116" s="1" t="n">
        <v>44698</v>
      </c>
      <c r="C2116" s="1" t="n">
        <v>45358</v>
      </c>
      <c r="D2116" t="inlineStr">
        <is>
          <t>HALLANDS LÄN</t>
        </is>
      </c>
      <c r="E2116" t="inlineStr">
        <is>
          <t>LAHOLM</t>
        </is>
      </c>
      <c r="F2116" t="inlineStr">
        <is>
          <t>Kyrkan</t>
        </is>
      </c>
      <c r="G2116" t="n">
        <v>1.3</v>
      </c>
      <c r="H2116" t="n">
        <v>0</v>
      </c>
      <c r="I2116" t="n">
        <v>0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s="2" t="inlineStr"/>
    </row>
    <row r="2117" ht="15" customHeight="1">
      <c r="A2117" t="inlineStr">
        <is>
          <t>A 20419-2022</t>
        </is>
      </c>
      <c r="B2117" s="1" t="n">
        <v>44699</v>
      </c>
      <c r="C2117" s="1" t="n">
        <v>45358</v>
      </c>
      <c r="D2117" t="inlineStr">
        <is>
          <t>HALLANDS LÄN</t>
        </is>
      </c>
      <c r="E2117" t="inlineStr">
        <is>
          <t>HALMSTAD</t>
        </is>
      </c>
      <c r="F2117" t="inlineStr">
        <is>
          <t>Kommuner</t>
        </is>
      </c>
      <c r="G2117" t="n">
        <v>6.5</v>
      </c>
      <c r="H2117" t="n">
        <v>0</v>
      </c>
      <c r="I2117" t="n">
        <v>0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s="2" t="inlineStr"/>
    </row>
    <row r="2118" ht="15" customHeight="1">
      <c r="A2118" t="inlineStr">
        <is>
          <t>A 20495-2022</t>
        </is>
      </c>
      <c r="B2118" s="1" t="n">
        <v>44699</v>
      </c>
      <c r="C2118" s="1" t="n">
        <v>45358</v>
      </c>
      <c r="D2118" t="inlineStr">
        <is>
          <t>HALLANDS LÄN</t>
        </is>
      </c>
      <c r="E2118" t="inlineStr">
        <is>
          <t>VARBERG</t>
        </is>
      </c>
      <c r="G2118" t="n">
        <v>0.6</v>
      </c>
      <c r="H2118" t="n">
        <v>0</v>
      </c>
      <c r="I2118" t="n">
        <v>0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s="2" t="inlineStr"/>
    </row>
    <row r="2119" ht="15" customHeight="1">
      <c r="A2119" t="inlineStr">
        <is>
          <t>A 20473-2022</t>
        </is>
      </c>
      <c r="B2119" s="1" t="n">
        <v>44699</v>
      </c>
      <c r="C2119" s="1" t="n">
        <v>45358</v>
      </c>
      <c r="D2119" t="inlineStr">
        <is>
          <t>HALLANDS LÄN</t>
        </is>
      </c>
      <c r="E2119" t="inlineStr">
        <is>
          <t>HYLTE</t>
        </is>
      </c>
      <c r="G2119" t="n">
        <v>1.4</v>
      </c>
      <c r="H2119" t="n">
        <v>0</v>
      </c>
      <c r="I2119" t="n">
        <v>0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s="2" t="inlineStr"/>
    </row>
    <row r="2120" ht="15" customHeight="1">
      <c r="A2120" t="inlineStr">
        <is>
          <t>A 20414-2022</t>
        </is>
      </c>
      <c r="B2120" s="1" t="n">
        <v>44699</v>
      </c>
      <c r="C2120" s="1" t="n">
        <v>45358</v>
      </c>
      <c r="D2120" t="inlineStr">
        <is>
          <t>HALLANDS LÄN</t>
        </is>
      </c>
      <c r="E2120" t="inlineStr">
        <is>
          <t>HALMSTAD</t>
        </is>
      </c>
      <c r="F2120" t="inlineStr">
        <is>
          <t>Kommuner</t>
        </is>
      </c>
      <c r="G2120" t="n">
        <v>2.9</v>
      </c>
      <c r="H2120" t="n">
        <v>0</v>
      </c>
      <c r="I2120" t="n">
        <v>0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s="2" t="inlineStr"/>
    </row>
    <row r="2121" ht="15" customHeight="1">
      <c r="A2121" t="inlineStr">
        <is>
          <t>A 20776-2022</t>
        </is>
      </c>
      <c r="B2121" s="1" t="n">
        <v>44701</v>
      </c>
      <c r="C2121" s="1" t="n">
        <v>45358</v>
      </c>
      <c r="D2121" t="inlineStr">
        <is>
          <t>HALLANDS LÄN</t>
        </is>
      </c>
      <c r="E2121" t="inlineStr">
        <is>
          <t>HYLTE</t>
        </is>
      </c>
      <c r="F2121" t="inlineStr">
        <is>
          <t>Bergvik skog väst AB</t>
        </is>
      </c>
      <c r="G2121" t="n">
        <v>3.5</v>
      </c>
      <c r="H2121" t="n">
        <v>0</v>
      </c>
      <c r="I2121" t="n">
        <v>0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s="2" t="inlineStr"/>
    </row>
    <row r="2122" ht="15" customHeight="1">
      <c r="A2122" t="inlineStr">
        <is>
          <t>A 20796-2022</t>
        </is>
      </c>
      <c r="B2122" s="1" t="n">
        <v>44701</v>
      </c>
      <c r="C2122" s="1" t="n">
        <v>45358</v>
      </c>
      <c r="D2122" t="inlineStr">
        <is>
          <t>HALLANDS LÄN</t>
        </is>
      </c>
      <c r="E2122" t="inlineStr">
        <is>
          <t>HYLTE</t>
        </is>
      </c>
      <c r="F2122" t="inlineStr">
        <is>
          <t>Bergvik skog väst AB</t>
        </is>
      </c>
      <c r="G2122" t="n">
        <v>1.6</v>
      </c>
      <c r="H2122" t="n">
        <v>0</v>
      </c>
      <c r="I2122" t="n">
        <v>0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s="2" t="inlineStr"/>
    </row>
    <row r="2123" ht="15" customHeight="1">
      <c r="A2123" t="inlineStr">
        <is>
          <t>A 20879-2022</t>
        </is>
      </c>
      <c r="B2123" s="1" t="n">
        <v>44701</v>
      </c>
      <c r="C2123" s="1" t="n">
        <v>45358</v>
      </c>
      <c r="D2123" t="inlineStr">
        <is>
          <t>HALLANDS LÄN</t>
        </is>
      </c>
      <c r="E2123" t="inlineStr">
        <is>
          <t>HYLTE</t>
        </is>
      </c>
      <c r="G2123" t="n">
        <v>1.1</v>
      </c>
      <c r="H2123" t="n">
        <v>0</v>
      </c>
      <c r="I2123" t="n">
        <v>0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s="2" t="inlineStr"/>
    </row>
    <row r="2124" ht="15" customHeight="1">
      <c r="A2124" t="inlineStr">
        <is>
          <t>A 20763-2022</t>
        </is>
      </c>
      <c r="B2124" s="1" t="n">
        <v>44701</v>
      </c>
      <c r="C2124" s="1" t="n">
        <v>45358</v>
      </c>
      <c r="D2124" t="inlineStr">
        <is>
          <t>HALLANDS LÄN</t>
        </is>
      </c>
      <c r="E2124" t="inlineStr">
        <is>
          <t>HYLTE</t>
        </is>
      </c>
      <c r="F2124" t="inlineStr">
        <is>
          <t>Bergvik skog väst AB</t>
        </is>
      </c>
      <c r="G2124" t="n">
        <v>10.7</v>
      </c>
      <c r="H2124" t="n">
        <v>0</v>
      </c>
      <c r="I2124" t="n">
        <v>0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s="2" t="inlineStr"/>
    </row>
    <row r="2125" ht="15" customHeight="1">
      <c r="A2125" t="inlineStr">
        <is>
          <t>A 20921-2022</t>
        </is>
      </c>
      <c r="B2125" s="1" t="n">
        <v>44701</v>
      </c>
      <c r="C2125" s="1" t="n">
        <v>45358</v>
      </c>
      <c r="D2125" t="inlineStr">
        <is>
          <t>HALLANDS LÄN</t>
        </is>
      </c>
      <c r="E2125" t="inlineStr">
        <is>
          <t>FALKENBERG</t>
        </is>
      </c>
      <c r="G2125" t="n">
        <v>2</v>
      </c>
      <c r="H2125" t="n">
        <v>0</v>
      </c>
      <c r="I2125" t="n">
        <v>0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s="2" t="inlineStr"/>
    </row>
    <row r="2126" ht="15" customHeight="1">
      <c r="A2126" t="inlineStr">
        <is>
          <t>A 21305-2022</t>
        </is>
      </c>
      <c r="B2126" s="1" t="n">
        <v>44705</v>
      </c>
      <c r="C2126" s="1" t="n">
        <v>45358</v>
      </c>
      <c r="D2126" t="inlineStr">
        <is>
          <t>HALLANDS LÄN</t>
        </is>
      </c>
      <c r="E2126" t="inlineStr">
        <is>
          <t>HYLTE</t>
        </is>
      </c>
      <c r="G2126" t="n">
        <v>0.6</v>
      </c>
      <c r="H2126" t="n">
        <v>0</v>
      </c>
      <c r="I2126" t="n">
        <v>0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s="2" t="inlineStr"/>
    </row>
    <row r="2127" ht="15" customHeight="1">
      <c r="A2127" t="inlineStr">
        <is>
          <t>A 21308-2022</t>
        </is>
      </c>
      <c r="B2127" s="1" t="n">
        <v>44705</v>
      </c>
      <c r="C2127" s="1" t="n">
        <v>45358</v>
      </c>
      <c r="D2127" t="inlineStr">
        <is>
          <t>HALLANDS LÄN</t>
        </is>
      </c>
      <c r="E2127" t="inlineStr">
        <is>
          <t>HYLTE</t>
        </is>
      </c>
      <c r="G2127" t="n">
        <v>1.2</v>
      </c>
      <c r="H2127" t="n">
        <v>0</v>
      </c>
      <c r="I2127" t="n">
        <v>0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s="2" t="inlineStr"/>
    </row>
    <row r="2128" ht="15" customHeight="1">
      <c r="A2128" t="inlineStr">
        <is>
          <t>A 21306-2022</t>
        </is>
      </c>
      <c r="B2128" s="1" t="n">
        <v>44705</v>
      </c>
      <c r="C2128" s="1" t="n">
        <v>45358</v>
      </c>
      <c r="D2128" t="inlineStr">
        <is>
          <t>HALLANDS LÄN</t>
        </is>
      </c>
      <c r="E2128" t="inlineStr">
        <is>
          <t>HYLTE</t>
        </is>
      </c>
      <c r="G2128" t="n">
        <v>0.9</v>
      </c>
      <c r="H2128" t="n">
        <v>0</v>
      </c>
      <c r="I2128" t="n">
        <v>0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s="2" t="inlineStr"/>
    </row>
    <row r="2129" ht="15" customHeight="1">
      <c r="A2129" t="inlineStr">
        <is>
          <t>A 21320-2022</t>
        </is>
      </c>
      <c r="B2129" s="1" t="n">
        <v>44705</v>
      </c>
      <c r="C2129" s="1" t="n">
        <v>45358</v>
      </c>
      <c r="D2129" t="inlineStr">
        <is>
          <t>HALLANDS LÄN</t>
        </is>
      </c>
      <c r="E2129" t="inlineStr">
        <is>
          <t>HALMSTAD</t>
        </is>
      </c>
      <c r="G2129" t="n">
        <v>2.1</v>
      </c>
      <c r="H2129" t="n">
        <v>0</v>
      </c>
      <c r="I2129" t="n">
        <v>0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s="2" t="inlineStr"/>
    </row>
    <row r="2130" ht="15" customHeight="1">
      <c r="A2130" t="inlineStr">
        <is>
          <t>A 21350-2022</t>
        </is>
      </c>
      <c r="B2130" s="1" t="n">
        <v>44705</v>
      </c>
      <c r="C2130" s="1" t="n">
        <v>45358</v>
      </c>
      <c r="D2130" t="inlineStr">
        <is>
          <t>HALLANDS LÄN</t>
        </is>
      </c>
      <c r="E2130" t="inlineStr">
        <is>
          <t>HALMSTAD</t>
        </is>
      </c>
      <c r="G2130" t="n">
        <v>3.4</v>
      </c>
      <c r="H2130" t="n">
        <v>0</v>
      </c>
      <c r="I2130" t="n">
        <v>0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s="2" t="inlineStr"/>
    </row>
    <row r="2131" ht="15" customHeight="1">
      <c r="A2131" t="inlineStr">
        <is>
          <t>A 21884-2022</t>
        </is>
      </c>
      <c r="B2131" s="1" t="n">
        <v>44711</v>
      </c>
      <c r="C2131" s="1" t="n">
        <v>45358</v>
      </c>
      <c r="D2131" t="inlineStr">
        <is>
          <t>HALLANDS LÄN</t>
        </is>
      </c>
      <c r="E2131" t="inlineStr">
        <is>
          <t>HALMSTAD</t>
        </is>
      </c>
      <c r="G2131" t="n">
        <v>2.6</v>
      </c>
      <c r="H2131" t="n">
        <v>0</v>
      </c>
      <c r="I2131" t="n">
        <v>0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s="2" t="inlineStr"/>
    </row>
    <row r="2132" ht="15" customHeight="1">
      <c r="A2132" t="inlineStr">
        <is>
          <t>A 21995-2022</t>
        </is>
      </c>
      <c r="B2132" s="1" t="n">
        <v>44711</v>
      </c>
      <c r="C2132" s="1" t="n">
        <v>45358</v>
      </c>
      <c r="D2132" t="inlineStr">
        <is>
          <t>HALLANDS LÄN</t>
        </is>
      </c>
      <c r="E2132" t="inlineStr">
        <is>
          <t>HYLTE</t>
        </is>
      </c>
      <c r="G2132" t="n">
        <v>2.5</v>
      </c>
      <c r="H2132" t="n">
        <v>0</v>
      </c>
      <c r="I2132" t="n">
        <v>0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s="2" t="inlineStr"/>
    </row>
    <row r="2133" ht="15" customHeight="1">
      <c r="A2133" t="inlineStr">
        <is>
          <t>A 21993-2022</t>
        </is>
      </c>
      <c r="B2133" s="1" t="n">
        <v>44711</v>
      </c>
      <c r="C2133" s="1" t="n">
        <v>45358</v>
      </c>
      <c r="D2133" t="inlineStr">
        <is>
          <t>HALLANDS LÄN</t>
        </is>
      </c>
      <c r="E2133" t="inlineStr">
        <is>
          <t>HYLTE</t>
        </is>
      </c>
      <c r="G2133" t="n">
        <v>0.8</v>
      </c>
      <c r="H2133" t="n">
        <v>0</v>
      </c>
      <c r="I2133" t="n">
        <v>0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s="2" t="inlineStr"/>
    </row>
    <row r="2134" ht="15" customHeight="1">
      <c r="A2134" t="inlineStr">
        <is>
          <t>A 21992-2022</t>
        </is>
      </c>
      <c r="B2134" s="1" t="n">
        <v>44711</v>
      </c>
      <c r="C2134" s="1" t="n">
        <v>45358</v>
      </c>
      <c r="D2134" t="inlineStr">
        <is>
          <t>HALLANDS LÄN</t>
        </is>
      </c>
      <c r="E2134" t="inlineStr">
        <is>
          <t>VARBERG</t>
        </is>
      </c>
      <c r="G2134" t="n">
        <v>2</v>
      </c>
      <c r="H2134" t="n">
        <v>0</v>
      </c>
      <c r="I2134" t="n">
        <v>0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s="2" t="inlineStr"/>
    </row>
    <row r="2135" ht="15" customHeight="1">
      <c r="A2135" t="inlineStr">
        <is>
          <t>A 22015-2022</t>
        </is>
      </c>
      <c r="B2135" s="1" t="n">
        <v>44711</v>
      </c>
      <c r="C2135" s="1" t="n">
        <v>45358</v>
      </c>
      <c r="D2135" t="inlineStr">
        <is>
          <t>HALLANDS LÄN</t>
        </is>
      </c>
      <c r="E2135" t="inlineStr">
        <is>
          <t>HALMSTAD</t>
        </is>
      </c>
      <c r="G2135" t="n">
        <v>2.6</v>
      </c>
      <c r="H2135" t="n">
        <v>0</v>
      </c>
      <c r="I2135" t="n">
        <v>0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s="2" t="inlineStr"/>
    </row>
    <row r="2136" ht="15" customHeight="1">
      <c r="A2136" t="inlineStr">
        <is>
          <t>A 22070-2022</t>
        </is>
      </c>
      <c r="B2136" s="1" t="n">
        <v>44711</v>
      </c>
      <c r="C2136" s="1" t="n">
        <v>45358</v>
      </c>
      <c r="D2136" t="inlineStr">
        <is>
          <t>HALLANDS LÄN</t>
        </is>
      </c>
      <c r="E2136" t="inlineStr">
        <is>
          <t>HALMSTAD</t>
        </is>
      </c>
      <c r="G2136" t="n">
        <v>5.3</v>
      </c>
      <c r="H2136" t="n">
        <v>0</v>
      </c>
      <c r="I2136" t="n">
        <v>0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s="2" t="inlineStr"/>
    </row>
    <row r="2137" ht="15" customHeight="1">
      <c r="A2137" t="inlineStr">
        <is>
          <t>A 22002-2022</t>
        </is>
      </c>
      <c r="B2137" s="1" t="n">
        <v>44711</v>
      </c>
      <c r="C2137" s="1" t="n">
        <v>45358</v>
      </c>
      <c r="D2137" t="inlineStr">
        <is>
          <t>HALLANDS LÄN</t>
        </is>
      </c>
      <c r="E2137" t="inlineStr">
        <is>
          <t>FALKENBERG</t>
        </is>
      </c>
      <c r="G2137" t="n">
        <v>0.8</v>
      </c>
      <c r="H2137" t="n">
        <v>0</v>
      </c>
      <c r="I2137" t="n">
        <v>0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s="2" t="inlineStr"/>
    </row>
    <row r="2138" ht="15" customHeight="1">
      <c r="A2138" t="inlineStr">
        <is>
          <t>A 22146-2022</t>
        </is>
      </c>
      <c r="B2138" s="1" t="n">
        <v>44712</v>
      </c>
      <c r="C2138" s="1" t="n">
        <v>45358</v>
      </c>
      <c r="D2138" t="inlineStr">
        <is>
          <t>HALLANDS LÄN</t>
        </is>
      </c>
      <c r="E2138" t="inlineStr">
        <is>
          <t>HALMSTAD</t>
        </is>
      </c>
      <c r="G2138" t="n">
        <v>5.4</v>
      </c>
      <c r="H2138" t="n">
        <v>0</v>
      </c>
      <c r="I2138" t="n">
        <v>0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s="2" t="inlineStr"/>
    </row>
    <row r="2139" ht="15" customHeight="1">
      <c r="A2139" t="inlineStr">
        <is>
          <t>A 22149-2022</t>
        </is>
      </c>
      <c r="B2139" s="1" t="n">
        <v>44712</v>
      </c>
      <c r="C2139" s="1" t="n">
        <v>45358</v>
      </c>
      <c r="D2139" t="inlineStr">
        <is>
          <t>HALLANDS LÄN</t>
        </is>
      </c>
      <c r="E2139" t="inlineStr">
        <is>
          <t>HALMSTAD</t>
        </is>
      </c>
      <c r="G2139" t="n">
        <v>9.699999999999999</v>
      </c>
      <c r="H2139" t="n">
        <v>0</v>
      </c>
      <c r="I2139" t="n">
        <v>0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s="2" t="inlineStr"/>
    </row>
    <row r="2140" ht="15" customHeight="1">
      <c r="A2140" t="inlineStr">
        <is>
          <t>A 22147-2022</t>
        </is>
      </c>
      <c r="B2140" s="1" t="n">
        <v>44712</v>
      </c>
      <c r="C2140" s="1" t="n">
        <v>45358</v>
      </c>
      <c r="D2140" t="inlineStr">
        <is>
          <t>HALLANDS LÄN</t>
        </is>
      </c>
      <c r="E2140" t="inlineStr">
        <is>
          <t>LAHOLM</t>
        </is>
      </c>
      <c r="G2140" t="n">
        <v>1.2</v>
      </c>
      <c r="H2140" t="n">
        <v>0</v>
      </c>
      <c r="I2140" t="n">
        <v>0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s="2" t="inlineStr"/>
    </row>
    <row r="2141" ht="15" customHeight="1">
      <c r="A2141" t="inlineStr">
        <is>
          <t>A 22184-2022</t>
        </is>
      </c>
      <c r="B2141" s="1" t="n">
        <v>44712</v>
      </c>
      <c r="C2141" s="1" t="n">
        <v>45358</v>
      </c>
      <c r="D2141" t="inlineStr">
        <is>
          <t>HALLANDS LÄN</t>
        </is>
      </c>
      <c r="E2141" t="inlineStr">
        <is>
          <t>HYLTE</t>
        </is>
      </c>
      <c r="G2141" t="n">
        <v>1.2</v>
      </c>
      <c r="H2141" t="n">
        <v>0</v>
      </c>
      <c r="I2141" t="n">
        <v>0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s="2" t="inlineStr"/>
    </row>
    <row r="2142" ht="15" customHeight="1">
      <c r="A2142" t="inlineStr">
        <is>
          <t>A 22309-2022</t>
        </is>
      </c>
      <c r="B2142" s="1" t="n">
        <v>44712</v>
      </c>
      <c r="C2142" s="1" t="n">
        <v>45358</v>
      </c>
      <c r="D2142" t="inlineStr">
        <is>
          <t>HALLANDS LÄN</t>
        </is>
      </c>
      <c r="E2142" t="inlineStr">
        <is>
          <t>HYLTE</t>
        </is>
      </c>
      <c r="G2142" t="n">
        <v>2.4</v>
      </c>
      <c r="H2142" t="n">
        <v>0</v>
      </c>
      <c r="I2142" t="n">
        <v>0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s="2" t="inlineStr"/>
    </row>
    <row r="2143" ht="15" customHeight="1">
      <c r="A2143" t="inlineStr">
        <is>
          <t>A 22419-2022</t>
        </is>
      </c>
      <c r="B2143" s="1" t="n">
        <v>44713</v>
      </c>
      <c r="C2143" s="1" t="n">
        <v>45358</v>
      </c>
      <c r="D2143" t="inlineStr">
        <is>
          <t>HALLANDS LÄN</t>
        </is>
      </c>
      <c r="E2143" t="inlineStr">
        <is>
          <t>HALMSTAD</t>
        </is>
      </c>
      <c r="G2143" t="n">
        <v>2.2</v>
      </c>
      <c r="H2143" t="n">
        <v>0</v>
      </c>
      <c r="I2143" t="n">
        <v>0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s="2" t="inlineStr"/>
    </row>
    <row r="2144" ht="15" customHeight="1">
      <c r="A2144" t="inlineStr">
        <is>
          <t>A 22656-2022</t>
        </is>
      </c>
      <c r="B2144" s="1" t="n">
        <v>44714</v>
      </c>
      <c r="C2144" s="1" t="n">
        <v>45358</v>
      </c>
      <c r="D2144" t="inlineStr">
        <is>
          <t>HALLANDS LÄN</t>
        </is>
      </c>
      <c r="E2144" t="inlineStr">
        <is>
          <t>HYLTE</t>
        </is>
      </c>
      <c r="F2144" t="inlineStr">
        <is>
          <t>Bergvik skog väst AB</t>
        </is>
      </c>
      <c r="G2144" t="n">
        <v>5.5</v>
      </c>
      <c r="H2144" t="n">
        <v>0</v>
      </c>
      <c r="I2144" t="n">
        <v>0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s="2" t="inlineStr"/>
    </row>
    <row r="2145" ht="15" customHeight="1">
      <c r="A2145" t="inlineStr">
        <is>
          <t>A 22591-2022</t>
        </is>
      </c>
      <c r="B2145" s="1" t="n">
        <v>44714</v>
      </c>
      <c r="C2145" s="1" t="n">
        <v>45358</v>
      </c>
      <c r="D2145" t="inlineStr">
        <is>
          <t>HALLANDS LÄN</t>
        </is>
      </c>
      <c r="E2145" t="inlineStr">
        <is>
          <t>HYLTE</t>
        </is>
      </c>
      <c r="G2145" t="n">
        <v>0.7</v>
      </c>
      <c r="H2145" t="n">
        <v>0</v>
      </c>
      <c r="I2145" t="n">
        <v>0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0</v>
      </c>
      <c r="P2145" t="n">
        <v>0</v>
      </c>
      <c r="Q2145" t="n">
        <v>0</v>
      </c>
      <c r="R2145" s="2" t="inlineStr"/>
    </row>
    <row r="2146" ht="15" customHeight="1">
      <c r="A2146" t="inlineStr">
        <is>
          <t>A 22587-2022</t>
        </is>
      </c>
      <c r="B2146" s="1" t="n">
        <v>44714</v>
      </c>
      <c r="C2146" s="1" t="n">
        <v>45358</v>
      </c>
      <c r="D2146" t="inlineStr">
        <is>
          <t>HALLANDS LÄN</t>
        </is>
      </c>
      <c r="E2146" t="inlineStr">
        <is>
          <t>HYLTE</t>
        </is>
      </c>
      <c r="G2146" t="n">
        <v>1.4</v>
      </c>
      <c r="H2146" t="n">
        <v>0</v>
      </c>
      <c r="I2146" t="n">
        <v>0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n">
        <v>0</v>
      </c>
      <c r="Q2146" t="n">
        <v>0</v>
      </c>
      <c r="R2146" s="2" t="inlineStr"/>
    </row>
    <row r="2147" ht="15" customHeight="1">
      <c r="A2147" t="inlineStr">
        <is>
          <t>A 22860-2022</t>
        </is>
      </c>
      <c r="B2147" s="1" t="n">
        <v>44715</v>
      </c>
      <c r="C2147" s="1" t="n">
        <v>45358</v>
      </c>
      <c r="D2147" t="inlineStr">
        <is>
          <t>HALLANDS LÄN</t>
        </is>
      </c>
      <c r="E2147" t="inlineStr">
        <is>
          <t>HALMSTAD</t>
        </is>
      </c>
      <c r="G2147" t="n">
        <v>5.6</v>
      </c>
      <c r="H2147" t="n">
        <v>0</v>
      </c>
      <c r="I2147" t="n">
        <v>0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n">
        <v>0</v>
      </c>
      <c r="Q2147" t="n">
        <v>0</v>
      </c>
      <c r="R2147" s="2" t="inlineStr"/>
    </row>
    <row r="2148" ht="15" customHeight="1">
      <c r="A2148" t="inlineStr">
        <is>
          <t>A 22862-2022</t>
        </is>
      </c>
      <c r="B2148" s="1" t="n">
        <v>44715</v>
      </c>
      <c r="C2148" s="1" t="n">
        <v>45358</v>
      </c>
      <c r="D2148" t="inlineStr">
        <is>
          <t>HALLANDS LÄN</t>
        </is>
      </c>
      <c r="E2148" t="inlineStr">
        <is>
          <t>HALMSTAD</t>
        </is>
      </c>
      <c r="G2148" t="n">
        <v>6.1</v>
      </c>
      <c r="H2148" t="n">
        <v>0</v>
      </c>
      <c r="I2148" t="n">
        <v>0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  <c r="O2148" t="n">
        <v>0</v>
      </c>
      <c r="P2148" t="n">
        <v>0</v>
      </c>
      <c r="Q2148" t="n">
        <v>0</v>
      </c>
      <c r="R2148" s="2" t="inlineStr"/>
    </row>
    <row r="2149" ht="15" customHeight="1">
      <c r="A2149" t="inlineStr">
        <is>
          <t>A 23037-2022</t>
        </is>
      </c>
      <c r="B2149" s="1" t="n">
        <v>44719</v>
      </c>
      <c r="C2149" s="1" t="n">
        <v>45358</v>
      </c>
      <c r="D2149" t="inlineStr">
        <is>
          <t>HALLANDS LÄN</t>
        </is>
      </c>
      <c r="E2149" t="inlineStr">
        <is>
          <t>HYLTE</t>
        </is>
      </c>
      <c r="G2149" t="n">
        <v>1.1</v>
      </c>
      <c r="H2149" t="n">
        <v>0</v>
      </c>
      <c r="I2149" t="n">
        <v>0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  <c r="O2149" t="n">
        <v>0</v>
      </c>
      <c r="P2149" t="n">
        <v>0</v>
      </c>
      <c r="Q2149" t="n">
        <v>0</v>
      </c>
      <c r="R2149" s="2" t="inlineStr"/>
    </row>
    <row r="2150" ht="15" customHeight="1">
      <c r="A2150" t="inlineStr">
        <is>
          <t>A 23109-2022</t>
        </is>
      </c>
      <c r="B2150" s="1" t="n">
        <v>44719</v>
      </c>
      <c r="C2150" s="1" t="n">
        <v>45358</v>
      </c>
      <c r="D2150" t="inlineStr">
        <is>
          <t>HALLANDS LÄN</t>
        </is>
      </c>
      <c r="E2150" t="inlineStr">
        <is>
          <t>VARBERG</t>
        </is>
      </c>
      <c r="G2150" t="n">
        <v>1.2</v>
      </c>
      <c r="H2150" t="n">
        <v>0</v>
      </c>
      <c r="I2150" t="n">
        <v>0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  <c r="O2150" t="n">
        <v>0</v>
      </c>
      <c r="P2150" t="n">
        <v>0</v>
      </c>
      <c r="Q2150" t="n">
        <v>0</v>
      </c>
      <c r="R2150" s="2" t="inlineStr"/>
    </row>
    <row r="2151" ht="15" customHeight="1">
      <c r="A2151" t="inlineStr">
        <is>
          <t>A 23136-2022</t>
        </is>
      </c>
      <c r="B2151" s="1" t="n">
        <v>44719</v>
      </c>
      <c r="C2151" s="1" t="n">
        <v>45358</v>
      </c>
      <c r="D2151" t="inlineStr">
        <is>
          <t>HALLANDS LÄN</t>
        </is>
      </c>
      <c r="E2151" t="inlineStr">
        <is>
          <t>FALKENBERG</t>
        </is>
      </c>
      <c r="G2151" t="n">
        <v>0.7</v>
      </c>
      <c r="H2151" t="n">
        <v>0</v>
      </c>
      <c r="I2151" t="n">
        <v>0</v>
      </c>
      <c r="J2151" t="n">
        <v>0</v>
      </c>
      <c r="K2151" t="n">
        <v>0</v>
      </c>
      <c r="L2151" t="n">
        <v>0</v>
      </c>
      <c r="M2151" t="n">
        <v>0</v>
      </c>
      <c r="N2151" t="n">
        <v>0</v>
      </c>
      <c r="O2151" t="n">
        <v>0</v>
      </c>
      <c r="P2151" t="n">
        <v>0</v>
      </c>
      <c r="Q2151" t="n">
        <v>0</v>
      </c>
      <c r="R2151" s="2" t="inlineStr"/>
    </row>
    <row r="2152" ht="15" customHeight="1">
      <c r="A2152" t="inlineStr">
        <is>
          <t>A 23483-2022</t>
        </is>
      </c>
      <c r="B2152" s="1" t="n">
        <v>44721</v>
      </c>
      <c r="C2152" s="1" t="n">
        <v>45358</v>
      </c>
      <c r="D2152" t="inlineStr">
        <is>
          <t>HALLANDS LÄN</t>
        </is>
      </c>
      <c r="E2152" t="inlineStr">
        <is>
          <t>HALMSTAD</t>
        </is>
      </c>
      <c r="G2152" t="n">
        <v>7.9</v>
      </c>
      <c r="H2152" t="n">
        <v>0</v>
      </c>
      <c r="I2152" t="n">
        <v>0</v>
      </c>
      <c r="J2152" t="n">
        <v>0</v>
      </c>
      <c r="K2152" t="n">
        <v>0</v>
      </c>
      <c r="L2152" t="n">
        <v>0</v>
      </c>
      <c r="M2152" t="n">
        <v>0</v>
      </c>
      <c r="N2152" t="n">
        <v>0</v>
      </c>
      <c r="O2152" t="n">
        <v>0</v>
      </c>
      <c r="P2152" t="n">
        <v>0</v>
      </c>
      <c r="Q2152" t="n">
        <v>0</v>
      </c>
      <c r="R2152" s="2" t="inlineStr"/>
    </row>
    <row r="2153" ht="15" customHeight="1">
      <c r="A2153" t="inlineStr">
        <is>
          <t>A 23772-2022</t>
        </is>
      </c>
      <c r="B2153" s="1" t="n">
        <v>44722</v>
      </c>
      <c r="C2153" s="1" t="n">
        <v>45358</v>
      </c>
      <c r="D2153" t="inlineStr">
        <is>
          <t>HALLANDS LÄN</t>
        </is>
      </c>
      <c r="E2153" t="inlineStr">
        <is>
          <t>HALMSTAD</t>
        </is>
      </c>
      <c r="G2153" t="n">
        <v>2</v>
      </c>
      <c r="H2153" t="n">
        <v>0</v>
      </c>
      <c r="I2153" t="n">
        <v>0</v>
      </c>
      <c r="J2153" t="n">
        <v>0</v>
      </c>
      <c r="K2153" t="n">
        <v>0</v>
      </c>
      <c r="L2153" t="n">
        <v>0</v>
      </c>
      <c r="M2153" t="n">
        <v>0</v>
      </c>
      <c r="N2153" t="n">
        <v>0</v>
      </c>
      <c r="O2153" t="n">
        <v>0</v>
      </c>
      <c r="P2153" t="n">
        <v>0</v>
      </c>
      <c r="Q2153" t="n">
        <v>0</v>
      </c>
      <c r="R2153" s="2" t="inlineStr"/>
    </row>
    <row r="2154" ht="15" customHeight="1">
      <c r="A2154" t="inlineStr">
        <is>
          <t>A 23773-2022</t>
        </is>
      </c>
      <c r="B2154" s="1" t="n">
        <v>44722</v>
      </c>
      <c r="C2154" s="1" t="n">
        <v>45358</v>
      </c>
      <c r="D2154" t="inlineStr">
        <is>
          <t>HALLANDS LÄN</t>
        </is>
      </c>
      <c r="E2154" t="inlineStr">
        <is>
          <t>HALMSTAD</t>
        </is>
      </c>
      <c r="G2154" t="n">
        <v>1.7</v>
      </c>
      <c r="H2154" t="n">
        <v>0</v>
      </c>
      <c r="I2154" t="n">
        <v>0</v>
      </c>
      <c r="J2154" t="n">
        <v>0</v>
      </c>
      <c r="K2154" t="n">
        <v>0</v>
      </c>
      <c r="L2154" t="n">
        <v>0</v>
      </c>
      <c r="M2154" t="n">
        <v>0</v>
      </c>
      <c r="N2154" t="n">
        <v>0</v>
      </c>
      <c r="O2154" t="n">
        <v>0</v>
      </c>
      <c r="P2154" t="n">
        <v>0</v>
      </c>
      <c r="Q2154" t="n">
        <v>0</v>
      </c>
      <c r="R2154" s="2" t="inlineStr"/>
    </row>
    <row r="2155" ht="15" customHeight="1">
      <c r="A2155" t="inlineStr">
        <is>
          <t>A 23912-2022</t>
        </is>
      </c>
      <c r="B2155" s="1" t="n">
        <v>44722</v>
      </c>
      <c r="C2155" s="1" t="n">
        <v>45358</v>
      </c>
      <c r="D2155" t="inlineStr">
        <is>
          <t>HALLANDS LÄN</t>
        </is>
      </c>
      <c r="E2155" t="inlineStr">
        <is>
          <t>VARBERG</t>
        </is>
      </c>
      <c r="G2155" t="n">
        <v>6.2</v>
      </c>
      <c r="H2155" t="n">
        <v>0</v>
      </c>
      <c r="I2155" t="n">
        <v>0</v>
      </c>
      <c r="J2155" t="n">
        <v>0</v>
      </c>
      <c r="K2155" t="n">
        <v>0</v>
      </c>
      <c r="L2155" t="n">
        <v>0</v>
      </c>
      <c r="M2155" t="n">
        <v>0</v>
      </c>
      <c r="N2155" t="n">
        <v>0</v>
      </c>
      <c r="O2155" t="n">
        <v>0</v>
      </c>
      <c r="P2155" t="n">
        <v>0</v>
      </c>
      <c r="Q2155" t="n">
        <v>0</v>
      </c>
      <c r="R2155" s="2" t="inlineStr"/>
    </row>
    <row r="2156" ht="15" customHeight="1">
      <c r="A2156" t="inlineStr">
        <is>
          <t>A 23913-2022</t>
        </is>
      </c>
      <c r="B2156" s="1" t="n">
        <v>44722</v>
      </c>
      <c r="C2156" s="1" t="n">
        <v>45358</v>
      </c>
      <c r="D2156" t="inlineStr">
        <is>
          <t>HALLANDS LÄN</t>
        </is>
      </c>
      <c r="E2156" t="inlineStr">
        <is>
          <t>VARBERG</t>
        </is>
      </c>
      <c r="G2156" t="n">
        <v>0.6</v>
      </c>
      <c r="H2156" t="n">
        <v>0</v>
      </c>
      <c r="I2156" t="n">
        <v>0</v>
      </c>
      <c r="J2156" t="n">
        <v>0</v>
      </c>
      <c r="K2156" t="n">
        <v>0</v>
      </c>
      <c r="L2156" t="n">
        <v>0</v>
      </c>
      <c r="M2156" t="n">
        <v>0</v>
      </c>
      <c r="N2156" t="n">
        <v>0</v>
      </c>
      <c r="O2156" t="n">
        <v>0</v>
      </c>
      <c r="P2156" t="n">
        <v>0</v>
      </c>
      <c r="Q2156" t="n">
        <v>0</v>
      </c>
      <c r="R2156" s="2" t="inlineStr"/>
    </row>
    <row r="2157" ht="15" customHeight="1">
      <c r="A2157" t="inlineStr">
        <is>
          <t>A 24459-2022</t>
        </is>
      </c>
      <c r="B2157" s="1" t="n">
        <v>44726</v>
      </c>
      <c r="C2157" s="1" t="n">
        <v>45358</v>
      </c>
      <c r="D2157" t="inlineStr">
        <is>
          <t>HALLANDS LÄN</t>
        </is>
      </c>
      <c r="E2157" t="inlineStr">
        <is>
          <t>KUNGSBACKA</t>
        </is>
      </c>
      <c r="G2157" t="n">
        <v>4</v>
      </c>
      <c r="H2157" t="n">
        <v>0</v>
      </c>
      <c r="I2157" t="n">
        <v>0</v>
      </c>
      <c r="J2157" t="n">
        <v>0</v>
      </c>
      <c r="K2157" t="n">
        <v>0</v>
      </c>
      <c r="L2157" t="n">
        <v>0</v>
      </c>
      <c r="M2157" t="n">
        <v>0</v>
      </c>
      <c r="N2157" t="n">
        <v>0</v>
      </c>
      <c r="O2157" t="n">
        <v>0</v>
      </c>
      <c r="P2157" t="n">
        <v>0</v>
      </c>
      <c r="Q2157" t="n">
        <v>0</v>
      </c>
      <c r="R2157" s="2" t="inlineStr"/>
    </row>
    <row r="2158" ht="15" customHeight="1">
      <c r="A2158" t="inlineStr">
        <is>
          <t>A 24390-2022</t>
        </is>
      </c>
      <c r="B2158" s="1" t="n">
        <v>44726</v>
      </c>
      <c r="C2158" s="1" t="n">
        <v>45358</v>
      </c>
      <c r="D2158" t="inlineStr">
        <is>
          <t>HALLANDS LÄN</t>
        </is>
      </c>
      <c r="E2158" t="inlineStr">
        <is>
          <t>LAHOLM</t>
        </is>
      </c>
      <c r="G2158" t="n">
        <v>1.4</v>
      </c>
      <c r="H2158" t="n">
        <v>0</v>
      </c>
      <c r="I2158" t="n">
        <v>0</v>
      </c>
      <c r="J2158" t="n">
        <v>0</v>
      </c>
      <c r="K2158" t="n">
        <v>0</v>
      </c>
      <c r="L2158" t="n">
        <v>0</v>
      </c>
      <c r="M2158" t="n">
        <v>0</v>
      </c>
      <c r="N2158" t="n">
        <v>0</v>
      </c>
      <c r="O2158" t="n">
        <v>0</v>
      </c>
      <c r="P2158" t="n">
        <v>0</v>
      </c>
      <c r="Q2158" t="n">
        <v>0</v>
      </c>
      <c r="R2158" s="2" t="inlineStr"/>
    </row>
    <row r="2159" ht="15" customHeight="1">
      <c r="A2159" t="inlineStr">
        <is>
          <t>A 24481-2022</t>
        </is>
      </c>
      <c r="B2159" s="1" t="n">
        <v>44726</v>
      </c>
      <c r="C2159" s="1" t="n">
        <v>45358</v>
      </c>
      <c r="D2159" t="inlineStr">
        <is>
          <t>HALLANDS LÄN</t>
        </is>
      </c>
      <c r="E2159" t="inlineStr">
        <is>
          <t>HYLTE</t>
        </is>
      </c>
      <c r="G2159" t="n">
        <v>1.1</v>
      </c>
      <c r="H2159" t="n">
        <v>0</v>
      </c>
      <c r="I2159" t="n">
        <v>0</v>
      </c>
      <c r="J2159" t="n">
        <v>0</v>
      </c>
      <c r="K2159" t="n">
        <v>0</v>
      </c>
      <c r="L2159" t="n">
        <v>0</v>
      </c>
      <c r="M2159" t="n">
        <v>0</v>
      </c>
      <c r="N2159" t="n">
        <v>0</v>
      </c>
      <c r="O2159" t="n">
        <v>0</v>
      </c>
      <c r="P2159" t="n">
        <v>0</v>
      </c>
      <c r="Q2159" t="n">
        <v>0</v>
      </c>
      <c r="R2159" s="2" t="inlineStr"/>
    </row>
    <row r="2160" ht="15" customHeight="1">
      <c r="A2160" t="inlineStr">
        <is>
          <t>A 24593-2022</t>
        </is>
      </c>
      <c r="B2160" s="1" t="n">
        <v>44727</v>
      </c>
      <c r="C2160" s="1" t="n">
        <v>45358</v>
      </c>
      <c r="D2160" t="inlineStr">
        <is>
          <t>HALLANDS LÄN</t>
        </is>
      </c>
      <c r="E2160" t="inlineStr">
        <is>
          <t>LAHOLM</t>
        </is>
      </c>
      <c r="G2160" t="n">
        <v>1</v>
      </c>
      <c r="H2160" t="n">
        <v>0</v>
      </c>
      <c r="I2160" t="n">
        <v>0</v>
      </c>
      <c r="J2160" t="n">
        <v>0</v>
      </c>
      <c r="K2160" t="n">
        <v>0</v>
      </c>
      <c r="L2160" t="n">
        <v>0</v>
      </c>
      <c r="M2160" t="n">
        <v>0</v>
      </c>
      <c r="N2160" t="n">
        <v>0</v>
      </c>
      <c r="O2160" t="n">
        <v>0</v>
      </c>
      <c r="P2160" t="n">
        <v>0</v>
      </c>
      <c r="Q2160" t="n">
        <v>0</v>
      </c>
      <c r="R2160" s="2" t="inlineStr"/>
    </row>
    <row r="2161" ht="15" customHeight="1">
      <c r="A2161" t="inlineStr">
        <is>
          <t>A 24639-2022</t>
        </is>
      </c>
      <c r="B2161" s="1" t="n">
        <v>44727</v>
      </c>
      <c r="C2161" s="1" t="n">
        <v>45358</v>
      </c>
      <c r="D2161" t="inlineStr">
        <is>
          <t>HALLANDS LÄN</t>
        </is>
      </c>
      <c r="E2161" t="inlineStr">
        <is>
          <t>HYLTE</t>
        </is>
      </c>
      <c r="G2161" t="n">
        <v>1.9</v>
      </c>
      <c r="H2161" t="n">
        <v>0</v>
      </c>
      <c r="I2161" t="n">
        <v>0</v>
      </c>
      <c r="J2161" t="n">
        <v>0</v>
      </c>
      <c r="K2161" t="n">
        <v>0</v>
      </c>
      <c r="L2161" t="n">
        <v>0</v>
      </c>
      <c r="M2161" t="n">
        <v>0</v>
      </c>
      <c r="N2161" t="n">
        <v>0</v>
      </c>
      <c r="O2161" t="n">
        <v>0</v>
      </c>
      <c r="P2161" t="n">
        <v>0</v>
      </c>
      <c r="Q2161" t="n">
        <v>0</v>
      </c>
      <c r="R2161" s="2" t="inlineStr"/>
    </row>
    <row r="2162" ht="15" customHeight="1">
      <c r="A2162" t="inlineStr">
        <is>
          <t>A 24624-2022</t>
        </is>
      </c>
      <c r="B2162" s="1" t="n">
        <v>44727</v>
      </c>
      <c r="C2162" s="1" t="n">
        <v>45358</v>
      </c>
      <c r="D2162" t="inlineStr">
        <is>
          <t>HALLANDS LÄN</t>
        </is>
      </c>
      <c r="E2162" t="inlineStr">
        <is>
          <t>FALKENBERG</t>
        </is>
      </c>
      <c r="G2162" t="n">
        <v>0.5</v>
      </c>
      <c r="H2162" t="n">
        <v>0</v>
      </c>
      <c r="I2162" t="n">
        <v>0</v>
      </c>
      <c r="J2162" t="n">
        <v>0</v>
      </c>
      <c r="K2162" t="n">
        <v>0</v>
      </c>
      <c r="L2162" t="n">
        <v>0</v>
      </c>
      <c r="M2162" t="n">
        <v>0</v>
      </c>
      <c r="N2162" t="n">
        <v>0</v>
      </c>
      <c r="O2162" t="n">
        <v>0</v>
      </c>
      <c r="P2162" t="n">
        <v>0</v>
      </c>
      <c r="Q2162" t="n">
        <v>0</v>
      </c>
      <c r="R2162" s="2" t="inlineStr"/>
    </row>
    <row r="2163" ht="15" customHeight="1">
      <c r="A2163" t="inlineStr">
        <is>
          <t>A 24627-2022</t>
        </is>
      </c>
      <c r="B2163" s="1" t="n">
        <v>44727</v>
      </c>
      <c r="C2163" s="1" t="n">
        <v>45358</v>
      </c>
      <c r="D2163" t="inlineStr">
        <is>
          <t>HALLANDS LÄN</t>
        </is>
      </c>
      <c r="E2163" t="inlineStr">
        <is>
          <t>HYLTE</t>
        </is>
      </c>
      <c r="G2163" t="n">
        <v>1.4</v>
      </c>
      <c r="H2163" t="n">
        <v>0</v>
      </c>
      <c r="I2163" t="n">
        <v>0</v>
      </c>
      <c r="J2163" t="n">
        <v>0</v>
      </c>
      <c r="K2163" t="n">
        <v>0</v>
      </c>
      <c r="L2163" t="n">
        <v>0</v>
      </c>
      <c r="M2163" t="n">
        <v>0</v>
      </c>
      <c r="N2163" t="n">
        <v>0</v>
      </c>
      <c r="O2163" t="n">
        <v>0</v>
      </c>
      <c r="P2163" t="n">
        <v>0</v>
      </c>
      <c r="Q2163" t="n">
        <v>0</v>
      </c>
      <c r="R2163" s="2" t="inlineStr"/>
    </row>
    <row r="2164" ht="15" customHeight="1">
      <c r="A2164" t="inlineStr">
        <is>
          <t>A 24626-2022</t>
        </is>
      </c>
      <c r="B2164" s="1" t="n">
        <v>44727</v>
      </c>
      <c r="C2164" s="1" t="n">
        <v>45358</v>
      </c>
      <c r="D2164" t="inlineStr">
        <is>
          <t>HALLANDS LÄN</t>
        </is>
      </c>
      <c r="E2164" t="inlineStr">
        <is>
          <t>HYLTE</t>
        </is>
      </c>
      <c r="G2164" t="n">
        <v>4.3</v>
      </c>
      <c r="H2164" t="n">
        <v>0</v>
      </c>
      <c r="I2164" t="n">
        <v>0</v>
      </c>
      <c r="J2164" t="n">
        <v>0</v>
      </c>
      <c r="K2164" t="n">
        <v>0</v>
      </c>
      <c r="L2164" t="n">
        <v>0</v>
      </c>
      <c r="M2164" t="n">
        <v>0</v>
      </c>
      <c r="N2164" t="n">
        <v>0</v>
      </c>
      <c r="O2164" t="n">
        <v>0</v>
      </c>
      <c r="P2164" t="n">
        <v>0</v>
      </c>
      <c r="Q2164" t="n">
        <v>0</v>
      </c>
      <c r="R2164" s="2" t="inlineStr"/>
    </row>
    <row r="2165" ht="15" customHeight="1">
      <c r="A2165" t="inlineStr">
        <is>
          <t>A 24891-2022</t>
        </is>
      </c>
      <c r="B2165" s="1" t="n">
        <v>44728</v>
      </c>
      <c r="C2165" s="1" t="n">
        <v>45358</v>
      </c>
      <c r="D2165" t="inlineStr">
        <is>
          <t>HALLANDS LÄN</t>
        </is>
      </c>
      <c r="E2165" t="inlineStr">
        <is>
          <t>HYLTE</t>
        </is>
      </c>
      <c r="G2165" t="n">
        <v>0.3</v>
      </c>
      <c r="H2165" t="n">
        <v>0</v>
      </c>
      <c r="I2165" t="n">
        <v>0</v>
      </c>
      <c r="J2165" t="n">
        <v>0</v>
      </c>
      <c r="K2165" t="n">
        <v>0</v>
      </c>
      <c r="L2165" t="n">
        <v>0</v>
      </c>
      <c r="M2165" t="n">
        <v>0</v>
      </c>
      <c r="N2165" t="n">
        <v>0</v>
      </c>
      <c r="O2165" t="n">
        <v>0</v>
      </c>
      <c r="P2165" t="n">
        <v>0</v>
      </c>
      <c r="Q2165" t="n">
        <v>0</v>
      </c>
      <c r="R2165" s="2" t="inlineStr"/>
    </row>
    <row r="2166" ht="15" customHeight="1">
      <c r="A2166" t="inlineStr">
        <is>
          <t>A 24917-2022</t>
        </is>
      </c>
      <c r="B2166" s="1" t="n">
        <v>44728</v>
      </c>
      <c r="C2166" s="1" t="n">
        <v>45358</v>
      </c>
      <c r="D2166" t="inlineStr">
        <is>
          <t>HALLANDS LÄN</t>
        </is>
      </c>
      <c r="E2166" t="inlineStr">
        <is>
          <t>HALMSTAD</t>
        </is>
      </c>
      <c r="G2166" t="n">
        <v>4.6</v>
      </c>
      <c r="H2166" t="n">
        <v>0</v>
      </c>
      <c r="I2166" t="n">
        <v>0</v>
      </c>
      <c r="J2166" t="n">
        <v>0</v>
      </c>
      <c r="K2166" t="n">
        <v>0</v>
      </c>
      <c r="L2166" t="n">
        <v>0</v>
      </c>
      <c r="M2166" t="n">
        <v>0</v>
      </c>
      <c r="N2166" t="n">
        <v>0</v>
      </c>
      <c r="O2166" t="n">
        <v>0</v>
      </c>
      <c r="P2166" t="n">
        <v>0</v>
      </c>
      <c r="Q2166" t="n">
        <v>0</v>
      </c>
      <c r="R2166" s="2" t="inlineStr"/>
    </row>
    <row r="2167" ht="15" customHeight="1">
      <c r="A2167" t="inlineStr">
        <is>
          <t>A 25140-2022</t>
        </is>
      </c>
      <c r="B2167" s="1" t="n">
        <v>44729</v>
      </c>
      <c r="C2167" s="1" t="n">
        <v>45358</v>
      </c>
      <c r="D2167" t="inlineStr">
        <is>
          <t>HALLANDS LÄN</t>
        </is>
      </c>
      <c r="E2167" t="inlineStr">
        <is>
          <t>HYLTE</t>
        </is>
      </c>
      <c r="G2167" t="n">
        <v>2.5</v>
      </c>
      <c r="H2167" t="n">
        <v>0</v>
      </c>
      <c r="I2167" t="n">
        <v>0</v>
      </c>
      <c r="J2167" t="n">
        <v>0</v>
      </c>
      <c r="K2167" t="n">
        <v>0</v>
      </c>
      <c r="L2167" t="n">
        <v>0</v>
      </c>
      <c r="M2167" t="n">
        <v>0</v>
      </c>
      <c r="N2167" t="n">
        <v>0</v>
      </c>
      <c r="O2167" t="n">
        <v>0</v>
      </c>
      <c r="P2167" t="n">
        <v>0</v>
      </c>
      <c r="Q2167" t="n">
        <v>0</v>
      </c>
      <c r="R2167" s="2" t="inlineStr"/>
    </row>
    <row r="2168" ht="15" customHeight="1">
      <c r="A2168" t="inlineStr">
        <is>
          <t>A 25989-2022</t>
        </is>
      </c>
      <c r="B2168" s="1" t="n">
        <v>44734</v>
      </c>
      <c r="C2168" s="1" t="n">
        <v>45358</v>
      </c>
      <c r="D2168" t="inlineStr">
        <is>
          <t>HALLANDS LÄN</t>
        </is>
      </c>
      <c r="E2168" t="inlineStr">
        <is>
          <t>VARBERG</t>
        </is>
      </c>
      <c r="G2168" t="n">
        <v>2.3</v>
      </c>
      <c r="H2168" t="n">
        <v>0</v>
      </c>
      <c r="I2168" t="n">
        <v>0</v>
      </c>
      <c r="J2168" t="n">
        <v>0</v>
      </c>
      <c r="K2168" t="n">
        <v>0</v>
      </c>
      <c r="L2168" t="n">
        <v>0</v>
      </c>
      <c r="M2168" t="n">
        <v>0</v>
      </c>
      <c r="N2168" t="n">
        <v>0</v>
      </c>
      <c r="O2168" t="n">
        <v>0</v>
      </c>
      <c r="P2168" t="n">
        <v>0</v>
      </c>
      <c r="Q2168" t="n">
        <v>0</v>
      </c>
      <c r="R2168" s="2" t="inlineStr"/>
    </row>
    <row r="2169" ht="15" customHeight="1">
      <c r="A2169" t="inlineStr">
        <is>
          <t>A 26011-2022</t>
        </is>
      </c>
      <c r="B2169" s="1" t="n">
        <v>44734</v>
      </c>
      <c r="C2169" s="1" t="n">
        <v>45358</v>
      </c>
      <c r="D2169" t="inlineStr">
        <is>
          <t>HALLANDS LÄN</t>
        </is>
      </c>
      <c r="E2169" t="inlineStr">
        <is>
          <t>FALKENBERG</t>
        </is>
      </c>
      <c r="G2169" t="n">
        <v>1.5</v>
      </c>
      <c r="H2169" t="n">
        <v>0</v>
      </c>
      <c r="I2169" t="n">
        <v>0</v>
      </c>
      <c r="J2169" t="n">
        <v>0</v>
      </c>
      <c r="K2169" t="n">
        <v>0</v>
      </c>
      <c r="L2169" t="n">
        <v>0</v>
      </c>
      <c r="M2169" t="n">
        <v>0</v>
      </c>
      <c r="N2169" t="n">
        <v>0</v>
      </c>
      <c r="O2169" t="n">
        <v>0</v>
      </c>
      <c r="P2169" t="n">
        <v>0</v>
      </c>
      <c r="Q2169" t="n">
        <v>0</v>
      </c>
      <c r="R2169" s="2" t="inlineStr"/>
    </row>
    <row r="2170" ht="15" customHeight="1">
      <c r="A2170" t="inlineStr">
        <is>
          <t>A 26108-2022</t>
        </is>
      </c>
      <c r="B2170" s="1" t="n">
        <v>44734</v>
      </c>
      <c r="C2170" s="1" t="n">
        <v>45358</v>
      </c>
      <c r="D2170" t="inlineStr">
        <is>
          <t>HALLANDS LÄN</t>
        </is>
      </c>
      <c r="E2170" t="inlineStr">
        <is>
          <t>HALMSTAD</t>
        </is>
      </c>
      <c r="G2170" t="n">
        <v>2.6</v>
      </c>
      <c r="H2170" t="n">
        <v>0</v>
      </c>
      <c r="I2170" t="n">
        <v>0</v>
      </c>
      <c r="J2170" t="n">
        <v>0</v>
      </c>
      <c r="K2170" t="n">
        <v>0</v>
      </c>
      <c r="L2170" t="n">
        <v>0</v>
      </c>
      <c r="M2170" t="n">
        <v>0</v>
      </c>
      <c r="N2170" t="n">
        <v>0</v>
      </c>
      <c r="O2170" t="n">
        <v>0</v>
      </c>
      <c r="P2170" t="n">
        <v>0</v>
      </c>
      <c r="Q2170" t="n">
        <v>0</v>
      </c>
      <c r="R2170" s="2" t="inlineStr"/>
    </row>
    <row r="2171" ht="15" customHeight="1">
      <c r="A2171" t="inlineStr">
        <is>
          <t>A 26102-2022</t>
        </is>
      </c>
      <c r="B2171" s="1" t="n">
        <v>44734</v>
      </c>
      <c r="C2171" s="1" t="n">
        <v>45358</v>
      </c>
      <c r="D2171" t="inlineStr">
        <is>
          <t>HALLANDS LÄN</t>
        </is>
      </c>
      <c r="E2171" t="inlineStr">
        <is>
          <t>HALMSTAD</t>
        </is>
      </c>
      <c r="G2171" t="n">
        <v>0.8</v>
      </c>
      <c r="H2171" t="n">
        <v>0</v>
      </c>
      <c r="I2171" t="n">
        <v>0</v>
      </c>
      <c r="J2171" t="n">
        <v>0</v>
      </c>
      <c r="K2171" t="n">
        <v>0</v>
      </c>
      <c r="L2171" t="n">
        <v>0</v>
      </c>
      <c r="M2171" t="n">
        <v>0</v>
      </c>
      <c r="N2171" t="n">
        <v>0</v>
      </c>
      <c r="O2171" t="n">
        <v>0</v>
      </c>
      <c r="P2171" t="n">
        <v>0</v>
      </c>
      <c r="Q2171" t="n">
        <v>0</v>
      </c>
      <c r="R2171" s="2" t="inlineStr"/>
    </row>
    <row r="2172" ht="15" customHeight="1">
      <c r="A2172" t="inlineStr">
        <is>
          <t>A 26105-2022</t>
        </is>
      </c>
      <c r="B2172" s="1" t="n">
        <v>44734</v>
      </c>
      <c r="C2172" s="1" t="n">
        <v>45358</v>
      </c>
      <c r="D2172" t="inlineStr">
        <is>
          <t>HALLANDS LÄN</t>
        </is>
      </c>
      <c r="E2172" t="inlineStr">
        <is>
          <t>HALMSTAD</t>
        </is>
      </c>
      <c r="G2172" t="n">
        <v>1.6</v>
      </c>
      <c r="H2172" t="n">
        <v>0</v>
      </c>
      <c r="I2172" t="n">
        <v>0</v>
      </c>
      <c r="J2172" t="n">
        <v>0</v>
      </c>
      <c r="K2172" t="n">
        <v>0</v>
      </c>
      <c r="L2172" t="n">
        <v>0</v>
      </c>
      <c r="M2172" t="n">
        <v>0</v>
      </c>
      <c r="N2172" t="n">
        <v>0</v>
      </c>
      <c r="O2172" t="n">
        <v>0</v>
      </c>
      <c r="P2172" t="n">
        <v>0</v>
      </c>
      <c r="Q2172" t="n">
        <v>0</v>
      </c>
      <c r="R2172" s="2" t="inlineStr"/>
    </row>
    <row r="2173" ht="15" customHeight="1">
      <c r="A2173" t="inlineStr">
        <is>
          <t>A 26184-2022</t>
        </is>
      </c>
      <c r="B2173" s="1" t="n">
        <v>44735</v>
      </c>
      <c r="C2173" s="1" t="n">
        <v>45358</v>
      </c>
      <c r="D2173" t="inlineStr">
        <is>
          <t>HALLANDS LÄN</t>
        </is>
      </c>
      <c r="E2173" t="inlineStr">
        <is>
          <t>HYLTE</t>
        </is>
      </c>
      <c r="G2173" t="n">
        <v>2.7</v>
      </c>
      <c r="H2173" t="n">
        <v>0</v>
      </c>
      <c r="I2173" t="n">
        <v>0</v>
      </c>
      <c r="J2173" t="n">
        <v>0</v>
      </c>
      <c r="K2173" t="n">
        <v>0</v>
      </c>
      <c r="L2173" t="n">
        <v>0</v>
      </c>
      <c r="M2173" t="n">
        <v>0</v>
      </c>
      <c r="N2173" t="n">
        <v>0</v>
      </c>
      <c r="O2173" t="n">
        <v>0</v>
      </c>
      <c r="P2173" t="n">
        <v>0</v>
      </c>
      <c r="Q2173" t="n">
        <v>0</v>
      </c>
      <c r="R2173" s="2" t="inlineStr"/>
    </row>
    <row r="2174" ht="15" customHeight="1">
      <c r="A2174" t="inlineStr">
        <is>
          <t>A 26240-2022</t>
        </is>
      </c>
      <c r="B2174" s="1" t="n">
        <v>44735</v>
      </c>
      <c r="C2174" s="1" t="n">
        <v>45358</v>
      </c>
      <c r="D2174" t="inlineStr">
        <is>
          <t>HALLANDS LÄN</t>
        </is>
      </c>
      <c r="E2174" t="inlineStr">
        <is>
          <t>LAHOLM</t>
        </is>
      </c>
      <c r="G2174" t="n">
        <v>2.7</v>
      </c>
      <c r="H2174" t="n">
        <v>0</v>
      </c>
      <c r="I2174" t="n">
        <v>0</v>
      </c>
      <c r="J2174" t="n">
        <v>0</v>
      </c>
      <c r="K2174" t="n">
        <v>0</v>
      </c>
      <c r="L2174" t="n">
        <v>0</v>
      </c>
      <c r="M2174" t="n">
        <v>0</v>
      </c>
      <c r="N2174" t="n">
        <v>0</v>
      </c>
      <c r="O2174" t="n">
        <v>0</v>
      </c>
      <c r="P2174" t="n">
        <v>0</v>
      </c>
      <c r="Q2174" t="n">
        <v>0</v>
      </c>
      <c r="R2174" s="2" t="inlineStr"/>
    </row>
    <row r="2175" ht="15" customHeight="1">
      <c r="A2175" t="inlineStr">
        <is>
          <t>A 26312-2022</t>
        </is>
      </c>
      <c r="B2175" s="1" t="n">
        <v>44735</v>
      </c>
      <c r="C2175" s="1" t="n">
        <v>45358</v>
      </c>
      <c r="D2175" t="inlineStr">
        <is>
          <t>HALLANDS LÄN</t>
        </is>
      </c>
      <c r="E2175" t="inlineStr">
        <is>
          <t>HYLTE</t>
        </is>
      </c>
      <c r="G2175" t="n">
        <v>2.8</v>
      </c>
      <c r="H2175" t="n">
        <v>0</v>
      </c>
      <c r="I2175" t="n">
        <v>0</v>
      </c>
      <c r="J2175" t="n">
        <v>0</v>
      </c>
      <c r="K2175" t="n">
        <v>0</v>
      </c>
      <c r="L2175" t="n">
        <v>0</v>
      </c>
      <c r="M2175" t="n">
        <v>0</v>
      </c>
      <c r="N2175" t="n">
        <v>0</v>
      </c>
      <c r="O2175" t="n">
        <v>0</v>
      </c>
      <c r="P2175" t="n">
        <v>0</v>
      </c>
      <c r="Q2175" t="n">
        <v>0</v>
      </c>
      <c r="R2175" s="2" t="inlineStr"/>
    </row>
    <row r="2176" ht="15" customHeight="1">
      <c r="A2176" t="inlineStr">
        <is>
          <t>A 26363-2022</t>
        </is>
      </c>
      <c r="B2176" s="1" t="n">
        <v>44735</v>
      </c>
      <c r="C2176" s="1" t="n">
        <v>45358</v>
      </c>
      <c r="D2176" t="inlineStr">
        <is>
          <t>HALLANDS LÄN</t>
        </is>
      </c>
      <c r="E2176" t="inlineStr">
        <is>
          <t>HYLTE</t>
        </is>
      </c>
      <c r="G2176" t="n">
        <v>2</v>
      </c>
      <c r="H2176" t="n">
        <v>0</v>
      </c>
      <c r="I2176" t="n">
        <v>0</v>
      </c>
      <c r="J2176" t="n">
        <v>0</v>
      </c>
      <c r="K2176" t="n">
        <v>0</v>
      </c>
      <c r="L2176" t="n">
        <v>0</v>
      </c>
      <c r="M2176" t="n">
        <v>0</v>
      </c>
      <c r="N2176" t="n">
        <v>0</v>
      </c>
      <c r="O2176" t="n">
        <v>0</v>
      </c>
      <c r="P2176" t="n">
        <v>0</v>
      </c>
      <c r="Q2176" t="n">
        <v>0</v>
      </c>
      <c r="R2176" s="2" t="inlineStr"/>
    </row>
    <row r="2177" ht="15" customHeight="1">
      <c r="A2177" t="inlineStr">
        <is>
          <t>A 26600-2022</t>
        </is>
      </c>
      <c r="B2177" s="1" t="n">
        <v>44739</v>
      </c>
      <c r="C2177" s="1" t="n">
        <v>45358</v>
      </c>
      <c r="D2177" t="inlineStr">
        <is>
          <t>HALLANDS LÄN</t>
        </is>
      </c>
      <c r="E2177" t="inlineStr">
        <is>
          <t>HYLTE</t>
        </is>
      </c>
      <c r="G2177" t="n">
        <v>0.6</v>
      </c>
      <c r="H2177" t="n">
        <v>0</v>
      </c>
      <c r="I2177" t="n">
        <v>0</v>
      </c>
      <c r="J2177" t="n">
        <v>0</v>
      </c>
      <c r="K2177" t="n">
        <v>0</v>
      </c>
      <c r="L2177" t="n">
        <v>0</v>
      </c>
      <c r="M2177" t="n">
        <v>0</v>
      </c>
      <c r="N2177" t="n">
        <v>0</v>
      </c>
      <c r="O2177" t="n">
        <v>0</v>
      </c>
      <c r="P2177" t="n">
        <v>0</v>
      </c>
      <c r="Q2177" t="n">
        <v>0</v>
      </c>
      <c r="R2177" s="2" t="inlineStr"/>
    </row>
    <row r="2178" ht="15" customHeight="1">
      <c r="A2178" t="inlineStr">
        <is>
          <t>A 26602-2022</t>
        </is>
      </c>
      <c r="B2178" s="1" t="n">
        <v>44739</v>
      </c>
      <c r="C2178" s="1" t="n">
        <v>45358</v>
      </c>
      <c r="D2178" t="inlineStr">
        <is>
          <t>HALLANDS LÄN</t>
        </is>
      </c>
      <c r="E2178" t="inlineStr">
        <is>
          <t>HYLTE</t>
        </is>
      </c>
      <c r="G2178" t="n">
        <v>0.5</v>
      </c>
      <c r="H2178" t="n">
        <v>0</v>
      </c>
      <c r="I2178" t="n">
        <v>0</v>
      </c>
      <c r="J2178" t="n">
        <v>0</v>
      </c>
      <c r="K2178" t="n">
        <v>0</v>
      </c>
      <c r="L2178" t="n">
        <v>0</v>
      </c>
      <c r="M2178" t="n">
        <v>0</v>
      </c>
      <c r="N2178" t="n">
        <v>0</v>
      </c>
      <c r="O2178" t="n">
        <v>0</v>
      </c>
      <c r="P2178" t="n">
        <v>0</v>
      </c>
      <c r="Q2178" t="n">
        <v>0</v>
      </c>
      <c r="R2178" s="2" t="inlineStr"/>
    </row>
    <row r="2179" ht="15" customHeight="1">
      <c r="A2179" t="inlineStr">
        <is>
          <t>A 26677-2022</t>
        </is>
      </c>
      <c r="B2179" s="1" t="n">
        <v>44739</v>
      </c>
      <c r="C2179" s="1" t="n">
        <v>45358</v>
      </c>
      <c r="D2179" t="inlineStr">
        <is>
          <t>HALLANDS LÄN</t>
        </is>
      </c>
      <c r="E2179" t="inlineStr">
        <is>
          <t>LAHOLM</t>
        </is>
      </c>
      <c r="G2179" t="n">
        <v>1.2</v>
      </c>
      <c r="H2179" t="n">
        <v>0</v>
      </c>
      <c r="I2179" t="n">
        <v>0</v>
      </c>
      <c r="J2179" t="n">
        <v>0</v>
      </c>
      <c r="K2179" t="n">
        <v>0</v>
      </c>
      <c r="L2179" t="n">
        <v>0</v>
      </c>
      <c r="M2179" t="n">
        <v>0</v>
      </c>
      <c r="N2179" t="n">
        <v>0</v>
      </c>
      <c r="O2179" t="n">
        <v>0</v>
      </c>
      <c r="P2179" t="n">
        <v>0</v>
      </c>
      <c r="Q2179" t="n">
        <v>0</v>
      </c>
      <c r="R2179" s="2" t="inlineStr"/>
    </row>
    <row r="2180" ht="15" customHeight="1">
      <c r="A2180" t="inlineStr">
        <is>
          <t>A 26880-2022</t>
        </is>
      </c>
      <c r="B2180" s="1" t="n">
        <v>44740</v>
      </c>
      <c r="C2180" s="1" t="n">
        <v>45358</v>
      </c>
      <c r="D2180" t="inlineStr">
        <is>
          <t>HALLANDS LÄN</t>
        </is>
      </c>
      <c r="E2180" t="inlineStr">
        <is>
          <t>FALKENBERG</t>
        </is>
      </c>
      <c r="G2180" t="n">
        <v>2.8</v>
      </c>
      <c r="H2180" t="n">
        <v>0</v>
      </c>
      <c r="I2180" t="n">
        <v>0</v>
      </c>
      <c r="J2180" t="n">
        <v>0</v>
      </c>
      <c r="K2180" t="n">
        <v>0</v>
      </c>
      <c r="L2180" t="n">
        <v>0</v>
      </c>
      <c r="M2180" t="n">
        <v>0</v>
      </c>
      <c r="N2180" t="n">
        <v>0</v>
      </c>
      <c r="O2180" t="n">
        <v>0</v>
      </c>
      <c r="P2180" t="n">
        <v>0</v>
      </c>
      <c r="Q2180" t="n">
        <v>0</v>
      </c>
      <c r="R2180" s="2" t="inlineStr"/>
    </row>
    <row r="2181" ht="15" customHeight="1">
      <c r="A2181" t="inlineStr">
        <is>
          <t>A 27021-2022</t>
        </is>
      </c>
      <c r="B2181" s="1" t="n">
        <v>44740</v>
      </c>
      <c r="C2181" s="1" t="n">
        <v>45358</v>
      </c>
      <c r="D2181" t="inlineStr">
        <is>
          <t>HALLANDS LÄN</t>
        </is>
      </c>
      <c r="E2181" t="inlineStr">
        <is>
          <t>VARBERG</t>
        </is>
      </c>
      <c r="G2181" t="n">
        <v>5.3</v>
      </c>
      <c r="H2181" t="n">
        <v>0</v>
      </c>
      <c r="I2181" t="n">
        <v>0</v>
      </c>
      <c r="J2181" t="n">
        <v>0</v>
      </c>
      <c r="K2181" t="n">
        <v>0</v>
      </c>
      <c r="L2181" t="n">
        <v>0</v>
      </c>
      <c r="M2181" t="n">
        <v>0</v>
      </c>
      <c r="N2181" t="n">
        <v>0</v>
      </c>
      <c r="O2181" t="n">
        <v>0</v>
      </c>
      <c r="P2181" t="n">
        <v>0</v>
      </c>
      <c r="Q2181" t="n">
        <v>0</v>
      </c>
      <c r="R2181" s="2" t="inlineStr"/>
    </row>
    <row r="2182" ht="15" customHeight="1">
      <c r="A2182" t="inlineStr">
        <is>
          <t>A 26949-2022</t>
        </is>
      </c>
      <c r="B2182" s="1" t="n">
        <v>44740</v>
      </c>
      <c r="C2182" s="1" t="n">
        <v>45358</v>
      </c>
      <c r="D2182" t="inlineStr">
        <is>
          <t>HALLANDS LÄN</t>
        </is>
      </c>
      <c r="E2182" t="inlineStr">
        <is>
          <t>FALKENBERG</t>
        </is>
      </c>
      <c r="F2182" t="inlineStr">
        <is>
          <t>Kommuner</t>
        </is>
      </c>
      <c r="G2182" t="n">
        <v>7.4</v>
      </c>
      <c r="H2182" t="n">
        <v>0</v>
      </c>
      <c r="I2182" t="n">
        <v>0</v>
      </c>
      <c r="J2182" t="n">
        <v>0</v>
      </c>
      <c r="K2182" t="n">
        <v>0</v>
      </c>
      <c r="L2182" t="n">
        <v>0</v>
      </c>
      <c r="M2182" t="n">
        <v>0</v>
      </c>
      <c r="N2182" t="n">
        <v>0</v>
      </c>
      <c r="O2182" t="n">
        <v>0</v>
      </c>
      <c r="P2182" t="n">
        <v>0</v>
      </c>
      <c r="Q2182" t="n">
        <v>0</v>
      </c>
      <c r="R2182" s="2" t="inlineStr"/>
    </row>
    <row r="2183" ht="15" customHeight="1">
      <c r="A2183" t="inlineStr">
        <is>
          <t>A 26887-2022</t>
        </is>
      </c>
      <c r="B2183" s="1" t="n">
        <v>44740</v>
      </c>
      <c r="C2183" s="1" t="n">
        <v>45358</v>
      </c>
      <c r="D2183" t="inlineStr">
        <is>
          <t>HALLANDS LÄN</t>
        </is>
      </c>
      <c r="E2183" t="inlineStr">
        <is>
          <t>FALKENBERG</t>
        </is>
      </c>
      <c r="G2183" t="n">
        <v>3.3</v>
      </c>
      <c r="H2183" t="n">
        <v>0</v>
      </c>
      <c r="I2183" t="n">
        <v>0</v>
      </c>
      <c r="J2183" t="n">
        <v>0</v>
      </c>
      <c r="K2183" t="n">
        <v>0</v>
      </c>
      <c r="L2183" t="n">
        <v>0</v>
      </c>
      <c r="M2183" t="n">
        <v>0</v>
      </c>
      <c r="N2183" t="n">
        <v>0</v>
      </c>
      <c r="O2183" t="n">
        <v>0</v>
      </c>
      <c r="P2183" t="n">
        <v>0</v>
      </c>
      <c r="Q2183" t="n">
        <v>0</v>
      </c>
      <c r="R2183" s="2" t="inlineStr"/>
    </row>
    <row r="2184" ht="15" customHeight="1">
      <c r="A2184" t="inlineStr">
        <is>
          <t>A 26979-2022</t>
        </is>
      </c>
      <c r="B2184" s="1" t="n">
        <v>44740</v>
      </c>
      <c r="C2184" s="1" t="n">
        <v>45358</v>
      </c>
      <c r="D2184" t="inlineStr">
        <is>
          <t>HALLANDS LÄN</t>
        </is>
      </c>
      <c r="E2184" t="inlineStr">
        <is>
          <t>KUNGSBACKA</t>
        </is>
      </c>
      <c r="G2184" t="n">
        <v>5</v>
      </c>
      <c r="H2184" t="n">
        <v>0</v>
      </c>
      <c r="I2184" t="n">
        <v>0</v>
      </c>
      <c r="J2184" t="n">
        <v>0</v>
      </c>
      <c r="K2184" t="n">
        <v>0</v>
      </c>
      <c r="L2184" t="n">
        <v>0</v>
      </c>
      <c r="M2184" t="n">
        <v>0</v>
      </c>
      <c r="N2184" t="n">
        <v>0</v>
      </c>
      <c r="O2184" t="n">
        <v>0</v>
      </c>
      <c r="P2184" t="n">
        <v>0</v>
      </c>
      <c r="Q2184" t="n">
        <v>0</v>
      </c>
      <c r="R2184" s="2" t="inlineStr"/>
    </row>
    <row r="2185" ht="15" customHeight="1">
      <c r="A2185" t="inlineStr">
        <is>
          <t>A 27365-2022</t>
        </is>
      </c>
      <c r="B2185" s="1" t="n">
        <v>44742</v>
      </c>
      <c r="C2185" s="1" t="n">
        <v>45358</v>
      </c>
      <c r="D2185" t="inlineStr">
        <is>
          <t>HALLANDS LÄN</t>
        </is>
      </c>
      <c r="E2185" t="inlineStr">
        <is>
          <t>HALMSTAD</t>
        </is>
      </c>
      <c r="G2185" t="n">
        <v>1</v>
      </c>
      <c r="H2185" t="n">
        <v>0</v>
      </c>
      <c r="I2185" t="n">
        <v>0</v>
      </c>
      <c r="J2185" t="n">
        <v>0</v>
      </c>
      <c r="K2185" t="n">
        <v>0</v>
      </c>
      <c r="L2185" t="n">
        <v>0</v>
      </c>
      <c r="M2185" t="n">
        <v>0</v>
      </c>
      <c r="N2185" t="n">
        <v>0</v>
      </c>
      <c r="O2185" t="n">
        <v>0</v>
      </c>
      <c r="P2185" t="n">
        <v>0</v>
      </c>
      <c r="Q2185" t="n">
        <v>0</v>
      </c>
      <c r="R2185" s="2" t="inlineStr"/>
    </row>
    <row r="2186" ht="15" customHeight="1">
      <c r="A2186" t="inlineStr">
        <is>
          <t>A 27505-2022</t>
        </is>
      </c>
      <c r="B2186" s="1" t="n">
        <v>44742</v>
      </c>
      <c r="C2186" s="1" t="n">
        <v>45358</v>
      </c>
      <c r="D2186" t="inlineStr">
        <is>
          <t>HALLANDS LÄN</t>
        </is>
      </c>
      <c r="E2186" t="inlineStr">
        <is>
          <t>HALMSTAD</t>
        </is>
      </c>
      <c r="G2186" t="n">
        <v>1.7</v>
      </c>
      <c r="H2186" t="n">
        <v>0</v>
      </c>
      <c r="I2186" t="n">
        <v>0</v>
      </c>
      <c r="J2186" t="n">
        <v>0</v>
      </c>
      <c r="K2186" t="n">
        <v>0</v>
      </c>
      <c r="L2186" t="n">
        <v>0</v>
      </c>
      <c r="M2186" t="n">
        <v>0</v>
      </c>
      <c r="N2186" t="n">
        <v>0</v>
      </c>
      <c r="O2186" t="n">
        <v>0</v>
      </c>
      <c r="P2186" t="n">
        <v>0</v>
      </c>
      <c r="Q2186" t="n">
        <v>0</v>
      </c>
      <c r="R2186" s="2" t="inlineStr"/>
    </row>
    <row r="2187" ht="15" customHeight="1">
      <c r="A2187" t="inlineStr">
        <is>
          <t>A 28252-2022</t>
        </is>
      </c>
      <c r="B2187" s="1" t="n">
        <v>44746</v>
      </c>
      <c r="C2187" s="1" t="n">
        <v>45358</v>
      </c>
      <c r="D2187" t="inlineStr">
        <is>
          <t>HALLANDS LÄN</t>
        </is>
      </c>
      <c r="E2187" t="inlineStr">
        <is>
          <t>LAHOLM</t>
        </is>
      </c>
      <c r="G2187" t="n">
        <v>4.7</v>
      </c>
      <c r="H2187" t="n">
        <v>0</v>
      </c>
      <c r="I2187" t="n">
        <v>0</v>
      </c>
      <c r="J2187" t="n">
        <v>0</v>
      </c>
      <c r="K2187" t="n">
        <v>0</v>
      </c>
      <c r="L2187" t="n">
        <v>0</v>
      </c>
      <c r="M2187" t="n">
        <v>0</v>
      </c>
      <c r="N2187" t="n">
        <v>0</v>
      </c>
      <c r="O2187" t="n">
        <v>0</v>
      </c>
      <c r="P2187" t="n">
        <v>0</v>
      </c>
      <c r="Q2187" t="n">
        <v>0</v>
      </c>
      <c r="R2187" s="2" t="inlineStr"/>
    </row>
    <row r="2188" ht="15" customHeight="1">
      <c r="A2188" t="inlineStr">
        <is>
          <t>A 28260-2022</t>
        </is>
      </c>
      <c r="B2188" s="1" t="n">
        <v>44746</v>
      </c>
      <c r="C2188" s="1" t="n">
        <v>45358</v>
      </c>
      <c r="D2188" t="inlineStr">
        <is>
          <t>HALLANDS LÄN</t>
        </is>
      </c>
      <c r="E2188" t="inlineStr">
        <is>
          <t>KUNGSBACKA</t>
        </is>
      </c>
      <c r="G2188" t="n">
        <v>0.6</v>
      </c>
      <c r="H2188" t="n">
        <v>0</v>
      </c>
      <c r="I2188" t="n">
        <v>0</v>
      </c>
      <c r="J2188" t="n">
        <v>0</v>
      </c>
      <c r="K2188" t="n">
        <v>0</v>
      </c>
      <c r="L2188" t="n">
        <v>0</v>
      </c>
      <c r="M2188" t="n">
        <v>0</v>
      </c>
      <c r="N2188" t="n">
        <v>0</v>
      </c>
      <c r="O2188" t="n">
        <v>0</v>
      </c>
      <c r="P2188" t="n">
        <v>0</v>
      </c>
      <c r="Q2188" t="n">
        <v>0</v>
      </c>
      <c r="R2188" s="2" t="inlineStr"/>
    </row>
    <row r="2189" ht="15" customHeight="1">
      <c r="A2189" t="inlineStr">
        <is>
          <t>A 28479-2022</t>
        </is>
      </c>
      <c r="B2189" s="1" t="n">
        <v>44747</v>
      </c>
      <c r="C2189" s="1" t="n">
        <v>45358</v>
      </c>
      <c r="D2189" t="inlineStr">
        <is>
          <t>HALLANDS LÄN</t>
        </is>
      </c>
      <c r="E2189" t="inlineStr">
        <is>
          <t>FALKENBERG</t>
        </is>
      </c>
      <c r="G2189" t="n">
        <v>3.5</v>
      </c>
      <c r="H2189" t="n">
        <v>0</v>
      </c>
      <c r="I2189" t="n">
        <v>0</v>
      </c>
      <c r="J2189" t="n">
        <v>0</v>
      </c>
      <c r="K2189" t="n">
        <v>0</v>
      </c>
      <c r="L2189" t="n">
        <v>0</v>
      </c>
      <c r="M2189" t="n">
        <v>0</v>
      </c>
      <c r="N2189" t="n">
        <v>0</v>
      </c>
      <c r="O2189" t="n">
        <v>0</v>
      </c>
      <c r="P2189" t="n">
        <v>0</v>
      </c>
      <c r="Q2189" t="n">
        <v>0</v>
      </c>
      <c r="R2189" s="2" t="inlineStr"/>
    </row>
    <row r="2190" ht="15" customHeight="1">
      <c r="A2190" t="inlineStr">
        <is>
          <t>A 28478-2022</t>
        </is>
      </c>
      <c r="B2190" s="1" t="n">
        <v>44747</v>
      </c>
      <c r="C2190" s="1" t="n">
        <v>45358</v>
      </c>
      <c r="D2190" t="inlineStr">
        <is>
          <t>HALLANDS LÄN</t>
        </is>
      </c>
      <c r="E2190" t="inlineStr">
        <is>
          <t>FALKENBERG</t>
        </is>
      </c>
      <c r="G2190" t="n">
        <v>3.2</v>
      </c>
      <c r="H2190" t="n">
        <v>0</v>
      </c>
      <c r="I2190" t="n">
        <v>0</v>
      </c>
      <c r="J2190" t="n">
        <v>0</v>
      </c>
      <c r="K2190" t="n">
        <v>0</v>
      </c>
      <c r="L2190" t="n">
        <v>0</v>
      </c>
      <c r="M2190" t="n">
        <v>0</v>
      </c>
      <c r="N2190" t="n">
        <v>0</v>
      </c>
      <c r="O2190" t="n">
        <v>0</v>
      </c>
      <c r="P2190" t="n">
        <v>0</v>
      </c>
      <c r="Q2190" t="n">
        <v>0</v>
      </c>
      <c r="R2190" s="2" t="inlineStr"/>
    </row>
    <row r="2191" ht="15" customHeight="1">
      <c r="A2191" t="inlineStr">
        <is>
          <t>A 28529-2022</t>
        </is>
      </c>
      <c r="B2191" s="1" t="n">
        <v>44748</v>
      </c>
      <c r="C2191" s="1" t="n">
        <v>45358</v>
      </c>
      <c r="D2191" t="inlineStr">
        <is>
          <t>HALLANDS LÄN</t>
        </is>
      </c>
      <c r="E2191" t="inlineStr">
        <is>
          <t>KUNGSBACKA</t>
        </is>
      </c>
      <c r="G2191" t="n">
        <v>7.2</v>
      </c>
      <c r="H2191" t="n">
        <v>0</v>
      </c>
      <c r="I2191" t="n">
        <v>0</v>
      </c>
      <c r="J2191" t="n">
        <v>0</v>
      </c>
      <c r="K2191" t="n">
        <v>0</v>
      </c>
      <c r="L2191" t="n">
        <v>0</v>
      </c>
      <c r="M2191" t="n">
        <v>0</v>
      </c>
      <c r="N2191" t="n">
        <v>0</v>
      </c>
      <c r="O2191" t="n">
        <v>0</v>
      </c>
      <c r="P2191" t="n">
        <v>0</v>
      </c>
      <c r="Q2191" t="n">
        <v>0</v>
      </c>
      <c r="R2191" s="2" t="inlineStr"/>
    </row>
    <row r="2192" ht="15" customHeight="1">
      <c r="A2192" t="inlineStr">
        <is>
          <t>A 28625-2022</t>
        </is>
      </c>
      <c r="B2192" s="1" t="n">
        <v>44748</v>
      </c>
      <c r="C2192" s="1" t="n">
        <v>45358</v>
      </c>
      <c r="D2192" t="inlineStr">
        <is>
          <t>HALLANDS LÄN</t>
        </is>
      </c>
      <c r="E2192" t="inlineStr">
        <is>
          <t>KUNGSBACKA</t>
        </is>
      </c>
      <c r="G2192" t="n">
        <v>3.8</v>
      </c>
      <c r="H2192" t="n">
        <v>0</v>
      </c>
      <c r="I2192" t="n">
        <v>0</v>
      </c>
      <c r="J2192" t="n">
        <v>0</v>
      </c>
      <c r="K2192" t="n">
        <v>0</v>
      </c>
      <c r="L2192" t="n">
        <v>0</v>
      </c>
      <c r="M2192" t="n">
        <v>0</v>
      </c>
      <c r="N2192" t="n">
        <v>0</v>
      </c>
      <c r="O2192" t="n">
        <v>0</v>
      </c>
      <c r="P2192" t="n">
        <v>0</v>
      </c>
      <c r="Q2192" t="n">
        <v>0</v>
      </c>
      <c r="R2192" s="2" t="inlineStr"/>
    </row>
    <row r="2193" ht="15" customHeight="1">
      <c r="A2193" t="inlineStr">
        <is>
          <t>A 28922-2022</t>
        </is>
      </c>
      <c r="B2193" s="1" t="n">
        <v>44749</v>
      </c>
      <c r="C2193" s="1" t="n">
        <v>45358</v>
      </c>
      <c r="D2193" t="inlineStr">
        <is>
          <t>HALLANDS LÄN</t>
        </is>
      </c>
      <c r="E2193" t="inlineStr">
        <is>
          <t>LAHOLM</t>
        </is>
      </c>
      <c r="G2193" t="n">
        <v>0.5</v>
      </c>
      <c r="H2193" t="n">
        <v>0</v>
      </c>
      <c r="I2193" t="n">
        <v>0</v>
      </c>
      <c r="J2193" t="n">
        <v>0</v>
      </c>
      <c r="K2193" t="n">
        <v>0</v>
      </c>
      <c r="L2193" t="n">
        <v>0</v>
      </c>
      <c r="M2193" t="n">
        <v>0</v>
      </c>
      <c r="N2193" t="n">
        <v>0</v>
      </c>
      <c r="O2193" t="n">
        <v>0</v>
      </c>
      <c r="P2193" t="n">
        <v>0</v>
      </c>
      <c r="Q2193" t="n">
        <v>0</v>
      </c>
      <c r="R2193" s="2" t="inlineStr"/>
    </row>
    <row r="2194" ht="15" customHeight="1">
      <c r="A2194" t="inlineStr">
        <is>
          <t>A 28831-2022</t>
        </is>
      </c>
      <c r="B2194" s="1" t="n">
        <v>44749</v>
      </c>
      <c r="C2194" s="1" t="n">
        <v>45358</v>
      </c>
      <c r="D2194" t="inlineStr">
        <is>
          <t>HALLANDS LÄN</t>
        </is>
      </c>
      <c r="E2194" t="inlineStr">
        <is>
          <t>LAHOLM</t>
        </is>
      </c>
      <c r="G2194" t="n">
        <v>0.5</v>
      </c>
      <c r="H2194" t="n">
        <v>0</v>
      </c>
      <c r="I2194" t="n">
        <v>0</v>
      </c>
      <c r="J2194" t="n">
        <v>0</v>
      </c>
      <c r="K2194" t="n">
        <v>0</v>
      </c>
      <c r="L2194" t="n">
        <v>0</v>
      </c>
      <c r="M2194" t="n">
        <v>0</v>
      </c>
      <c r="N2194" t="n">
        <v>0</v>
      </c>
      <c r="O2194" t="n">
        <v>0</v>
      </c>
      <c r="P2194" t="n">
        <v>0</v>
      </c>
      <c r="Q2194" t="n">
        <v>0</v>
      </c>
      <c r="R2194" s="2" t="inlineStr"/>
    </row>
    <row r="2195" ht="15" customHeight="1">
      <c r="A2195" t="inlineStr">
        <is>
          <t>A 28917-2022</t>
        </is>
      </c>
      <c r="B2195" s="1" t="n">
        <v>44749</v>
      </c>
      <c r="C2195" s="1" t="n">
        <v>45358</v>
      </c>
      <c r="D2195" t="inlineStr">
        <is>
          <t>HALLANDS LÄN</t>
        </is>
      </c>
      <c r="E2195" t="inlineStr">
        <is>
          <t>FALKENBERG</t>
        </is>
      </c>
      <c r="G2195" t="n">
        <v>2.4</v>
      </c>
      <c r="H2195" t="n">
        <v>0</v>
      </c>
      <c r="I2195" t="n">
        <v>0</v>
      </c>
      <c r="J2195" t="n">
        <v>0</v>
      </c>
      <c r="K2195" t="n">
        <v>0</v>
      </c>
      <c r="L2195" t="n">
        <v>0</v>
      </c>
      <c r="M2195" t="n">
        <v>0</v>
      </c>
      <c r="N2195" t="n">
        <v>0</v>
      </c>
      <c r="O2195" t="n">
        <v>0</v>
      </c>
      <c r="P2195" t="n">
        <v>0</v>
      </c>
      <c r="Q2195" t="n">
        <v>0</v>
      </c>
      <c r="R2195" s="2" t="inlineStr"/>
    </row>
    <row r="2196" ht="15" customHeight="1">
      <c r="A2196" t="inlineStr">
        <is>
          <t>A 28855-2022</t>
        </is>
      </c>
      <c r="B2196" s="1" t="n">
        <v>44749</v>
      </c>
      <c r="C2196" s="1" t="n">
        <v>45358</v>
      </c>
      <c r="D2196" t="inlineStr">
        <is>
          <t>HALLANDS LÄN</t>
        </is>
      </c>
      <c r="E2196" t="inlineStr">
        <is>
          <t>VARBERG</t>
        </is>
      </c>
      <c r="G2196" t="n">
        <v>2.3</v>
      </c>
      <c r="H2196" t="n">
        <v>0</v>
      </c>
      <c r="I2196" t="n">
        <v>0</v>
      </c>
      <c r="J2196" t="n">
        <v>0</v>
      </c>
      <c r="K2196" t="n">
        <v>0</v>
      </c>
      <c r="L2196" t="n">
        <v>0</v>
      </c>
      <c r="M2196" t="n">
        <v>0</v>
      </c>
      <c r="N2196" t="n">
        <v>0</v>
      </c>
      <c r="O2196" t="n">
        <v>0</v>
      </c>
      <c r="P2196" t="n">
        <v>0</v>
      </c>
      <c r="Q2196" t="n">
        <v>0</v>
      </c>
      <c r="R2196" s="2" t="inlineStr"/>
    </row>
    <row r="2197" ht="15" customHeight="1">
      <c r="A2197" t="inlineStr">
        <is>
          <t>A 29167-2022</t>
        </is>
      </c>
      <c r="B2197" s="1" t="n">
        <v>44750</v>
      </c>
      <c r="C2197" s="1" t="n">
        <v>45358</v>
      </c>
      <c r="D2197" t="inlineStr">
        <is>
          <t>HALLANDS LÄN</t>
        </is>
      </c>
      <c r="E2197" t="inlineStr">
        <is>
          <t>HYLTE</t>
        </is>
      </c>
      <c r="G2197" t="n">
        <v>2.2</v>
      </c>
      <c r="H2197" t="n">
        <v>0</v>
      </c>
      <c r="I2197" t="n">
        <v>0</v>
      </c>
      <c r="J2197" t="n">
        <v>0</v>
      </c>
      <c r="K2197" t="n">
        <v>0</v>
      </c>
      <c r="L2197" t="n">
        <v>0</v>
      </c>
      <c r="M2197" t="n">
        <v>0</v>
      </c>
      <c r="N2197" t="n">
        <v>0</v>
      </c>
      <c r="O2197" t="n">
        <v>0</v>
      </c>
      <c r="P2197" t="n">
        <v>0</v>
      </c>
      <c r="Q2197" t="n">
        <v>0</v>
      </c>
      <c r="R2197" s="2" t="inlineStr"/>
    </row>
    <row r="2198" ht="15" customHeight="1">
      <c r="A2198" t="inlineStr">
        <is>
          <t>A 29471-2022</t>
        </is>
      </c>
      <c r="B2198" s="1" t="n">
        <v>44753</v>
      </c>
      <c r="C2198" s="1" t="n">
        <v>45358</v>
      </c>
      <c r="D2198" t="inlineStr">
        <is>
          <t>HALLANDS LÄN</t>
        </is>
      </c>
      <c r="E2198" t="inlineStr">
        <is>
          <t>HALMSTAD</t>
        </is>
      </c>
      <c r="G2198" t="n">
        <v>4</v>
      </c>
      <c r="H2198" t="n">
        <v>0</v>
      </c>
      <c r="I2198" t="n">
        <v>0</v>
      </c>
      <c r="J2198" t="n">
        <v>0</v>
      </c>
      <c r="K2198" t="n">
        <v>0</v>
      </c>
      <c r="L2198" t="n">
        <v>0</v>
      </c>
      <c r="M2198" t="n">
        <v>0</v>
      </c>
      <c r="N2198" t="n">
        <v>0</v>
      </c>
      <c r="O2198" t="n">
        <v>0</v>
      </c>
      <c r="P2198" t="n">
        <v>0</v>
      </c>
      <c r="Q2198" t="n">
        <v>0</v>
      </c>
      <c r="R2198" s="2" t="inlineStr"/>
    </row>
    <row r="2199" ht="15" customHeight="1">
      <c r="A2199" t="inlineStr">
        <is>
          <t>A 29388-2022</t>
        </is>
      </c>
      <c r="B2199" s="1" t="n">
        <v>44753</v>
      </c>
      <c r="C2199" s="1" t="n">
        <v>45358</v>
      </c>
      <c r="D2199" t="inlineStr">
        <is>
          <t>HALLANDS LÄN</t>
        </is>
      </c>
      <c r="E2199" t="inlineStr">
        <is>
          <t>HYLTE</t>
        </is>
      </c>
      <c r="G2199" t="n">
        <v>2.1</v>
      </c>
      <c r="H2199" t="n">
        <v>0</v>
      </c>
      <c r="I2199" t="n">
        <v>0</v>
      </c>
      <c r="J2199" t="n">
        <v>0</v>
      </c>
      <c r="K2199" t="n">
        <v>0</v>
      </c>
      <c r="L2199" t="n">
        <v>0</v>
      </c>
      <c r="M2199" t="n">
        <v>0</v>
      </c>
      <c r="N2199" t="n">
        <v>0</v>
      </c>
      <c r="O2199" t="n">
        <v>0</v>
      </c>
      <c r="P2199" t="n">
        <v>0</v>
      </c>
      <c r="Q2199" t="n">
        <v>0</v>
      </c>
      <c r="R2199" s="2" t="inlineStr"/>
    </row>
    <row r="2200" ht="15" customHeight="1">
      <c r="A2200" t="inlineStr">
        <is>
          <t>A 29474-2022</t>
        </is>
      </c>
      <c r="B2200" s="1" t="n">
        <v>44753</v>
      </c>
      <c r="C2200" s="1" t="n">
        <v>45358</v>
      </c>
      <c r="D2200" t="inlineStr">
        <is>
          <t>HALLANDS LÄN</t>
        </is>
      </c>
      <c r="E2200" t="inlineStr">
        <is>
          <t>LAHOLM</t>
        </is>
      </c>
      <c r="G2200" t="n">
        <v>1.4</v>
      </c>
      <c r="H2200" t="n">
        <v>0</v>
      </c>
      <c r="I2200" t="n">
        <v>0</v>
      </c>
      <c r="J2200" t="n">
        <v>0</v>
      </c>
      <c r="K2200" t="n">
        <v>0</v>
      </c>
      <c r="L2200" t="n">
        <v>0</v>
      </c>
      <c r="M2200" t="n">
        <v>0</v>
      </c>
      <c r="N2200" t="n">
        <v>0</v>
      </c>
      <c r="O2200" t="n">
        <v>0</v>
      </c>
      <c r="P2200" t="n">
        <v>0</v>
      </c>
      <c r="Q2200" t="n">
        <v>0</v>
      </c>
      <c r="R2200" s="2" t="inlineStr"/>
    </row>
    <row r="2201" ht="15" customHeight="1">
      <c r="A2201" t="inlineStr">
        <is>
          <t>A 29674-2022</t>
        </is>
      </c>
      <c r="B2201" s="1" t="n">
        <v>44754</v>
      </c>
      <c r="C2201" s="1" t="n">
        <v>45358</v>
      </c>
      <c r="D2201" t="inlineStr">
        <is>
          <t>HALLANDS LÄN</t>
        </is>
      </c>
      <c r="E2201" t="inlineStr">
        <is>
          <t>VARBERG</t>
        </is>
      </c>
      <c r="G2201" t="n">
        <v>0.6</v>
      </c>
      <c r="H2201" t="n">
        <v>0</v>
      </c>
      <c r="I2201" t="n">
        <v>0</v>
      </c>
      <c r="J2201" t="n">
        <v>0</v>
      </c>
      <c r="K2201" t="n">
        <v>0</v>
      </c>
      <c r="L2201" t="n">
        <v>0</v>
      </c>
      <c r="M2201" t="n">
        <v>0</v>
      </c>
      <c r="N2201" t="n">
        <v>0</v>
      </c>
      <c r="O2201" t="n">
        <v>0</v>
      </c>
      <c r="P2201" t="n">
        <v>0</v>
      </c>
      <c r="Q2201" t="n">
        <v>0</v>
      </c>
      <c r="R2201" s="2" t="inlineStr"/>
    </row>
    <row r="2202" ht="15" customHeight="1">
      <c r="A2202" t="inlineStr">
        <is>
          <t>A 29673-2022</t>
        </is>
      </c>
      <c r="B2202" s="1" t="n">
        <v>44754</v>
      </c>
      <c r="C2202" s="1" t="n">
        <v>45358</v>
      </c>
      <c r="D2202" t="inlineStr">
        <is>
          <t>HALLANDS LÄN</t>
        </is>
      </c>
      <c r="E2202" t="inlineStr">
        <is>
          <t>VARBERG</t>
        </is>
      </c>
      <c r="G2202" t="n">
        <v>0.7</v>
      </c>
      <c r="H2202" t="n">
        <v>0</v>
      </c>
      <c r="I2202" t="n">
        <v>0</v>
      </c>
      <c r="J2202" t="n">
        <v>0</v>
      </c>
      <c r="K2202" t="n">
        <v>0</v>
      </c>
      <c r="L2202" t="n">
        <v>0</v>
      </c>
      <c r="M2202" t="n">
        <v>0</v>
      </c>
      <c r="N2202" t="n">
        <v>0</v>
      </c>
      <c r="O2202" t="n">
        <v>0</v>
      </c>
      <c r="P2202" t="n">
        <v>0</v>
      </c>
      <c r="Q2202" t="n">
        <v>0</v>
      </c>
      <c r="R2202" s="2" t="inlineStr"/>
    </row>
    <row r="2203" ht="15" customHeight="1">
      <c r="A2203" t="inlineStr">
        <is>
          <t>A 29958-2022</t>
        </is>
      </c>
      <c r="B2203" s="1" t="n">
        <v>44756</v>
      </c>
      <c r="C2203" s="1" t="n">
        <v>45358</v>
      </c>
      <c r="D2203" t="inlineStr">
        <is>
          <t>HALLANDS LÄN</t>
        </is>
      </c>
      <c r="E2203" t="inlineStr">
        <is>
          <t>HYLTE</t>
        </is>
      </c>
      <c r="G2203" t="n">
        <v>3.2</v>
      </c>
      <c r="H2203" t="n">
        <v>0</v>
      </c>
      <c r="I2203" t="n">
        <v>0</v>
      </c>
      <c r="J2203" t="n">
        <v>0</v>
      </c>
      <c r="K2203" t="n">
        <v>0</v>
      </c>
      <c r="L2203" t="n">
        <v>0</v>
      </c>
      <c r="M2203" t="n">
        <v>0</v>
      </c>
      <c r="N2203" t="n">
        <v>0</v>
      </c>
      <c r="O2203" t="n">
        <v>0</v>
      </c>
      <c r="P2203" t="n">
        <v>0</v>
      </c>
      <c r="Q2203" t="n">
        <v>0</v>
      </c>
      <c r="R2203" s="2" t="inlineStr"/>
    </row>
    <row r="2204" ht="15" customHeight="1">
      <c r="A2204" t="inlineStr">
        <is>
          <t>A 29839-2022</t>
        </is>
      </c>
      <c r="B2204" s="1" t="n">
        <v>44756</v>
      </c>
      <c r="C2204" s="1" t="n">
        <v>45358</v>
      </c>
      <c r="D2204" t="inlineStr">
        <is>
          <t>HALLANDS LÄN</t>
        </is>
      </c>
      <c r="E2204" t="inlineStr">
        <is>
          <t>HALMSTAD</t>
        </is>
      </c>
      <c r="G2204" t="n">
        <v>0.8</v>
      </c>
      <c r="H2204" t="n">
        <v>0</v>
      </c>
      <c r="I2204" t="n">
        <v>0</v>
      </c>
      <c r="J2204" t="n">
        <v>0</v>
      </c>
      <c r="K2204" t="n">
        <v>0</v>
      </c>
      <c r="L2204" t="n">
        <v>0</v>
      </c>
      <c r="M2204" t="n">
        <v>0</v>
      </c>
      <c r="N2204" t="n">
        <v>0</v>
      </c>
      <c r="O2204" t="n">
        <v>0</v>
      </c>
      <c r="P2204" t="n">
        <v>0</v>
      </c>
      <c r="Q2204" t="n">
        <v>0</v>
      </c>
      <c r="R2204" s="2" t="inlineStr"/>
    </row>
    <row r="2205" ht="15" customHeight="1">
      <c r="A2205" t="inlineStr">
        <is>
          <t>A 29961-2022</t>
        </is>
      </c>
      <c r="B2205" s="1" t="n">
        <v>44756</v>
      </c>
      <c r="C2205" s="1" t="n">
        <v>45358</v>
      </c>
      <c r="D2205" t="inlineStr">
        <is>
          <t>HALLANDS LÄN</t>
        </is>
      </c>
      <c r="E2205" t="inlineStr">
        <is>
          <t>HYLTE</t>
        </is>
      </c>
      <c r="G2205" t="n">
        <v>0.5</v>
      </c>
      <c r="H2205" t="n">
        <v>0</v>
      </c>
      <c r="I2205" t="n">
        <v>0</v>
      </c>
      <c r="J2205" t="n">
        <v>0</v>
      </c>
      <c r="K2205" t="n">
        <v>0</v>
      </c>
      <c r="L2205" t="n">
        <v>0</v>
      </c>
      <c r="M2205" t="n">
        <v>0</v>
      </c>
      <c r="N2205" t="n">
        <v>0</v>
      </c>
      <c r="O2205" t="n">
        <v>0</v>
      </c>
      <c r="P2205" t="n">
        <v>0</v>
      </c>
      <c r="Q2205" t="n">
        <v>0</v>
      </c>
      <c r="R2205" s="2" t="inlineStr"/>
    </row>
    <row r="2206" ht="15" customHeight="1">
      <c r="A2206" t="inlineStr">
        <is>
          <t>A 30169-2022</t>
        </is>
      </c>
      <c r="B2206" s="1" t="n">
        <v>44757</v>
      </c>
      <c r="C2206" s="1" t="n">
        <v>45358</v>
      </c>
      <c r="D2206" t="inlineStr">
        <is>
          <t>HALLANDS LÄN</t>
        </is>
      </c>
      <c r="E2206" t="inlineStr">
        <is>
          <t>HYLTE</t>
        </is>
      </c>
      <c r="G2206" t="n">
        <v>0.6</v>
      </c>
      <c r="H2206" t="n">
        <v>0</v>
      </c>
      <c r="I2206" t="n">
        <v>0</v>
      </c>
      <c r="J2206" t="n">
        <v>0</v>
      </c>
      <c r="K2206" t="n">
        <v>0</v>
      </c>
      <c r="L2206" t="n">
        <v>0</v>
      </c>
      <c r="M2206" t="n">
        <v>0</v>
      </c>
      <c r="N2206" t="n">
        <v>0</v>
      </c>
      <c r="O2206" t="n">
        <v>0</v>
      </c>
      <c r="P2206" t="n">
        <v>0</v>
      </c>
      <c r="Q2206" t="n">
        <v>0</v>
      </c>
      <c r="R2206" s="2" t="inlineStr"/>
    </row>
    <row r="2207" ht="15" customHeight="1">
      <c r="A2207" t="inlineStr">
        <is>
          <t>A 30386-2022</t>
        </is>
      </c>
      <c r="B2207" s="1" t="n">
        <v>44760</v>
      </c>
      <c r="C2207" s="1" t="n">
        <v>45358</v>
      </c>
      <c r="D2207" t="inlineStr">
        <is>
          <t>HALLANDS LÄN</t>
        </is>
      </c>
      <c r="E2207" t="inlineStr">
        <is>
          <t>HALMSTAD</t>
        </is>
      </c>
      <c r="G2207" t="n">
        <v>0.9</v>
      </c>
      <c r="H2207" t="n">
        <v>0</v>
      </c>
      <c r="I2207" t="n">
        <v>0</v>
      </c>
      <c r="J2207" t="n">
        <v>0</v>
      </c>
      <c r="K2207" t="n">
        <v>0</v>
      </c>
      <c r="L2207" t="n">
        <v>0</v>
      </c>
      <c r="M2207" t="n">
        <v>0</v>
      </c>
      <c r="N2207" t="n">
        <v>0</v>
      </c>
      <c r="O2207" t="n">
        <v>0</v>
      </c>
      <c r="P2207" t="n">
        <v>0</v>
      </c>
      <c r="Q2207" t="n">
        <v>0</v>
      </c>
      <c r="R2207" s="2" t="inlineStr"/>
    </row>
    <row r="2208" ht="15" customHeight="1">
      <c r="A2208" t="inlineStr">
        <is>
          <t>A 30385-2022</t>
        </is>
      </c>
      <c r="B2208" s="1" t="n">
        <v>44760</v>
      </c>
      <c r="C2208" s="1" t="n">
        <v>45358</v>
      </c>
      <c r="D2208" t="inlineStr">
        <is>
          <t>HALLANDS LÄN</t>
        </is>
      </c>
      <c r="E2208" t="inlineStr">
        <is>
          <t>HALMSTAD</t>
        </is>
      </c>
      <c r="G2208" t="n">
        <v>0.7</v>
      </c>
      <c r="H2208" t="n">
        <v>0</v>
      </c>
      <c r="I2208" t="n">
        <v>0</v>
      </c>
      <c r="J2208" t="n">
        <v>0</v>
      </c>
      <c r="K2208" t="n">
        <v>0</v>
      </c>
      <c r="L2208" t="n">
        <v>0</v>
      </c>
      <c r="M2208" t="n">
        <v>0</v>
      </c>
      <c r="N2208" t="n">
        <v>0</v>
      </c>
      <c r="O2208" t="n">
        <v>0</v>
      </c>
      <c r="P2208" t="n">
        <v>0</v>
      </c>
      <c r="Q2208" t="n">
        <v>0</v>
      </c>
      <c r="R2208" s="2" t="inlineStr"/>
    </row>
    <row r="2209" ht="15" customHeight="1">
      <c r="A2209" t="inlineStr">
        <is>
          <t>A 30383-2022</t>
        </is>
      </c>
      <c r="B2209" s="1" t="n">
        <v>44760</v>
      </c>
      <c r="C2209" s="1" t="n">
        <v>45358</v>
      </c>
      <c r="D2209" t="inlineStr">
        <is>
          <t>HALLANDS LÄN</t>
        </is>
      </c>
      <c r="E2209" t="inlineStr">
        <is>
          <t>HALMSTAD</t>
        </is>
      </c>
      <c r="G2209" t="n">
        <v>0.7</v>
      </c>
      <c r="H2209" t="n">
        <v>0</v>
      </c>
      <c r="I2209" t="n">
        <v>0</v>
      </c>
      <c r="J2209" t="n">
        <v>0</v>
      </c>
      <c r="K2209" t="n">
        <v>0</v>
      </c>
      <c r="L2209" t="n">
        <v>0</v>
      </c>
      <c r="M2209" t="n">
        <v>0</v>
      </c>
      <c r="N2209" t="n">
        <v>0</v>
      </c>
      <c r="O2209" t="n">
        <v>0</v>
      </c>
      <c r="P2209" t="n">
        <v>0</v>
      </c>
      <c r="Q2209" t="n">
        <v>0</v>
      </c>
      <c r="R2209" s="2" t="inlineStr"/>
    </row>
    <row r="2210" ht="15" customHeight="1">
      <c r="A2210" t="inlineStr">
        <is>
          <t>A 30573-2022</t>
        </is>
      </c>
      <c r="B2210" s="1" t="n">
        <v>44762</v>
      </c>
      <c r="C2210" s="1" t="n">
        <v>45358</v>
      </c>
      <c r="D2210" t="inlineStr">
        <is>
          <t>HALLANDS LÄN</t>
        </is>
      </c>
      <c r="E2210" t="inlineStr">
        <is>
          <t>VARBERG</t>
        </is>
      </c>
      <c r="G2210" t="n">
        <v>4.2</v>
      </c>
      <c r="H2210" t="n">
        <v>0</v>
      </c>
      <c r="I2210" t="n">
        <v>0</v>
      </c>
      <c r="J2210" t="n">
        <v>0</v>
      </c>
      <c r="K2210" t="n">
        <v>0</v>
      </c>
      <c r="L2210" t="n">
        <v>0</v>
      </c>
      <c r="M2210" t="n">
        <v>0</v>
      </c>
      <c r="N2210" t="n">
        <v>0</v>
      </c>
      <c r="O2210" t="n">
        <v>0</v>
      </c>
      <c r="P2210" t="n">
        <v>0</v>
      </c>
      <c r="Q2210" t="n">
        <v>0</v>
      </c>
      <c r="R2210" s="2" t="inlineStr"/>
    </row>
    <row r="2211" ht="15" customHeight="1">
      <c r="A2211" t="inlineStr">
        <is>
          <t>A 30584-2022</t>
        </is>
      </c>
      <c r="B2211" s="1" t="n">
        <v>44762</v>
      </c>
      <c r="C2211" s="1" t="n">
        <v>45358</v>
      </c>
      <c r="D2211" t="inlineStr">
        <is>
          <t>HALLANDS LÄN</t>
        </is>
      </c>
      <c r="E2211" t="inlineStr">
        <is>
          <t>HYLTE</t>
        </is>
      </c>
      <c r="G2211" t="n">
        <v>0.8</v>
      </c>
      <c r="H2211" t="n">
        <v>0</v>
      </c>
      <c r="I2211" t="n">
        <v>0</v>
      </c>
      <c r="J2211" t="n">
        <v>0</v>
      </c>
      <c r="K2211" t="n">
        <v>0</v>
      </c>
      <c r="L2211" t="n">
        <v>0</v>
      </c>
      <c r="M2211" t="n">
        <v>0</v>
      </c>
      <c r="N2211" t="n">
        <v>0</v>
      </c>
      <c r="O2211" t="n">
        <v>0</v>
      </c>
      <c r="P2211" t="n">
        <v>0</v>
      </c>
      <c r="Q2211" t="n">
        <v>0</v>
      </c>
      <c r="R2211" s="2" t="inlineStr"/>
    </row>
    <row r="2212" ht="15" customHeight="1">
      <c r="A2212" t="inlineStr">
        <is>
          <t>A 30611-2022</t>
        </is>
      </c>
      <c r="B2212" s="1" t="n">
        <v>44763</v>
      </c>
      <c r="C2212" s="1" t="n">
        <v>45358</v>
      </c>
      <c r="D2212" t="inlineStr">
        <is>
          <t>HALLANDS LÄN</t>
        </is>
      </c>
      <c r="E2212" t="inlineStr">
        <is>
          <t>HYLTE</t>
        </is>
      </c>
      <c r="G2212" t="n">
        <v>2.3</v>
      </c>
      <c r="H2212" t="n">
        <v>0</v>
      </c>
      <c r="I2212" t="n">
        <v>0</v>
      </c>
      <c r="J2212" t="n">
        <v>0</v>
      </c>
      <c r="K2212" t="n">
        <v>0</v>
      </c>
      <c r="L2212" t="n">
        <v>0</v>
      </c>
      <c r="M2212" t="n">
        <v>0</v>
      </c>
      <c r="N2212" t="n">
        <v>0</v>
      </c>
      <c r="O2212" t="n">
        <v>0</v>
      </c>
      <c r="P2212" t="n">
        <v>0</v>
      </c>
      <c r="Q2212" t="n">
        <v>0</v>
      </c>
      <c r="R2212" s="2" t="inlineStr"/>
    </row>
    <row r="2213" ht="15" customHeight="1">
      <c r="A2213" t="inlineStr">
        <is>
          <t>A 30666-2022</t>
        </is>
      </c>
      <c r="B2213" s="1" t="n">
        <v>44763</v>
      </c>
      <c r="C2213" s="1" t="n">
        <v>45358</v>
      </c>
      <c r="D2213" t="inlineStr">
        <is>
          <t>HALLANDS LÄN</t>
        </is>
      </c>
      <c r="E2213" t="inlineStr">
        <is>
          <t>VARBERG</t>
        </is>
      </c>
      <c r="G2213" t="n">
        <v>1.4</v>
      </c>
      <c r="H2213" t="n">
        <v>0</v>
      </c>
      <c r="I2213" t="n">
        <v>0</v>
      </c>
      <c r="J2213" t="n">
        <v>0</v>
      </c>
      <c r="K2213" t="n">
        <v>0</v>
      </c>
      <c r="L2213" t="n">
        <v>0</v>
      </c>
      <c r="M2213" t="n">
        <v>0</v>
      </c>
      <c r="N2213" t="n">
        <v>0</v>
      </c>
      <c r="O2213" t="n">
        <v>0</v>
      </c>
      <c r="P2213" t="n">
        <v>0</v>
      </c>
      <c r="Q2213" t="n">
        <v>0</v>
      </c>
      <c r="R2213" s="2" t="inlineStr"/>
    </row>
    <row r="2214" ht="15" customHeight="1">
      <c r="A2214" t="inlineStr">
        <is>
          <t>A 30625-2022</t>
        </is>
      </c>
      <c r="B2214" s="1" t="n">
        <v>44763</v>
      </c>
      <c r="C2214" s="1" t="n">
        <v>45358</v>
      </c>
      <c r="D2214" t="inlineStr">
        <is>
          <t>HALLANDS LÄN</t>
        </is>
      </c>
      <c r="E2214" t="inlineStr">
        <is>
          <t>FALKENBERG</t>
        </is>
      </c>
      <c r="G2214" t="n">
        <v>0.8</v>
      </c>
      <c r="H2214" t="n">
        <v>0</v>
      </c>
      <c r="I2214" t="n">
        <v>0</v>
      </c>
      <c r="J2214" t="n">
        <v>0</v>
      </c>
      <c r="K2214" t="n">
        <v>0</v>
      </c>
      <c r="L2214" t="n">
        <v>0</v>
      </c>
      <c r="M2214" t="n">
        <v>0</v>
      </c>
      <c r="N2214" t="n">
        <v>0</v>
      </c>
      <c r="O2214" t="n">
        <v>0</v>
      </c>
      <c r="P2214" t="n">
        <v>0</v>
      </c>
      <c r="Q2214" t="n">
        <v>0</v>
      </c>
      <c r="R2214" s="2" t="inlineStr"/>
    </row>
    <row r="2215" ht="15" customHeight="1">
      <c r="A2215" t="inlineStr">
        <is>
          <t>A 30688-2022</t>
        </is>
      </c>
      <c r="B2215" s="1" t="n">
        <v>44763</v>
      </c>
      <c r="C2215" s="1" t="n">
        <v>45358</v>
      </c>
      <c r="D2215" t="inlineStr">
        <is>
          <t>HALLANDS LÄN</t>
        </is>
      </c>
      <c r="E2215" t="inlineStr">
        <is>
          <t>VARBERG</t>
        </is>
      </c>
      <c r="G2215" t="n">
        <v>1.7</v>
      </c>
      <c r="H2215" t="n">
        <v>0</v>
      </c>
      <c r="I2215" t="n">
        <v>0</v>
      </c>
      <c r="J2215" t="n">
        <v>0</v>
      </c>
      <c r="K2215" t="n">
        <v>0</v>
      </c>
      <c r="L2215" t="n">
        <v>0</v>
      </c>
      <c r="M2215" t="n">
        <v>0</v>
      </c>
      <c r="N2215" t="n">
        <v>0</v>
      </c>
      <c r="O2215" t="n">
        <v>0</v>
      </c>
      <c r="P2215" t="n">
        <v>0</v>
      </c>
      <c r="Q2215" t="n">
        <v>0</v>
      </c>
      <c r="R2215" s="2" t="inlineStr"/>
    </row>
    <row r="2216" ht="15" customHeight="1">
      <c r="A2216" t="inlineStr">
        <is>
          <t>A 30796-2022</t>
        </is>
      </c>
      <c r="B2216" s="1" t="n">
        <v>44764</v>
      </c>
      <c r="C2216" s="1" t="n">
        <v>45358</v>
      </c>
      <c r="D2216" t="inlineStr">
        <is>
          <t>HALLANDS LÄN</t>
        </is>
      </c>
      <c r="E2216" t="inlineStr">
        <is>
          <t>LAHOLM</t>
        </is>
      </c>
      <c r="G2216" t="n">
        <v>1.3</v>
      </c>
      <c r="H2216" t="n">
        <v>0</v>
      </c>
      <c r="I2216" t="n">
        <v>0</v>
      </c>
      <c r="J2216" t="n">
        <v>0</v>
      </c>
      <c r="K2216" t="n">
        <v>0</v>
      </c>
      <c r="L2216" t="n">
        <v>0</v>
      </c>
      <c r="M2216" t="n">
        <v>0</v>
      </c>
      <c r="N2216" t="n">
        <v>0</v>
      </c>
      <c r="O2216" t="n">
        <v>0</v>
      </c>
      <c r="P2216" t="n">
        <v>0</v>
      </c>
      <c r="Q2216" t="n">
        <v>0</v>
      </c>
      <c r="R2216" s="2" t="inlineStr"/>
    </row>
    <row r="2217" ht="15" customHeight="1">
      <c r="A2217" t="inlineStr">
        <is>
          <t>A 30885-2022</t>
        </is>
      </c>
      <c r="B2217" s="1" t="n">
        <v>44767</v>
      </c>
      <c r="C2217" s="1" t="n">
        <v>45358</v>
      </c>
      <c r="D2217" t="inlineStr">
        <is>
          <t>HALLANDS LÄN</t>
        </is>
      </c>
      <c r="E2217" t="inlineStr">
        <is>
          <t>KUNGSBACKA</t>
        </is>
      </c>
      <c r="G2217" t="n">
        <v>0.6</v>
      </c>
      <c r="H2217" t="n">
        <v>0</v>
      </c>
      <c r="I2217" t="n">
        <v>0</v>
      </c>
      <c r="J2217" t="n">
        <v>0</v>
      </c>
      <c r="K2217" t="n">
        <v>0</v>
      </c>
      <c r="L2217" t="n">
        <v>0</v>
      </c>
      <c r="M2217" t="n">
        <v>0</v>
      </c>
      <c r="N2217" t="n">
        <v>0</v>
      </c>
      <c r="O2217" t="n">
        <v>0</v>
      </c>
      <c r="P2217" t="n">
        <v>0</v>
      </c>
      <c r="Q2217" t="n">
        <v>0</v>
      </c>
      <c r="R2217" s="2" t="inlineStr"/>
    </row>
    <row r="2218" ht="15" customHeight="1">
      <c r="A2218" t="inlineStr">
        <is>
          <t>A 30893-2022</t>
        </is>
      </c>
      <c r="B2218" s="1" t="n">
        <v>44767</v>
      </c>
      <c r="C2218" s="1" t="n">
        <v>45358</v>
      </c>
      <c r="D2218" t="inlineStr">
        <is>
          <t>HALLANDS LÄN</t>
        </is>
      </c>
      <c r="E2218" t="inlineStr">
        <is>
          <t>FALKENBERG</t>
        </is>
      </c>
      <c r="G2218" t="n">
        <v>1.2</v>
      </c>
      <c r="H2218" t="n">
        <v>0</v>
      </c>
      <c r="I2218" t="n">
        <v>0</v>
      </c>
      <c r="J2218" t="n">
        <v>0</v>
      </c>
      <c r="K2218" t="n">
        <v>0</v>
      </c>
      <c r="L2218" t="n">
        <v>0</v>
      </c>
      <c r="M2218" t="n">
        <v>0</v>
      </c>
      <c r="N2218" t="n">
        <v>0</v>
      </c>
      <c r="O2218" t="n">
        <v>0</v>
      </c>
      <c r="P2218" t="n">
        <v>0</v>
      </c>
      <c r="Q2218" t="n">
        <v>0</v>
      </c>
      <c r="R2218" s="2" t="inlineStr"/>
    </row>
    <row r="2219" ht="15" customHeight="1">
      <c r="A2219" t="inlineStr">
        <is>
          <t>A 30901-2022</t>
        </is>
      </c>
      <c r="B2219" s="1" t="n">
        <v>44767</v>
      </c>
      <c r="C2219" s="1" t="n">
        <v>45358</v>
      </c>
      <c r="D2219" t="inlineStr">
        <is>
          <t>HALLANDS LÄN</t>
        </is>
      </c>
      <c r="E2219" t="inlineStr">
        <is>
          <t>KUNGSBACKA</t>
        </is>
      </c>
      <c r="G2219" t="n">
        <v>1.9</v>
      </c>
      <c r="H2219" t="n">
        <v>0</v>
      </c>
      <c r="I2219" t="n">
        <v>0</v>
      </c>
      <c r="J2219" t="n">
        <v>0</v>
      </c>
      <c r="K2219" t="n">
        <v>0</v>
      </c>
      <c r="L2219" t="n">
        <v>0</v>
      </c>
      <c r="M2219" t="n">
        <v>0</v>
      </c>
      <c r="N2219" t="n">
        <v>0</v>
      </c>
      <c r="O2219" t="n">
        <v>0</v>
      </c>
      <c r="P2219" t="n">
        <v>0</v>
      </c>
      <c r="Q2219" t="n">
        <v>0</v>
      </c>
      <c r="R2219" s="2" t="inlineStr"/>
    </row>
    <row r="2220" ht="15" customHeight="1">
      <c r="A2220" t="inlineStr">
        <is>
          <t>A 30910-2022</t>
        </is>
      </c>
      <c r="B2220" s="1" t="n">
        <v>44767</v>
      </c>
      <c r="C2220" s="1" t="n">
        <v>45358</v>
      </c>
      <c r="D2220" t="inlineStr">
        <is>
          <t>HALLANDS LÄN</t>
        </is>
      </c>
      <c r="E2220" t="inlineStr">
        <is>
          <t>VARBERG</t>
        </is>
      </c>
      <c r="G2220" t="n">
        <v>7.4</v>
      </c>
      <c r="H2220" t="n">
        <v>0</v>
      </c>
      <c r="I2220" t="n">
        <v>0</v>
      </c>
      <c r="J2220" t="n">
        <v>0</v>
      </c>
      <c r="K2220" t="n">
        <v>0</v>
      </c>
      <c r="L2220" t="n">
        <v>0</v>
      </c>
      <c r="M2220" t="n">
        <v>0</v>
      </c>
      <c r="N2220" t="n">
        <v>0</v>
      </c>
      <c r="O2220" t="n">
        <v>0</v>
      </c>
      <c r="P2220" t="n">
        <v>0</v>
      </c>
      <c r="Q2220" t="n">
        <v>0</v>
      </c>
      <c r="R2220" s="2" t="inlineStr"/>
    </row>
    <row r="2221" ht="15" customHeight="1">
      <c r="A2221" t="inlineStr">
        <is>
          <t>A 30913-2022</t>
        </is>
      </c>
      <c r="B2221" s="1" t="n">
        <v>44767</v>
      </c>
      <c r="C2221" s="1" t="n">
        <v>45358</v>
      </c>
      <c r="D2221" t="inlineStr">
        <is>
          <t>HALLANDS LÄN</t>
        </is>
      </c>
      <c r="E2221" t="inlineStr">
        <is>
          <t>VARBERG</t>
        </is>
      </c>
      <c r="G2221" t="n">
        <v>1.1</v>
      </c>
      <c r="H2221" t="n">
        <v>0</v>
      </c>
      <c r="I2221" t="n">
        <v>0</v>
      </c>
      <c r="J2221" t="n">
        <v>0</v>
      </c>
      <c r="K2221" t="n">
        <v>0</v>
      </c>
      <c r="L2221" t="n">
        <v>0</v>
      </c>
      <c r="M2221" t="n">
        <v>0</v>
      </c>
      <c r="N2221" t="n">
        <v>0</v>
      </c>
      <c r="O2221" t="n">
        <v>0</v>
      </c>
      <c r="P2221" t="n">
        <v>0</v>
      </c>
      <c r="Q2221" t="n">
        <v>0</v>
      </c>
      <c r="R2221" s="2" t="inlineStr"/>
    </row>
    <row r="2222" ht="15" customHeight="1">
      <c r="A2222" t="inlineStr">
        <is>
          <t>A 30912-2022</t>
        </is>
      </c>
      <c r="B2222" s="1" t="n">
        <v>44767</v>
      </c>
      <c r="C2222" s="1" t="n">
        <v>45358</v>
      </c>
      <c r="D2222" t="inlineStr">
        <is>
          <t>HALLANDS LÄN</t>
        </is>
      </c>
      <c r="E2222" t="inlineStr">
        <is>
          <t>VARBERG</t>
        </is>
      </c>
      <c r="G2222" t="n">
        <v>1.1</v>
      </c>
      <c r="H2222" t="n">
        <v>0</v>
      </c>
      <c r="I2222" t="n">
        <v>0</v>
      </c>
      <c r="J2222" t="n">
        <v>0</v>
      </c>
      <c r="K2222" t="n">
        <v>0</v>
      </c>
      <c r="L2222" t="n">
        <v>0</v>
      </c>
      <c r="M2222" t="n">
        <v>0</v>
      </c>
      <c r="N2222" t="n">
        <v>0</v>
      </c>
      <c r="O2222" t="n">
        <v>0</v>
      </c>
      <c r="P2222" t="n">
        <v>0</v>
      </c>
      <c r="Q2222" t="n">
        <v>0</v>
      </c>
      <c r="R2222" s="2" t="inlineStr"/>
    </row>
    <row r="2223" ht="15" customHeight="1">
      <c r="A2223" t="inlineStr">
        <is>
          <t>A 30917-2022</t>
        </is>
      </c>
      <c r="B2223" s="1" t="n">
        <v>44767</v>
      </c>
      <c r="C2223" s="1" t="n">
        <v>45358</v>
      </c>
      <c r="D2223" t="inlineStr">
        <is>
          <t>HALLANDS LÄN</t>
        </is>
      </c>
      <c r="E2223" t="inlineStr">
        <is>
          <t>VARBERG</t>
        </is>
      </c>
      <c r="G2223" t="n">
        <v>3</v>
      </c>
      <c r="H2223" t="n">
        <v>0</v>
      </c>
      <c r="I2223" t="n">
        <v>0</v>
      </c>
      <c r="J2223" t="n">
        <v>0</v>
      </c>
      <c r="K2223" t="n">
        <v>0</v>
      </c>
      <c r="L2223" t="n">
        <v>0</v>
      </c>
      <c r="M2223" t="n">
        <v>0</v>
      </c>
      <c r="N2223" t="n">
        <v>0</v>
      </c>
      <c r="O2223" t="n">
        <v>0</v>
      </c>
      <c r="P2223" t="n">
        <v>0</v>
      </c>
      <c r="Q2223" t="n">
        <v>0</v>
      </c>
      <c r="R2223" s="2" t="inlineStr"/>
    </row>
    <row r="2224" ht="15" customHeight="1">
      <c r="A2224" t="inlineStr">
        <is>
          <t>A 30952-2022</t>
        </is>
      </c>
      <c r="B2224" s="1" t="n">
        <v>44768</v>
      </c>
      <c r="C2224" s="1" t="n">
        <v>45358</v>
      </c>
      <c r="D2224" t="inlineStr">
        <is>
          <t>HALLANDS LÄN</t>
        </is>
      </c>
      <c r="E2224" t="inlineStr">
        <is>
          <t>KUNGSBACKA</t>
        </is>
      </c>
      <c r="G2224" t="n">
        <v>0.8</v>
      </c>
      <c r="H2224" t="n">
        <v>0</v>
      </c>
      <c r="I2224" t="n">
        <v>0</v>
      </c>
      <c r="J2224" t="n">
        <v>0</v>
      </c>
      <c r="K2224" t="n">
        <v>0</v>
      </c>
      <c r="L2224" t="n">
        <v>0</v>
      </c>
      <c r="M2224" t="n">
        <v>0</v>
      </c>
      <c r="N2224" t="n">
        <v>0</v>
      </c>
      <c r="O2224" t="n">
        <v>0</v>
      </c>
      <c r="P2224" t="n">
        <v>0</v>
      </c>
      <c r="Q2224" t="n">
        <v>0</v>
      </c>
      <c r="R2224" s="2" t="inlineStr"/>
    </row>
    <row r="2225" ht="15" customHeight="1">
      <c r="A2225" t="inlineStr">
        <is>
          <t>A 31024-2022</t>
        </is>
      </c>
      <c r="B2225" s="1" t="n">
        <v>44768</v>
      </c>
      <c r="C2225" s="1" t="n">
        <v>45358</v>
      </c>
      <c r="D2225" t="inlineStr">
        <is>
          <t>HALLANDS LÄN</t>
        </is>
      </c>
      <c r="E2225" t="inlineStr">
        <is>
          <t>FALKENBERG</t>
        </is>
      </c>
      <c r="G2225" t="n">
        <v>1.9</v>
      </c>
      <c r="H2225" t="n">
        <v>0</v>
      </c>
      <c r="I2225" t="n">
        <v>0</v>
      </c>
      <c r="J2225" t="n">
        <v>0</v>
      </c>
      <c r="K2225" t="n">
        <v>0</v>
      </c>
      <c r="L2225" t="n">
        <v>0</v>
      </c>
      <c r="M2225" t="n">
        <v>0</v>
      </c>
      <c r="N2225" t="n">
        <v>0</v>
      </c>
      <c r="O2225" t="n">
        <v>0</v>
      </c>
      <c r="P2225" t="n">
        <v>0</v>
      </c>
      <c r="Q2225" t="n">
        <v>0</v>
      </c>
      <c r="R2225" s="2" t="inlineStr"/>
    </row>
    <row r="2226" ht="15" customHeight="1">
      <c r="A2226" t="inlineStr">
        <is>
          <t>A 31170-2022</t>
        </is>
      </c>
      <c r="B2226" s="1" t="n">
        <v>44770</v>
      </c>
      <c r="C2226" s="1" t="n">
        <v>45358</v>
      </c>
      <c r="D2226" t="inlineStr">
        <is>
          <t>HALLANDS LÄN</t>
        </is>
      </c>
      <c r="E2226" t="inlineStr">
        <is>
          <t>HYLTE</t>
        </is>
      </c>
      <c r="G2226" t="n">
        <v>3.2</v>
      </c>
      <c r="H2226" t="n">
        <v>0</v>
      </c>
      <c r="I2226" t="n">
        <v>0</v>
      </c>
      <c r="J2226" t="n">
        <v>0</v>
      </c>
      <c r="K2226" t="n">
        <v>0</v>
      </c>
      <c r="L2226" t="n">
        <v>0</v>
      </c>
      <c r="M2226" t="n">
        <v>0</v>
      </c>
      <c r="N2226" t="n">
        <v>0</v>
      </c>
      <c r="O2226" t="n">
        <v>0</v>
      </c>
      <c r="P2226" t="n">
        <v>0</v>
      </c>
      <c r="Q2226" t="n">
        <v>0</v>
      </c>
      <c r="R2226" s="2" t="inlineStr"/>
    </row>
    <row r="2227" ht="15" customHeight="1">
      <c r="A2227" t="inlineStr">
        <is>
          <t>A 31171-2022</t>
        </is>
      </c>
      <c r="B2227" s="1" t="n">
        <v>44770</v>
      </c>
      <c r="C2227" s="1" t="n">
        <v>45358</v>
      </c>
      <c r="D2227" t="inlineStr">
        <is>
          <t>HALLANDS LÄN</t>
        </is>
      </c>
      <c r="E2227" t="inlineStr">
        <is>
          <t>HYLTE</t>
        </is>
      </c>
      <c r="G2227" t="n">
        <v>1</v>
      </c>
      <c r="H2227" t="n">
        <v>0</v>
      </c>
      <c r="I2227" t="n">
        <v>0</v>
      </c>
      <c r="J2227" t="n">
        <v>0</v>
      </c>
      <c r="K2227" t="n">
        <v>0</v>
      </c>
      <c r="L2227" t="n">
        <v>0</v>
      </c>
      <c r="M2227" t="n">
        <v>0</v>
      </c>
      <c r="N2227" t="n">
        <v>0</v>
      </c>
      <c r="O2227" t="n">
        <v>0</v>
      </c>
      <c r="P2227" t="n">
        <v>0</v>
      </c>
      <c r="Q2227" t="n">
        <v>0</v>
      </c>
      <c r="R2227" s="2" t="inlineStr"/>
    </row>
    <row r="2228" ht="15" customHeight="1">
      <c r="A2228" t="inlineStr">
        <is>
          <t>A 31198-2022</t>
        </is>
      </c>
      <c r="B2228" s="1" t="n">
        <v>44770</v>
      </c>
      <c r="C2228" s="1" t="n">
        <v>45358</v>
      </c>
      <c r="D2228" t="inlineStr">
        <is>
          <t>HALLANDS LÄN</t>
        </is>
      </c>
      <c r="E2228" t="inlineStr">
        <is>
          <t>VARBERG</t>
        </is>
      </c>
      <c r="G2228" t="n">
        <v>5.9</v>
      </c>
      <c r="H2228" t="n">
        <v>0</v>
      </c>
      <c r="I2228" t="n">
        <v>0</v>
      </c>
      <c r="J2228" t="n">
        <v>0</v>
      </c>
      <c r="K2228" t="n">
        <v>0</v>
      </c>
      <c r="L2228" t="n">
        <v>0</v>
      </c>
      <c r="M2228" t="n">
        <v>0</v>
      </c>
      <c r="N2228" t="n">
        <v>0</v>
      </c>
      <c r="O2228" t="n">
        <v>0</v>
      </c>
      <c r="P2228" t="n">
        <v>0</v>
      </c>
      <c r="Q2228" t="n">
        <v>0</v>
      </c>
      <c r="R2228" s="2" t="inlineStr"/>
    </row>
    <row r="2229" ht="15" customHeight="1">
      <c r="A2229" t="inlineStr">
        <is>
          <t>A 31267-2022</t>
        </is>
      </c>
      <c r="B2229" s="1" t="n">
        <v>44771</v>
      </c>
      <c r="C2229" s="1" t="n">
        <v>45358</v>
      </c>
      <c r="D2229" t="inlineStr">
        <is>
          <t>HALLANDS LÄN</t>
        </is>
      </c>
      <c r="E2229" t="inlineStr">
        <is>
          <t>LAHOLM</t>
        </is>
      </c>
      <c r="G2229" t="n">
        <v>1.4</v>
      </c>
      <c r="H2229" t="n">
        <v>0</v>
      </c>
      <c r="I2229" t="n">
        <v>0</v>
      </c>
      <c r="J2229" t="n">
        <v>0</v>
      </c>
      <c r="K2229" t="n">
        <v>0</v>
      </c>
      <c r="L2229" t="n">
        <v>0</v>
      </c>
      <c r="M2229" t="n">
        <v>0</v>
      </c>
      <c r="N2229" t="n">
        <v>0</v>
      </c>
      <c r="O2229" t="n">
        <v>0</v>
      </c>
      <c r="P2229" t="n">
        <v>0</v>
      </c>
      <c r="Q2229" t="n">
        <v>0</v>
      </c>
      <c r="R2229" s="2" t="inlineStr"/>
    </row>
    <row r="2230" ht="15" customHeight="1">
      <c r="A2230" t="inlineStr">
        <is>
          <t>A 31279-2022</t>
        </is>
      </c>
      <c r="B2230" s="1" t="n">
        <v>44771</v>
      </c>
      <c r="C2230" s="1" t="n">
        <v>45358</v>
      </c>
      <c r="D2230" t="inlineStr">
        <is>
          <t>HALLANDS LÄN</t>
        </is>
      </c>
      <c r="E2230" t="inlineStr">
        <is>
          <t>LAHOLM</t>
        </is>
      </c>
      <c r="G2230" t="n">
        <v>0.8</v>
      </c>
      <c r="H2230" t="n">
        <v>0</v>
      </c>
      <c r="I2230" t="n">
        <v>0</v>
      </c>
      <c r="J2230" t="n">
        <v>0</v>
      </c>
      <c r="K2230" t="n">
        <v>0</v>
      </c>
      <c r="L2230" t="n">
        <v>0</v>
      </c>
      <c r="M2230" t="n">
        <v>0</v>
      </c>
      <c r="N2230" t="n">
        <v>0</v>
      </c>
      <c r="O2230" t="n">
        <v>0</v>
      </c>
      <c r="P2230" t="n">
        <v>0</v>
      </c>
      <c r="Q2230" t="n">
        <v>0</v>
      </c>
      <c r="R2230" s="2" t="inlineStr"/>
    </row>
    <row r="2231" ht="15" customHeight="1">
      <c r="A2231" t="inlineStr">
        <is>
          <t>A 31280-2022</t>
        </is>
      </c>
      <c r="B2231" s="1" t="n">
        <v>44771</v>
      </c>
      <c r="C2231" s="1" t="n">
        <v>45358</v>
      </c>
      <c r="D2231" t="inlineStr">
        <is>
          <t>HALLANDS LÄN</t>
        </is>
      </c>
      <c r="E2231" t="inlineStr">
        <is>
          <t>LAHOLM</t>
        </is>
      </c>
      <c r="G2231" t="n">
        <v>1.4</v>
      </c>
      <c r="H2231" t="n">
        <v>0</v>
      </c>
      <c r="I2231" t="n">
        <v>0</v>
      </c>
      <c r="J2231" t="n">
        <v>0</v>
      </c>
      <c r="K2231" t="n">
        <v>0</v>
      </c>
      <c r="L2231" t="n">
        <v>0</v>
      </c>
      <c r="M2231" t="n">
        <v>0</v>
      </c>
      <c r="N2231" t="n">
        <v>0</v>
      </c>
      <c r="O2231" t="n">
        <v>0</v>
      </c>
      <c r="P2231" t="n">
        <v>0</v>
      </c>
      <c r="Q2231" t="n">
        <v>0</v>
      </c>
      <c r="R2231" s="2" t="inlineStr"/>
    </row>
    <row r="2232" ht="15" customHeight="1">
      <c r="A2232" t="inlineStr">
        <is>
          <t>A 31302-2022</t>
        </is>
      </c>
      <c r="B2232" s="1" t="n">
        <v>44773</v>
      </c>
      <c r="C2232" s="1" t="n">
        <v>45358</v>
      </c>
      <c r="D2232" t="inlineStr">
        <is>
          <t>HALLANDS LÄN</t>
        </is>
      </c>
      <c r="E2232" t="inlineStr">
        <is>
          <t>KUNGSBACKA</t>
        </is>
      </c>
      <c r="G2232" t="n">
        <v>2.6</v>
      </c>
      <c r="H2232" t="n">
        <v>0</v>
      </c>
      <c r="I2232" t="n">
        <v>0</v>
      </c>
      <c r="J2232" t="n">
        <v>0</v>
      </c>
      <c r="K2232" t="n">
        <v>0</v>
      </c>
      <c r="L2232" t="n">
        <v>0</v>
      </c>
      <c r="M2232" t="n">
        <v>0</v>
      </c>
      <c r="N2232" t="n">
        <v>0</v>
      </c>
      <c r="O2232" t="n">
        <v>0</v>
      </c>
      <c r="P2232" t="n">
        <v>0</v>
      </c>
      <c r="Q2232" t="n">
        <v>0</v>
      </c>
      <c r="R2232" s="2" t="inlineStr"/>
    </row>
    <row r="2233" ht="15" customHeight="1">
      <c r="A2233" t="inlineStr">
        <is>
          <t>A 31376-2022</t>
        </is>
      </c>
      <c r="B2233" s="1" t="n">
        <v>44774</v>
      </c>
      <c r="C2233" s="1" t="n">
        <v>45358</v>
      </c>
      <c r="D2233" t="inlineStr">
        <is>
          <t>HALLANDS LÄN</t>
        </is>
      </c>
      <c r="E2233" t="inlineStr">
        <is>
          <t>LAHOLM</t>
        </is>
      </c>
      <c r="G2233" t="n">
        <v>2</v>
      </c>
      <c r="H2233" t="n">
        <v>0</v>
      </c>
      <c r="I2233" t="n">
        <v>0</v>
      </c>
      <c r="J2233" t="n">
        <v>0</v>
      </c>
      <c r="K2233" t="n">
        <v>0</v>
      </c>
      <c r="L2233" t="n">
        <v>0</v>
      </c>
      <c r="M2233" t="n">
        <v>0</v>
      </c>
      <c r="N2233" t="n">
        <v>0</v>
      </c>
      <c r="O2233" t="n">
        <v>0</v>
      </c>
      <c r="P2233" t="n">
        <v>0</v>
      </c>
      <c r="Q2233" t="n">
        <v>0</v>
      </c>
      <c r="R2233" s="2" t="inlineStr"/>
    </row>
    <row r="2234" ht="15" customHeight="1">
      <c r="A2234" t="inlineStr">
        <is>
          <t>A 31358-2022</t>
        </is>
      </c>
      <c r="B2234" s="1" t="n">
        <v>44774</v>
      </c>
      <c r="C2234" s="1" t="n">
        <v>45358</v>
      </c>
      <c r="D2234" t="inlineStr">
        <is>
          <t>HALLANDS LÄN</t>
        </is>
      </c>
      <c r="E2234" t="inlineStr">
        <is>
          <t>LAHOLM</t>
        </is>
      </c>
      <c r="G2234" t="n">
        <v>1.5</v>
      </c>
      <c r="H2234" t="n">
        <v>0</v>
      </c>
      <c r="I2234" t="n">
        <v>0</v>
      </c>
      <c r="J2234" t="n">
        <v>0</v>
      </c>
      <c r="K2234" t="n">
        <v>0</v>
      </c>
      <c r="L2234" t="n">
        <v>0</v>
      </c>
      <c r="M2234" t="n">
        <v>0</v>
      </c>
      <c r="N2234" t="n">
        <v>0</v>
      </c>
      <c r="O2234" t="n">
        <v>0</v>
      </c>
      <c r="P2234" t="n">
        <v>0</v>
      </c>
      <c r="Q2234" t="n">
        <v>0</v>
      </c>
      <c r="R2234" s="2" t="inlineStr"/>
    </row>
    <row r="2235" ht="15" customHeight="1">
      <c r="A2235" t="inlineStr">
        <is>
          <t>A 31316-2022</t>
        </is>
      </c>
      <c r="B2235" s="1" t="n">
        <v>44774</v>
      </c>
      <c r="C2235" s="1" t="n">
        <v>45358</v>
      </c>
      <c r="D2235" t="inlineStr">
        <is>
          <t>HALLANDS LÄN</t>
        </is>
      </c>
      <c r="E2235" t="inlineStr">
        <is>
          <t>VARBERG</t>
        </is>
      </c>
      <c r="G2235" t="n">
        <v>3.9</v>
      </c>
      <c r="H2235" t="n">
        <v>0</v>
      </c>
      <c r="I2235" t="n">
        <v>0</v>
      </c>
      <c r="J2235" t="n">
        <v>0</v>
      </c>
      <c r="K2235" t="n">
        <v>0</v>
      </c>
      <c r="L2235" t="n">
        <v>0</v>
      </c>
      <c r="M2235" t="n">
        <v>0</v>
      </c>
      <c r="N2235" t="n">
        <v>0</v>
      </c>
      <c r="O2235" t="n">
        <v>0</v>
      </c>
      <c r="P2235" t="n">
        <v>0</v>
      </c>
      <c r="Q2235" t="n">
        <v>0</v>
      </c>
      <c r="R2235" s="2" t="inlineStr"/>
    </row>
    <row r="2236" ht="15" customHeight="1">
      <c r="A2236" t="inlineStr">
        <is>
          <t>A 31547-2022</t>
        </is>
      </c>
      <c r="B2236" s="1" t="n">
        <v>44775</v>
      </c>
      <c r="C2236" s="1" t="n">
        <v>45358</v>
      </c>
      <c r="D2236" t="inlineStr">
        <is>
          <t>HALLANDS LÄN</t>
        </is>
      </c>
      <c r="E2236" t="inlineStr">
        <is>
          <t>HALMSTAD</t>
        </is>
      </c>
      <c r="G2236" t="n">
        <v>0.7</v>
      </c>
      <c r="H2236" t="n">
        <v>0</v>
      </c>
      <c r="I2236" t="n">
        <v>0</v>
      </c>
      <c r="J2236" t="n">
        <v>0</v>
      </c>
      <c r="K2236" t="n">
        <v>0</v>
      </c>
      <c r="L2236" t="n">
        <v>0</v>
      </c>
      <c r="M2236" t="n">
        <v>0</v>
      </c>
      <c r="N2236" t="n">
        <v>0</v>
      </c>
      <c r="O2236" t="n">
        <v>0</v>
      </c>
      <c r="P2236" t="n">
        <v>0</v>
      </c>
      <c r="Q2236" t="n">
        <v>0</v>
      </c>
      <c r="R2236" s="2" t="inlineStr"/>
    </row>
    <row r="2237" ht="15" customHeight="1">
      <c r="A2237" t="inlineStr">
        <is>
          <t>A 31617-2022</t>
        </is>
      </c>
      <c r="B2237" s="1" t="n">
        <v>44775</v>
      </c>
      <c r="C2237" s="1" t="n">
        <v>45358</v>
      </c>
      <c r="D2237" t="inlineStr">
        <is>
          <t>HALLANDS LÄN</t>
        </is>
      </c>
      <c r="E2237" t="inlineStr">
        <is>
          <t>KUNGSBACKA</t>
        </is>
      </c>
      <c r="G2237" t="n">
        <v>1.3</v>
      </c>
      <c r="H2237" t="n">
        <v>0</v>
      </c>
      <c r="I2237" t="n">
        <v>0</v>
      </c>
      <c r="J2237" t="n">
        <v>0</v>
      </c>
      <c r="K2237" t="n">
        <v>0</v>
      </c>
      <c r="L2237" t="n">
        <v>0</v>
      </c>
      <c r="M2237" t="n">
        <v>0</v>
      </c>
      <c r="N2237" t="n">
        <v>0</v>
      </c>
      <c r="O2237" t="n">
        <v>0</v>
      </c>
      <c r="P2237" t="n">
        <v>0</v>
      </c>
      <c r="Q2237" t="n">
        <v>0</v>
      </c>
      <c r="R2237" s="2" t="inlineStr"/>
    </row>
    <row r="2238" ht="15" customHeight="1">
      <c r="A2238" t="inlineStr">
        <is>
          <t>A 31543-2022</t>
        </is>
      </c>
      <c r="B2238" s="1" t="n">
        <v>44775</v>
      </c>
      <c r="C2238" s="1" t="n">
        <v>45358</v>
      </c>
      <c r="D2238" t="inlineStr">
        <is>
          <t>HALLANDS LÄN</t>
        </is>
      </c>
      <c r="E2238" t="inlineStr">
        <is>
          <t>HALMSTAD</t>
        </is>
      </c>
      <c r="G2238" t="n">
        <v>2.9</v>
      </c>
      <c r="H2238" t="n">
        <v>0</v>
      </c>
      <c r="I2238" t="n">
        <v>0</v>
      </c>
      <c r="J2238" t="n">
        <v>0</v>
      </c>
      <c r="K2238" t="n">
        <v>0</v>
      </c>
      <c r="L2238" t="n">
        <v>0</v>
      </c>
      <c r="M2238" t="n">
        <v>0</v>
      </c>
      <c r="N2238" t="n">
        <v>0</v>
      </c>
      <c r="O2238" t="n">
        <v>0</v>
      </c>
      <c r="P2238" t="n">
        <v>0</v>
      </c>
      <c r="Q2238" t="n">
        <v>0</v>
      </c>
      <c r="R2238" s="2" t="inlineStr"/>
    </row>
    <row r="2239" ht="15" customHeight="1">
      <c r="A2239" t="inlineStr">
        <is>
          <t>A 31691-2022</t>
        </is>
      </c>
      <c r="B2239" s="1" t="n">
        <v>44776</v>
      </c>
      <c r="C2239" s="1" t="n">
        <v>45358</v>
      </c>
      <c r="D2239" t="inlineStr">
        <is>
          <t>HALLANDS LÄN</t>
        </is>
      </c>
      <c r="E2239" t="inlineStr">
        <is>
          <t>FALKENBERG</t>
        </is>
      </c>
      <c r="G2239" t="n">
        <v>1.6</v>
      </c>
      <c r="H2239" t="n">
        <v>0</v>
      </c>
      <c r="I2239" t="n">
        <v>0</v>
      </c>
      <c r="J2239" t="n">
        <v>0</v>
      </c>
      <c r="K2239" t="n">
        <v>0</v>
      </c>
      <c r="L2239" t="n">
        <v>0</v>
      </c>
      <c r="M2239" t="n">
        <v>0</v>
      </c>
      <c r="N2239" t="n">
        <v>0</v>
      </c>
      <c r="O2239" t="n">
        <v>0</v>
      </c>
      <c r="P2239" t="n">
        <v>0</v>
      </c>
      <c r="Q2239" t="n">
        <v>0</v>
      </c>
      <c r="R2239" s="2" t="inlineStr"/>
    </row>
    <row r="2240" ht="15" customHeight="1">
      <c r="A2240" t="inlineStr">
        <is>
          <t>A 31838-2022</t>
        </is>
      </c>
      <c r="B2240" s="1" t="n">
        <v>44777</v>
      </c>
      <c r="C2240" s="1" t="n">
        <v>45358</v>
      </c>
      <c r="D2240" t="inlineStr">
        <is>
          <t>HALLANDS LÄN</t>
        </is>
      </c>
      <c r="E2240" t="inlineStr">
        <is>
          <t>HYLTE</t>
        </is>
      </c>
      <c r="G2240" t="n">
        <v>1.3</v>
      </c>
      <c r="H2240" t="n">
        <v>0</v>
      </c>
      <c r="I2240" t="n">
        <v>0</v>
      </c>
      <c r="J2240" t="n">
        <v>0</v>
      </c>
      <c r="K2240" t="n">
        <v>0</v>
      </c>
      <c r="L2240" t="n">
        <v>0</v>
      </c>
      <c r="M2240" t="n">
        <v>0</v>
      </c>
      <c r="N2240" t="n">
        <v>0</v>
      </c>
      <c r="O2240" t="n">
        <v>0</v>
      </c>
      <c r="P2240" t="n">
        <v>0</v>
      </c>
      <c r="Q2240" t="n">
        <v>0</v>
      </c>
      <c r="R2240" s="2" t="inlineStr"/>
    </row>
    <row r="2241" ht="15" customHeight="1">
      <c r="A2241" t="inlineStr">
        <is>
          <t>A 31887-2022</t>
        </is>
      </c>
      <c r="B2241" s="1" t="n">
        <v>44777</v>
      </c>
      <c r="C2241" s="1" t="n">
        <v>45358</v>
      </c>
      <c r="D2241" t="inlineStr">
        <is>
          <t>HALLANDS LÄN</t>
        </is>
      </c>
      <c r="E2241" t="inlineStr">
        <is>
          <t>KUNGSBACKA</t>
        </is>
      </c>
      <c r="G2241" t="n">
        <v>6.2</v>
      </c>
      <c r="H2241" t="n">
        <v>0</v>
      </c>
      <c r="I2241" t="n">
        <v>0</v>
      </c>
      <c r="J2241" t="n">
        <v>0</v>
      </c>
      <c r="K2241" t="n">
        <v>0</v>
      </c>
      <c r="L2241" t="n">
        <v>0</v>
      </c>
      <c r="M2241" t="n">
        <v>0</v>
      </c>
      <c r="N2241" t="n">
        <v>0</v>
      </c>
      <c r="O2241" t="n">
        <v>0</v>
      </c>
      <c r="P2241" t="n">
        <v>0</v>
      </c>
      <c r="Q2241" t="n">
        <v>0</v>
      </c>
      <c r="R2241" s="2" t="inlineStr"/>
    </row>
    <row r="2242" ht="15" customHeight="1">
      <c r="A2242" t="inlineStr">
        <is>
          <t>A 31884-2022</t>
        </is>
      </c>
      <c r="B2242" s="1" t="n">
        <v>44777</v>
      </c>
      <c r="C2242" s="1" t="n">
        <v>45358</v>
      </c>
      <c r="D2242" t="inlineStr">
        <is>
          <t>HALLANDS LÄN</t>
        </is>
      </c>
      <c r="E2242" t="inlineStr">
        <is>
          <t>KUNGSBACKA</t>
        </is>
      </c>
      <c r="G2242" t="n">
        <v>1.3</v>
      </c>
      <c r="H2242" t="n">
        <v>0</v>
      </c>
      <c r="I2242" t="n">
        <v>0</v>
      </c>
      <c r="J2242" t="n">
        <v>0</v>
      </c>
      <c r="K2242" t="n">
        <v>0</v>
      </c>
      <c r="L2242" t="n">
        <v>0</v>
      </c>
      <c r="M2242" t="n">
        <v>0</v>
      </c>
      <c r="N2242" t="n">
        <v>0</v>
      </c>
      <c r="O2242" t="n">
        <v>0</v>
      </c>
      <c r="P2242" t="n">
        <v>0</v>
      </c>
      <c r="Q2242" t="n">
        <v>0</v>
      </c>
      <c r="R2242" s="2" t="inlineStr"/>
    </row>
    <row r="2243" ht="15" customHeight="1">
      <c r="A2243" t="inlineStr">
        <is>
          <t>A 32049-2022</t>
        </is>
      </c>
      <c r="B2243" s="1" t="n">
        <v>44778</v>
      </c>
      <c r="C2243" s="1" t="n">
        <v>45358</v>
      </c>
      <c r="D2243" t="inlineStr">
        <is>
          <t>HALLANDS LÄN</t>
        </is>
      </c>
      <c r="E2243" t="inlineStr">
        <is>
          <t>HYLTE</t>
        </is>
      </c>
      <c r="G2243" t="n">
        <v>0.3</v>
      </c>
      <c r="H2243" t="n">
        <v>0</v>
      </c>
      <c r="I2243" t="n">
        <v>0</v>
      </c>
      <c r="J2243" t="n">
        <v>0</v>
      </c>
      <c r="K2243" t="n">
        <v>0</v>
      </c>
      <c r="L2243" t="n">
        <v>0</v>
      </c>
      <c r="M2243" t="n">
        <v>0</v>
      </c>
      <c r="N2243" t="n">
        <v>0</v>
      </c>
      <c r="O2243" t="n">
        <v>0</v>
      </c>
      <c r="P2243" t="n">
        <v>0</v>
      </c>
      <c r="Q2243" t="n">
        <v>0</v>
      </c>
      <c r="R2243" s="2" t="inlineStr"/>
    </row>
    <row r="2244" ht="15" customHeight="1">
      <c r="A2244" t="inlineStr">
        <is>
          <t>A 32047-2022</t>
        </is>
      </c>
      <c r="B2244" s="1" t="n">
        <v>44778</v>
      </c>
      <c r="C2244" s="1" t="n">
        <v>45358</v>
      </c>
      <c r="D2244" t="inlineStr">
        <is>
          <t>HALLANDS LÄN</t>
        </is>
      </c>
      <c r="E2244" t="inlineStr">
        <is>
          <t>HYLTE</t>
        </is>
      </c>
      <c r="G2244" t="n">
        <v>4</v>
      </c>
      <c r="H2244" t="n">
        <v>0</v>
      </c>
      <c r="I2244" t="n">
        <v>0</v>
      </c>
      <c r="J2244" t="n">
        <v>0</v>
      </c>
      <c r="K2244" t="n">
        <v>0</v>
      </c>
      <c r="L2244" t="n">
        <v>0</v>
      </c>
      <c r="M2244" t="n">
        <v>0</v>
      </c>
      <c r="N2244" t="n">
        <v>0</v>
      </c>
      <c r="O2244" t="n">
        <v>0</v>
      </c>
      <c r="P2244" t="n">
        <v>0</v>
      </c>
      <c r="Q2244" t="n">
        <v>0</v>
      </c>
      <c r="R2244" s="2" t="inlineStr"/>
    </row>
    <row r="2245" ht="15" customHeight="1">
      <c r="A2245" t="inlineStr">
        <is>
          <t>A 32052-2022</t>
        </is>
      </c>
      <c r="B2245" s="1" t="n">
        <v>44778</v>
      </c>
      <c r="C2245" s="1" t="n">
        <v>45358</v>
      </c>
      <c r="D2245" t="inlineStr">
        <is>
          <t>HALLANDS LÄN</t>
        </is>
      </c>
      <c r="E2245" t="inlineStr">
        <is>
          <t>HYLTE</t>
        </is>
      </c>
      <c r="G2245" t="n">
        <v>1.8</v>
      </c>
      <c r="H2245" t="n">
        <v>0</v>
      </c>
      <c r="I2245" t="n">
        <v>0</v>
      </c>
      <c r="J2245" t="n">
        <v>0</v>
      </c>
      <c r="K2245" t="n">
        <v>0</v>
      </c>
      <c r="L2245" t="n">
        <v>0</v>
      </c>
      <c r="M2245" t="n">
        <v>0</v>
      </c>
      <c r="N2245" t="n">
        <v>0</v>
      </c>
      <c r="O2245" t="n">
        <v>0</v>
      </c>
      <c r="P2245" t="n">
        <v>0</v>
      </c>
      <c r="Q2245" t="n">
        <v>0</v>
      </c>
      <c r="R2245" s="2" t="inlineStr"/>
    </row>
    <row r="2246" ht="15" customHeight="1">
      <c r="A2246" t="inlineStr">
        <is>
          <t>A 32051-2022</t>
        </is>
      </c>
      <c r="B2246" s="1" t="n">
        <v>44778</v>
      </c>
      <c r="C2246" s="1" t="n">
        <v>45358</v>
      </c>
      <c r="D2246" t="inlineStr">
        <is>
          <t>HALLANDS LÄN</t>
        </is>
      </c>
      <c r="E2246" t="inlineStr">
        <is>
          <t>HYLTE</t>
        </is>
      </c>
      <c r="G2246" t="n">
        <v>1.1</v>
      </c>
      <c r="H2246" t="n">
        <v>0</v>
      </c>
      <c r="I2246" t="n">
        <v>0</v>
      </c>
      <c r="J2246" t="n">
        <v>0</v>
      </c>
      <c r="K2246" t="n">
        <v>0</v>
      </c>
      <c r="L2246" t="n">
        <v>0</v>
      </c>
      <c r="M2246" t="n">
        <v>0</v>
      </c>
      <c r="N2246" t="n">
        <v>0</v>
      </c>
      <c r="O2246" t="n">
        <v>0</v>
      </c>
      <c r="P2246" t="n">
        <v>0</v>
      </c>
      <c r="Q2246" t="n">
        <v>0</v>
      </c>
      <c r="R2246" s="2" t="inlineStr"/>
    </row>
    <row r="2247" ht="15" customHeight="1">
      <c r="A2247" t="inlineStr">
        <is>
          <t>A 32699-2022</t>
        </is>
      </c>
      <c r="B2247" s="1" t="n">
        <v>44783</v>
      </c>
      <c r="C2247" s="1" t="n">
        <v>45358</v>
      </c>
      <c r="D2247" t="inlineStr">
        <is>
          <t>HALLANDS LÄN</t>
        </is>
      </c>
      <c r="E2247" t="inlineStr">
        <is>
          <t>KUNGSBACKA</t>
        </is>
      </c>
      <c r="G2247" t="n">
        <v>9.699999999999999</v>
      </c>
      <c r="H2247" t="n">
        <v>0</v>
      </c>
      <c r="I2247" t="n">
        <v>0</v>
      </c>
      <c r="J2247" t="n">
        <v>0</v>
      </c>
      <c r="K2247" t="n">
        <v>0</v>
      </c>
      <c r="L2247" t="n">
        <v>0</v>
      </c>
      <c r="M2247" t="n">
        <v>0</v>
      </c>
      <c r="N2247" t="n">
        <v>0</v>
      </c>
      <c r="O2247" t="n">
        <v>0</v>
      </c>
      <c r="P2247" t="n">
        <v>0</v>
      </c>
      <c r="Q2247" t="n">
        <v>0</v>
      </c>
      <c r="R2247" s="2" t="inlineStr"/>
    </row>
    <row r="2248" ht="15" customHeight="1">
      <c r="A2248" t="inlineStr">
        <is>
          <t>A 32698-2022</t>
        </is>
      </c>
      <c r="B2248" s="1" t="n">
        <v>44783</v>
      </c>
      <c r="C2248" s="1" t="n">
        <v>45358</v>
      </c>
      <c r="D2248" t="inlineStr">
        <is>
          <t>HALLANDS LÄN</t>
        </is>
      </c>
      <c r="E2248" t="inlineStr">
        <is>
          <t>KUNGSBACKA</t>
        </is>
      </c>
      <c r="G2248" t="n">
        <v>18.8</v>
      </c>
      <c r="H2248" t="n">
        <v>0</v>
      </c>
      <c r="I2248" t="n">
        <v>0</v>
      </c>
      <c r="J2248" t="n">
        <v>0</v>
      </c>
      <c r="K2248" t="n">
        <v>0</v>
      </c>
      <c r="L2248" t="n">
        <v>0</v>
      </c>
      <c r="M2248" t="n">
        <v>0</v>
      </c>
      <c r="N2248" t="n">
        <v>0</v>
      </c>
      <c r="O2248" t="n">
        <v>0</v>
      </c>
      <c r="P2248" t="n">
        <v>0</v>
      </c>
      <c r="Q2248" t="n">
        <v>0</v>
      </c>
      <c r="R2248" s="2" t="inlineStr"/>
    </row>
    <row r="2249" ht="15" customHeight="1">
      <c r="A2249" t="inlineStr">
        <is>
          <t>A 32549-2022</t>
        </is>
      </c>
      <c r="B2249" s="1" t="n">
        <v>44783</v>
      </c>
      <c r="C2249" s="1" t="n">
        <v>45358</v>
      </c>
      <c r="D2249" t="inlineStr">
        <is>
          <t>HALLANDS LÄN</t>
        </is>
      </c>
      <c r="E2249" t="inlineStr">
        <is>
          <t>FALKENBERG</t>
        </is>
      </c>
      <c r="G2249" t="n">
        <v>1</v>
      </c>
      <c r="H2249" t="n">
        <v>0</v>
      </c>
      <c r="I2249" t="n">
        <v>0</v>
      </c>
      <c r="J2249" t="n">
        <v>0</v>
      </c>
      <c r="K2249" t="n">
        <v>0</v>
      </c>
      <c r="L2249" t="n">
        <v>0</v>
      </c>
      <c r="M2249" t="n">
        <v>0</v>
      </c>
      <c r="N2249" t="n">
        <v>0</v>
      </c>
      <c r="O2249" t="n">
        <v>0</v>
      </c>
      <c r="P2249" t="n">
        <v>0</v>
      </c>
      <c r="Q2249" t="n">
        <v>0</v>
      </c>
      <c r="R2249" s="2" t="inlineStr"/>
    </row>
    <row r="2250" ht="15" customHeight="1">
      <c r="A2250" t="inlineStr">
        <is>
          <t>A 33041-2022</t>
        </is>
      </c>
      <c r="B2250" s="1" t="n">
        <v>44785</v>
      </c>
      <c r="C2250" s="1" t="n">
        <v>45358</v>
      </c>
      <c r="D2250" t="inlineStr">
        <is>
          <t>HALLANDS LÄN</t>
        </is>
      </c>
      <c r="E2250" t="inlineStr">
        <is>
          <t>FALKENBERG</t>
        </is>
      </c>
      <c r="G2250" t="n">
        <v>1.4</v>
      </c>
      <c r="H2250" t="n">
        <v>0</v>
      </c>
      <c r="I2250" t="n">
        <v>0</v>
      </c>
      <c r="J2250" t="n">
        <v>0</v>
      </c>
      <c r="K2250" t="n">
        <v>0</v>
      </c>
      <c r="L2250" t="n">
        <v>0</v>
      </c>
      <c r="M2250" t="n">
        <v>0</v>
      </c>
      <c r="N2250" t="n">
        <v>0</v>
      </c>
      <c r="O2250" t="n">
        <v>0</v>
      </c>
      <c r="P2250" t="n">
        <v>0</v>
      </c>
      <c r="Q2250" t="n">
        <v>0</v>
      </c>
      <c r="R2250" s="2" t="inlineStr"/>
    </row>
    <row r="2251" ht="15" customHeight="1">
      <c r="A2251" t="inlineStr">
        <is>
          <t>A 33646-2022</t>
        </is>
      </c>
      <c r="B2251" s="1" t="n">
        <v>44789</v>
      </c>
      <c r="C2251" s="1" t="n">
        <v>45358</v>
      </c>
      <c r="D2251" t="inlineStr">
        <is>
          <t>HALLANDS LÄN</t>
        </is>
      </c>
      <c r="E2251" t="inlineStr">
        <is>
          <t>KUNGSBACKA</t>
        </is>
      </c>
      <c r="G2251" t="n">
        <v>0.7</v>
      </c>
      <c r="H2251" t="n">
        <v>0</v>
      </c>
      <c r="I2251" t="n">
        <v>0</v>
      </c>
      <c r="J2251" t="n">
        <v>0</v>
      </c>
      <c r="K2251" t="n">
        <v>0</v>
      </c>
      <c r="L2251" t="n">
        <v>0</v>
      </c>
      <c r="M2251" t="n">
        <v>0</v>
      </c>
      <c r="N2251" t="n">
        <v>0</v>
      </c>
      <c r="O2251" t="n">
        <v>0</v>
      </c>
      <c r="P2251" t="n">
        <v>0</v>
      </c>
      <c r="Q2251" t="n">
        <v>0</v>
      </c>
      <c r="R2251" s="2" t="inlineStr"/>
    </row>
    <row r="2252" ht="15" customHeight="1">
      <c r="A2252" t="inlineStr">
        <is>
          <t>A 34211-2022</t>
        </is>
      </c>
      <c r="B2252" s="1" t="n">
        <v>44791</v>
      </c>
      <c r="C2252" s="1" t="n">
        <v>45358</v>
      </c>
      <c r="D2252" t="inlineStr">
        <is>
          <t>HALLANDS LÄN</t>
        </is>
      </c>
      <c r="E2252" t="inlineStr">
        <is>
          <t>KUNGSBACKA</t>
        </is>
      </c>
      <c r="G2252" t="n">
        <v>6.9</v>
      </c>
      <c r="H2252" t="n">
        <v>0</v>
      </c>
      <c r="I2252" t="n">
        <v>0</v>
      </c>
      <c r="J2252" t="n">
        <v>0</v>
      </c>
      <c r="K2252" t="n">
        <v>0</v>
      </c>
      <c r="L2252" t="n">
        <v>0</v>
      </c>
      <c r="M2252" t="n">
        <v>0</v>
      </c>
      <c r="N2252" t="n">
        <v>0</v>
      </c>
      <c r="O2252" t="n">
        <v>0</v>
      </c>
      <c r="P2252" t="n">
        <v>0</v>
      </c>
      <c r="Q2252" t="n">
        <v>0</v>
      </c>
      <c r="R2252" s="2" t="inlineStr"/>
    </row>
    <row r="2253" ht="15" customHeight="1">
      <c r="A2253" t="inlineStr">
        <is>
          <t>A 34628-2022</t>
        </is>
      </c>
      <c r="B2253" s="1" t="n">
        <v>44795</v>
      </c>
      <c r="C2253" s="1" t="n">
        <v>45358</v>
      </c>
      <c r="D2253" t="inlineStr">
        <is>
          <t>HALLANDS LÄN</t>
        </is>
      </c>
      <c r="E2253" t="inlineStr">
        <is>
          <t>HYLTE</t>
        </is>
      </c>
      <c r="G2253" t="n">
        <v>0.5</v>
      </c>
      <c r="H2253" t="n">
        <v>0</v>
      </c>
      <c r="I2253" t="n">
        <v>0</v>
      </c>
      <c r="J2253" t="n">
        <v>0</v>
      </c>
      <c r="K2253" t="n">
        <v>0</v>
      </c>
      <c r="L2253" t="n">
        <v>0</v>
      </c>
      <c r="M2253" t="n">
        <v>0</v>
      </c>
      <c r="N2253" t="n">
        <v>0</v>
      </c>
      <c r="O2253" t="n">
        <v>0</v>
      </c>
      <c r="P2253" t="n">
        <v>0</v>
      </c>
      <c r="Q2253" t="n">
        <v>0</v>
      </c>
      <c r="R2253" s="2" t="inlineStr"/>
    </row>
    <row r="2254" ht="15" customHeight="1">
      <c r="A2254" t="inlineStr">
        <is>
          <t>A 34922-2022</t>
        </is>
      </c>
      <c r="B2254" s="1" t="n">
        <v>44796</v>
      </c>
      <c r="C2254" s="1" t="n">
        <v>45358</v>
      </c>
      <c r="D2254" t="inlineStr">
        <is>
          <t>HALLANDS LÄN</t>
        </is>
      </c>
      <c r="E2254" t="inlineStr">
        <is>
          <t>HALMSTAD</t>
        </is>
      </c>
      <c r="G2254" t="n">
        <v>0.5</v>
      </c>
      <c r="H2254" t="n">
        <v>0</v>
      </c>
      <c r="I2254" t="n">
        <v>0</v>
      </c>
      <c r="J2254" t="n">
        <v>0</v>
      </c>
      <c r="K2254" t="n">
        <v>0</v>
      </c>
      <c r="L2254" t="n">
        <v>0</v>
      </c>
      <c r="M2254" t="n">
        <v>0</v>
      </c>
      <c r="N2254" t="n">
        <v>0</v>
      </c>
      <c r="O2254" t="n">
        <v>0</v>
      </c>
      <c r="P2254" t="n">
        <v>0</v>
      </c>
      <c r="Q2254" t="n">
        <v>0</v>
      </c>
      <c r="R2254" s="2" t="inlineStr"/>
    </row>
    <row r="2255" ht="15" customHeight="1">
      <c r="A2255" t="inlineStr">
        <is>
          <t>A 34902-2022</t>
        </is>
      </c>
      <c r="B2255" s="1" t="n">
        <v>44796</v>
      </c>
      <c r="C2255" s="1" t="n">
        <v>45358</v>
      </c>
      <c r="D2255" t="inlineStr">
        <is>
          <t>HALLANDS LÄN</t>
        </is>
      </c>
      <c r="E2255" t="inlineStr">
        <is>
          <t>HYLTE</t>
        </is>
      </c>
      <c r="G2255" t="n">
        <v>2.7</v>
      </c>
      <c r="H2255" t="n">
        <v>0</v>
      </c>
      <c r="I2255" t="n">
        <v>0</v>
      </c>
      <c r="J2255" t="n">
        <v>0</v>
      </c>
      <c r="K2255" t="n">
        <v>0</v>
      </c>
      <c r="L2255" t="n">
        <v>0</v>
      </c>
      <c r="M2255" t="n">
        <v>0</v>
      </c>
      <c r="N2255" t="n">
        <v>0</v>
      </c>
      <c r="O2255" t="n">
        <v>0</v>
      </c>
      <c r="P2255" t="n">
        <v>0</v>
      </c>
      <c r="Q2255" t="n">
        <v>0</v>
      </c>
      <c r="R2255" s="2" t="inlineStr"/>
    </row>
    <row r="2256" ht="15" customHeight="1">
      <c r="A2256" t="inlineStr">
        <is>
          <t>A 34899-2022</t>
        </is>
      </c>
      <c r="B2256" s="1" t="n">
        <v>44796</v>
      </c>
      <c r="C2256" s="1" t="n">
        <v>45358</v>
      </c>
      <c r="D2256" t="inlineStr">
        <is>
          <t>HALLANDS LÄN</t>
        </is>
      </c>
      <c r="E2256" t="inlineStr">
        <is>
          <t>HYLTE</t>
        </is>
      </c>
      <c r="G2256" t="n">
        <v>1.9</v>
      </c>
      <c r="H2256" t="n">
        <v>0</v>
      </c>
      <c r="I2256" t="n">
        <v>0</v>
      </c>
      <c r="J2256" t="n">
        <v>0</v>
      </c>
      <c r="K2256" t="n">
        <v>0</v>
      </c>
      <c r="L2256" t="n">
        <v>0</v>
      </c>
      <c r="M2256" t="n">
        <v>0</v>
      </c>
      <c r="N2256" t="n">
        <v>0</v>
      </c>
      <c r="O2256" t="n">
        <v>0</v>
      </c>
      <c r="P2256" t="n">
        <v>0</v>
      </c>
      <c r="Q2256" t="n">
        <v>0</v>
      </c>
      <c r="R2256" s="2" t="inlineStr"/>
    </row>
    <row r="2257" ht="15" customHeight="1">
      <c r="A2257" t="inlineStr">
        <is>
          <t>A 34975-2022</t>
        </is>
      </c>
      <c r="B2257" s="1" t="n">
        <v>44796</v>
      </c>
      <c r="C2257" s="1" t="n">
        <v>45358</v>
      </c>
      <c r="D2257" t="inlineStr">
        <is>
          <t>HALLANDS LÄN</t>
        </is>
      </c>
      <c r="E2257" t="inlineStr">
        <is>
          <t>HYLTE</t>
        </is>
      </c>
      <c r="G2257" t="n">
        <v>0.8</v>
      </c>
      <c r="H2257" t="n">
        <v>0</v>
      </c>
      <c r="I2257" t="n">
        <v>0</v>
      </c>
      <c r="J2257" t="n">
        <v>0</v>
      </c>
      <c r="K2257" t="n">
        <v>0</v>
      </c>
      <c r="L2257" t="n">
        <v>0</v>
      </c>
      <c r="M2257" t="n">
        <v>0</v>
      </c>
      <c r="N2257" t="n">
        <v>0</v>
      </c>
      <c r="O2257" t="n">
        <v>0</v>
      </c>
      <c r="P2257" t="n">
        <v>0</v>
      </c>
      <c r="Q2257" t="n">
        <v>0</v>
      </c>
      <c r="R2257" s="2" t="inlineStr"/>
    </row>
    <row r="2258" ht="15" customHeight="1">
      <c r="A2258" t="inlineStr">
        <is>
          <t>A 34985-2022</t>
        </is>
      </c>
      <c r="B2258" s="1" t="n">
        <v>44796</v>
      </c>
      <c r="C2258" s="1" t="n">
        <v>45358</v>
      </c>
      <c r="D2258" t="inlineStr">
        <is>
          <t>HALLANDS LÄN</t>
        </is>
      </c>
      <c r="E2258" t="inlineStr">
        <is>
          <t>LAHOLM</t>
        </is>
      </c>
      <c r="G2258" t="n">
        <v>1.2</v>
      </c>
      <c r="H2258" t="n">
        <v>0</v>
      </c>
      <c r="I2258" t="n">
        <v>0</v>
      </c>
      <c r="J2258" t="n">
        <v>0</v>
      </c>
      <c r="K2258" t="n">
        <v>0</v>
      </c>
      <c r="L2258" t="n">
        <v>0</v>
      </c>
      <c r="M2258" t="n">
        <v>0</v>
      </c>
      <c r="N2258" t="n">
        <v>0</v>
      </c>
      <c r="O2258" t="n">
        <v>0</v>
      </c>
      <c r="P2258" t="n">
        <v>0</v>
      </c>
      <c r="Q2258" t="n">
        <v>0</v>
      </c>
      <c r="R2258" s="2" t="inlineStr"/>
    </row>
    <row r="2259" ht="15" customHeight="1">
      <c r="A2259" t="inlineStr">
        <is>
          <t>A 35137-2022</t>
        </is>
      </c>
      <c r="B2259" s="1" t="n">
        <v>44797</v>
      </c>
      <c r="C2259" s="1" t="n">
        <v>45358</v>
      </c>
      <c r="D2259" t="inlineStr">
        <is>
          <t>HALLANDS LÄN</t>
        </is>
      </c>
      <c r="E2259" t="inlineStr">
        <is>
          <t>VARBERG</t>
        </is>
      </c>
      <c r="G2259" t="n">
        <v>3</v>
      </c>
      <c r="H2259" t="n">
        <v>0</v>
      </c>
      <c r="I2259" t="n">
        <v>0</v>
      </c>
      <c r="J2259" t="n">
        <v>0</v>
      </c>
      <c r="K2259" t="n">
        <v>0</v>
      </c>
      <c r="L2259" t="n">
        <v>0</v>
      </c>
      <c r="M2259" t="n">
        <v>0</v>
      </c>
      <c r="N2259" t="n">
        <v>0</v>
      </c>
      <c r="O2259" t="n">
        <v>0</v>
      </c>
      <c r="P2259" t="n">
        <v>0</v>
      </c>
      <c r="Q2259" t="n">
        <v>0</v>
      </c>
      <c r="R2259" s="2" t="inlineStr"/>
    </row>
    <row r="2260" ht="15" customHeight="1">
      <c r="A2260" t="inlineStr">
        <is>
          <t>A 35117-2022</t>
        </is>
      </c>
      <c r="B2260" s="1" t="n">
        <v>44797</v>
      </c>
      <c r="C2260" s="1" t="n">
        <v>45358</v>
      </c>
      <c r="D2260" t="inlineStr">
        <is>
          <t>HALLANDS LÄN</t>
        </is>
      </c>
      <c r="E2260" t="inlineStr">
        <is>
          <t>HYLTE</t>
        </is>
      </c>
      <c r="G2260" t="n">
        <v>0.6</v>
      </c>
      <c r="H2260" t="n">
        <v>0</v>
      </c>
      <c r="I2260" t="n">
        <v>0</v>
      </c>
      <c r="J2260" t="n">
        <v>0</v>
      </c>
      <c r="K2260" t="n">
        <v>0</v>
      </c>
      <c r="L2260" t="n">
        <v>0</v>
      </c>
      <c r="M2260" t="n">
        <v>0</v>
      </c>
      <c r="N2260" t="n">
        <v>0</v>
      </c>
      <c r="O2260" t="n">
        <v>0</v>
      </c>
      <c r="P2260" t="n">
        <v>0</v>
      </c>
      <c r="Q2260" t="n">
        <v>0</v>
      </c>
      <c r="R2260" s="2" t="inlineStr"/>
    </row>
    <row r="2261" ht="15" customHeight="1">
      <c r="A2261" t="inlineStr">
        <is>
          <t>A 35138-2022</t>
        </is>
      </c>
      <c r="B2261" s="1" t="n">
        <v>44797</v>
      </c>
      <c r="C2261" s="1" t="n">
        <v>45358</v>
      </c>
      <c r="D2261" t="inlineStr">
        <is>
          <t>HALLANDS LÄN</t>
        </is>
      </c>
      <c r="E2261" t="inlineStr">
        <is>
          <t>VARBERG</t>
        </is>
      </c>
      <c r="G2261" t="n">
        <v>0.9</v>
      </c>
      <c r="H2261" t="n">
        <v>0</v>
      </c>
      <c r="I2261" t="n">
        <v>0</v>
      </c>
      <c r="J2261" t="n">
        <v>0</v>
      </c>
      <c r="K2261" t="n">
        <v>0</v>
      </c>
      <c r="L2261" t="n">
        <v>0</v>
      </c>
      <c r="M2261" t="n">
        <v>0</v>
      </c>
      <c r="N2261" t="n">
        <v>0</v>
      </c>
      <c r="O2261" t="n">
        <v>0</v>
      </c>
      <c r="P2261" t="n">
        <v>0</v>
      </c>
      <c r="Q2261" t="n">
        <v>0</v>
      </c>
      <c r="R2261" s="2" t="inlineStr"/>
    </row>
    <row r="2262" ht="15" customHeight="1">
      <c r="A2262" t="inlineStr">
        <is>
          <t>A 35140-2022</t>
        </is>
      </c>
      <c r="B2262" s="1" t="n">
        <v>44797</v>
      </c>
      <c r="C2262" s="1" t="n">
        <v>45358</v>
      </c>
      <c r="D2262" t="inlineStr">
        <is>
          <t>HALLANDS LÄN</t>
        </is>
      </c>
      <c r="E2262" t="inlineStr">
        <is>
          <t>VARBERG</t>
        </is>
      </c>
      <c r="G2262" t="n">
        <v>1.6</v>
      </c>
      <c r="H2262" t="n">
        <v>0</v>
      </c>
      <c r="I2262" t="n">
        <v>0</v>
      </c>
      <c r="J2262" t="n">
        <v>0</v>
      </c>
      <c r="K2262" t="n">
        <v>0</v>
      </c>
      <c r="L2262" t="n">
        <v>0</v>
      </c>
      <c r="M2262" t="n">
        <v>0</v>
      </c>
      <c r="N2262" t="n">
        <v>0</v>
      </c>
      <c r="O2262" t="n">
        <v>0</v>
      </c>
      <c r="P2262" t="n">
        <v>0</v>
      </c>
      <c r="Q2262" t="n">
        <v>0</v>
      </c>
      <c r="R2262" s="2" t="inlineStr"/>
    </row>
    <row r="2263" ht="15" customHeight="1">
      <c r="A2263" t="inlineStr">
        <is>
          <t>A 35795-2022</t>
        </is>
      </c>
      <c r="B2263" s="1" t="n">
        <v>44801</v>
      </c>
      <c r="C2263" s="1" t="n">
        <v>45358</v>
      </c>
      <c r="D2263" t="inlineStr">
        <is>
          <t>HALLANDS LÄN</t>
        </is>
      </c>
      <c r="E2263" t="inlineStr">
        <is>
          <t>HYLTE</t>
        </is>
      </c>
      <c r="G2263" t="n">
        <v>0.3</v>
      </c>
      <c r="H2263" t="n">
        <v>0</v>
      </c>
      <c r="I2263" t="n">
        <v>0</v>
      </c>
      <c r="J2263" t="n">
        <v>0</v>
      </c>
      <c r="K2263" t="n">
        <v>0</v>
      </c>
      <c r="L2263" t="n">
        <v>0</v>
      </c>
      <c r="M2263" t="n">
        <v>0</v>
      </c>
      <c r="N2263" t="n">
        <v>0</v>
      </c>
      <c r="O2263" t="n">
        <v>0</v>
      </c>
      <c r="P2263" t="n">
        <v>0</v>
      </c>
      <c r="Q2263" t="n">
        <v>0</v>
      </c>
      <c r="R2263" s="2" t="inlineStr"/>
    </row>
    <row r="2264" ht="15" customHeight="1">
      <c r="A2264" t="inlineStr">
        <is>
          <t>A 35891-2022</t>
        </is>
      </c>
      <c r="B2264" s="1" t="n">
        <v>44802</v>
      </c>
      <c r="C2264" s="1" t="n">
        <v>45358</v>
      </c>
      <c r="D2264" t="inlineStr">
        <is>
          <t>HALLANDS LÄN</t>
        </is>
      </c>
      <c r="E2264" t="inlineStr">
        <is>
          <t>LAHOLM</t>
        </is>
      </c>
      <c r="G2264" t="n">
        <v>1.7</v>
      </c>
      <c r="H2264" t="n">
        <v>0</v>
      </c>
      <c r="I2264" t="n">
        <v>0</v>
      </c>
      <c r="J2264" t="n">
        <v>0</v>
      </c>
      <c r="K2264" t="n">
        <v>0</v>
      </c>
      <c r="L2264" t="n">
        <v>0</v>
      </c>
      <c r="M2264" t="n">
        <v>0</v>
      </c>
      <c r="N2264" t="n">
        <v>0</v>
      </c>
      <c r="O2264" t="n">
        <v>0</v>
      </c>
      <c r="P2264" t="n">
        <v>0</v>
      </c>
      <c r="Q2264" t="n">
        <v>0</v>
      </c>
      <c r="R2264" s="2" t="inlineStr"/>
    </row>
    <row r="2265" ht="15" customHeight="1">
      <c r="A2265" t="inlineStr">
        <is>
          <t>A 35897-2022</t>
        </is>
      </c>
      <c r="B2265" s="1" t="n">
        <v>44802</v>
      </c>
      <c r="C2265" s="1" t="n">
        <v>45358</v>
      </c>
      <c r="D2265" t="inlineStr">
        <is>
          <t>HALLANDS LÄN</t>
        </is>
      </c>
      <c r="E2265" t="inlineStr">
        <is>
          <t>LAHOLM</t>
        </is>
      </c>
      <c r="G2265" t="n">
        <v>1.9</v>
      </c>
      <c r="H2265" t="n">
        <v>0</v>
      </c>
      <c r="I2265" t="n">
        <v>0</v>
      </c>
      <c r="J2265" t="n">
        <v>0</v>
      </c>
      <c r="K2265" t="n">
        <v>0</v>
      </c>
      <c r="L2265" t="n">
        <v>0</v>
      </c>
      <c r="M2265" t="n">
        <v>0</v>
      </c>
      <c r="N2265" t="n">
        <v>0</v>
      </c>
      <c r="O2265" t="n">
        <v>0</v>
      </c>
      <c r="P2265" t="n">
        <v>0</v>
      </c>
      <c r="Q2265" t="n">
        <v>0</v>
      </c>
      <c r="R2265" s="2" t="inlineStr"/>
    </row>
    <row r="2266" ht="15" customHeight="1">
      <c r="A2266" t="inlineStr">
        <is>
          <t>A 38174-2022</t>
        </is>
      </c>
      <c r="B2266" s="1" t="n">
        <v>44802</v>
      </c>
      <c r="C2266" s="1" t="n">
        <v>45358</v>
      </c>
      <c r="D2266" t="inlineStr">
        <is>
          <t>HALLANDS LÄN</t>
        </is>
      </c>
      <c r="E2266" t="inlineStr">
        <is>
          <t>HALMSTAD</t>
        </is>
      </c>
      <c r="G2266" t="n">
        <v>1.9</v>
      </c>
      <c r="H2266" t="n">
        <v>0</v>
      </c>
      <c r="I2266" t="n">
        <v>0</v>
      </c>
      <c r="J2266" t="n">
        <v>0</v>
      </c>
      <c r="K2266" t="n">
        <v>0</v>
      </c>
      <c r="L2266" t="n">
        <v>0</v>
      </c>
      <c r="M2266" t="n">
        <v>0</v>
      </c>
      <c r="N2266" t="n">
        <v>0</v>
      </c>
      <c r="O2266" t="n">
        <v>0</v>
      </c>
      <c r="P2266" t="n">
        <v>0</v>
      </c>
      <c r="Q2266" t="n">
        <v>0</v>
      </c>
      <c r="R2266" s="2" t="inlineStr"/>
    </row>
    <row r="2267" ht="15" customHeight="1">
      <c r="A2267" t="inlineStr">
        <is>
          <t>A 36242-2022</t>
        </is>
      </c>
      <c r="B2267" s="1" t="n">
        <v>44803</v>
      </c>
      <c r="C2267" s="1" t="n">
        <v>45358</v>
      </c>
      <c r="D2267" t="inlineStr">
        <is>
          <t>HALLANDS LÄN</t>
        </is>
      </c>
      <c r="E2267" t="inlineStr">
        <is>
          <t>FALKENBERG</t>
        </is>
      </c>
      <c r="G2267" t="n">
        <v>0.4</v>
      </c>
      <c r="H2267" t="n">
        <v>0</v>
      </c>
      <c r="I2267" t="n">
        <v>0</v>
      </c>
      <c r="J2267" t="n">
        <v>0</v>
      </c>
      <c r="K2267" t="n">
        <v>0</v>
      </c>
      <c r="L2267" t="n">
        <v>0</v>
      </c>
      <c r="M2267" t="n">
        <v>0</v>
      </c>
      <c r="N2267" t="n">
        <v>0</v>
      </c>
      <c r="O2267" t="n">
        <v>0</v>
      </c>
      <c r="P2267" t="n">
        <v>0</v>
      </c>
      <c r="Q2267" t="n">
        <v>0</v>
      </c>
      <c r="R2267" s="2" t="inlineStr"/>
    </row>
    <row r="2268" ht="15" customHeight="1">
      <c r="A2268" t="inlineStr">
        <is>
          <t>A 36246-2022</t>
        </is>
      </c>
      <c r="B2268" s="1" t="n">
        <v>44803</v>
      </c>
      <c r="C2268" s="1" t="n">
        <v>45358</v>
      </c>
      <c r="D2268" t="inlineStr">
        <is>
          <t>HALLANDS LÄN</t>
        </is>
      </c>
      <c r="E2268" t="inlineStr">
        <is>
          <t>FALKENBERG</t>
        </is>
      </c>
      <c r="G2268" t="n">
        <v>1.2</v>
      </c>
      <c r="H2268" t="n">
        <v>0</v>
      </c>
      <c r="I2268" t="n">
        <v>0</v>
      </c>
      <c r="J2268" t="n">
        <v>0</v>
      </c>
      <c r="K2268" t="n">
        <v>0</v>
      </c>
      <c r="L2268" t="n">
        <v>0</v>
      </c>
      <c r="M2268" t="n">
        <v>0</v>
      </c>
      <c r="N2268" t="n">
        <v>0</v>
      </c>
      <c r="O2268" t="n">
        <v>0</v>
      </c>
      <c r="P2268" t="n">
        <v>0</v>
      </c>
      <c r="Q2268" t="n">
        <v>0</v>
      </c>
      <c r="R2268" s="2" t="inlineStr"/>
    </row>
    <row r="2269" ht="15" customHeight="1">
      <c r="A2269" t="inlineStr">
        <is>
          <t>A 36670-2022</t>
        </is>
      </c>
      <c r="B2269" s="1" t="n">
        <v>44804</v>
      </c>
      <c r="C2269" s="1" t="n">
        <v>45358</v>
      </c>
      <c r="D2269" t="inlineStr">
        <is>
          <t>HALLANDS LÄN</t>
        </is>
      </c>
      <c r="E2269" t="inlineStr">
        <is>
          <t>KUNGSBACKA</t>
        </is>
      </c>
      <c r="G2269" t="n">
        <v>4.1</v>
      </c>
      <c r="H2269" t="n">
        <v>0</v>
      </c>
      <c r="I2269" t="n">
        <v>0</v>
      </c>
      <c r="J2269" t="n">
        <v>0</v>
      </c>
      <c r="K2269" t="n">
        <v>0</v>
      </c>
      <c r="L2269" t="n">
        <v>0</v>
      </c>
      <c r="M2269" t="n">
        <v>0</v>
      </c>
      <c r="N2269" t="n">
        <v>0</v>
      </c>
      <c r="O2269" t="n">
        <v>0</v>
      </c>
      <c r="P2269" t="n">
        <v>0</v>
      </c>
      <c r="Q2269" t="n">
        <v>0</v>
      </c>
      <c r="R2269" s="2" t="inlineStr"/>
    </row>
    <row r="2270" ht="15" customHeight="1">
      <c r="A2270" t="inlineStr">
        <is>
          <t>A 36980-2022</t>
        </is>
      </c>
      <c r="B2270" s="1" t="n">
        <v>44806</v>
      </c>
      <c r="C2270" s="1" t="n">
        <v>45358</v>
      </c>
      <c r="D2270" t="inlineStr">
        <is>
          <t>HALLANDS LÄN</t>
        </is>
      </c>
      <c r="E2270" t="inlineStr">
        <is>
          <t>FALKENBERG</t>
        </is>
      </c>
      <c r="G2270" t="n">
        <v>4.2</v>
      </c>
      <c r="H2270" t="n">
        <v>0</v>
      </c>
      <c r="I2270" t="n">
        <v>0</v>
      </c>
      <c r="J2270" t="n">
        <v>0</v>
      </c>
      <c r="K2270" t="n">
        <v>0</v>
      </c>
      <c r="L2270" t="n">
        <v>0</v>
      </c>
      <c r="M2270" t="n">
        <v>0</v>
      </c>
      <c r="N2270" t="n">
        <v>0</v>
      </c>
      <c r="O2270" t="n">
        <v>0</v>
      </c>
      <c r="P2270" t="n">
        <v>0</v>
      </c>
      <c r="Q2270" t="n">
        <v>0</v>
      </c>
      <c r="R2270" s="2" t="inlineStr"/>
    </row>
    <row r="2271" ht="15" customHeight="1">
      <c r="A2271" t="inlineStr">
        <is>
          <t>A 36995-2022</t>
        </is>
      </c>
      <c r="B2271" s="1" t="n">
        <v>44806</v>
      </c>
      <c r="C2271" s="1" t="n">
        <v>45358</v>
      </c>
      <c r="D2271" t="inlineStr">
        <is>
          <t>HALLANDS LÄN</t>
        </is>
      </c>
      <c r="E2271" t="inlineStr">
        <is>
          <t>FALKENBERG</t>
        </is>
      </c>
      <c r="G2271" t="n">
        <v>3</v>
      </c>
      <c r="H2271" t="n">
        <v>0</v>
      </c>
      <c r="I2271" t="n">
        <v>0</v>
      </c>
      <c r="J2271" t="n">
        <v>0</v>
      </c>
      <c r="K2271" t="n">
        <v>0</v>
      </c>
      <c r="L2271" t="n">
        <v>0</v>
      </c>
      <c r="M2271" t="n">
        <v>0</v>
      </c>
      <c r="N2271" t="n">
        <v>0</v>
      </c>
      <c r="O2271" t="n">
        <v>0</v>
      </c>
      <c r="P2271" t="n">
        <v>0</v>
      </c>
      <c r="Q2271" t="n">
        <v>0</v>
      </c>
      <c r="R2271" s="2" t="inlineStr"/>
    </row>
    <row r="2272" ht="15" customHeight="1">
      <c r="A2272" t="inlineStr">
        <is>
          <t>A 37150-2022</t>
        </is>
      </c>
      <c r="B2272" s="1" t="n">
        <v>44806</v>
      </c>
      <c r="C2272" s="1" t="n">
        <v>45358</v>
      </c>
      <c r="D2272" t="inlineStr">
        <is>
          <t>HALLANDS LÄN</t>
        </is>
      </c>
      <c r="E2272" t="inlineStr">
        <is>
          <t>FALKENBERG</t>
        </is>
      </c>
      <c r="G2272" t="n">
        <v>4.6</v>
      </c>
      <c r="H2272" t="n">
        <v>0</v>
      </c>
      <c r="I2272" t="n">
        <v>0</v>
      </c>
      <c r="J2272" t="n">
        <v>0</v>
      </c>
      <c r="K2272" t="n">
        <v>0</v>
      </c>
      <c r="L2272" t="n">
        <v>0</v>
      </c>
      <c r="M2272" t="n">
        <v>0</v>
      </c>
      <c r="N2272" t="n">
        <v>0</v>
      </c>
      <c r="O2272" t="n">
        <v>0</v>
      </c>
      <c r="P2272" t="n">
        <v>0</v>
      </c>
      <c r="Q2272" t="n">
        <v>0</v>
      </c>
      <c r="R2272" s="2" t="inlineStr"/>
    </row>
    <row r="2273" ht="15" customHeight="1">
      <c r="A2273" t="inlineStr">
        <is>
          <t>A 37161-2022</t>
        </is>
      </c>
      <c r="B2273" s="1" t="n">
        <v>44806</v>
      </c>
      <c r="C2273" s="1" t="n">
        <v>45358</v>
      </c>
      <c r="D2273" t="inlineStr">
        <is>
          <t>HALLANDS LÄN</t>
        </is>
      </c>
      <c r="E2273" t="inlineStr">
        <is>
          <t>HALMSTAD</t>
        </is>
      </c>
      <c r="G2273" t="n">
        <v>1.3</v>
      </c>
      <c r="H2273" t="n">
        <v>0</v>
      </c>
      <c r="I2273" t="n">
        <v>0</v>
      </c>
      <c r="J2273" t="n">
        <v>0</v>
      </c>
      <c r="K2273" t="n">
        <v>0</v>
      </c>
      <c r="L2273" t="n">
        <v>0</v>
      </c>
      <c r="M2273" t="n">
        <v>0</v>
      </c>
      <c r="N2273" t="n">
        <v>0</v>
      </c>
      <c r="O2273" t="n">
        <v>0</v>
      </c>
      <c r="P2273" t="n">
        <v>0</v>
      </c>
      <c r="Q2273" t="n">
        <v>0</v>
      </c>
      <c r="R2273" s="2" t="inlineStr"/>
    </row>
    <row r="2274" ht="15" customHeight="1">
      <c r="A2274" t="inlineStr">
        <is>
          <t>A 37163-2022</t>
        </is>
      </c>
      <c r="B2274" s="1" t="n">
        <v>44806</v>
      </c>
      <c r="C2274" s="1" t="n">
        <v>45358</v>
      </c>
      <c r="D2274" t="inlineStr">
        <is>
          <t>HALLANDS LÄN</t>
        </is>
      </c>
      <c r="E2274" t="inlineStr">
        <is>
          <t>FALKENBERG</t>
        </is>
      </c>
      <c r="G2274" t="n">
        <v>1.2</v>
      </c>
      <c r="H2274" t="n">
        <v>0</v>
      </c>
      <c r="I2274" t="n">
        <v>0</v>
      </c>
      <c r="J2274" t="n">
        <v>0</v>
      </c>
      <c r="K2274" t="n">
        <v>0</v>
      </c>
      <c r="L2274" t="n">
        <v>0</v>
      </c>
      <c r="M2274" t="n">
        <v>0</v>
      </c>
      <c r="N2274" t="n">
        <v>0</v>
      </c>
      <c r="O2274" t="n">
        <v>0</v>
      </c>
      <c r="P2274" t="n">
        <v>0</v>
      </c>
      <c r="Q2274" t="n">
        <v>0</v>
      </c>
      <c r="R2274" s="2" t="inlineStr"/>
    </row>
    <row r="2275" ht="15" customHeight="1">
      <c r="A2275" t="inlineStr">
        <is>
          <t>A 37672-2022</t>
        </is>
      </c>
      <c r="B2275" s="1" t="n">
        <v>44810</v>
      </c>
      <c r="C2275" s="1" t="n">
        <v>45358</v>
      </c>
      <c r="D2275" t="inlineStr">
        <is>
          <t>HALLANDS LÄN</t>
        </is>
      </c>
      <c r="E2275" t="inlineStr">
        <is>
          <t>LAHOLM</t>
        </is>
      </c>
      <c r="G2275" t="n">
        <v>2.7</v>
      </c>
      <c r="H2275" t="n">
        <v>0</v>
      </c>
      <c r="I2275" t="n">
        <v>0</v>
      </c>
      <c r="J2275" t="n">
        <v>0</v>
      </c>
      <c r="K2275" t="n">
        <v>0</v>
      </c>
      <c r="L2275" t="n">
        <v>0</v>
      </c>
      <c r="M2275" t="n">
        <v>0</v>
      </c>
      <c r="N2275" t="n">
        <v>0</v>
      </c>
      <c r="O2275" t="n">
        <v>0</v>
      </c>
      <c r="P2275" t="n">
        <v>0</v>
      </c>
      <c r="Q2275" t="n">
        <v>0</v>
      </c>
      <c r="R2275" s="2" t="inlineStr"/>
    </row>
    <row r="2276" ht="15" customHeight="1">
      <c r="A2276" t="inlineStr">
        <is>
          <t>A 37705-2022</t>
        </is>
      </c>
      <c r="B2276" s="1" t="n">
        <v>44810</v>
      </c>
      <c r="C2276" s="1" t="n">
        <v>45358</v>
      </c>
      <c r="D2276" t="inlineStr">
        <is>
          <t>HALLANDS LÄN</t>
        </is>
      </c>
      <c r="E2276" t="inlineStr">
        <is>
          <t>LAHOLM</t>
        </is>
      </c>
      <c r="G2276" t="n">
        <v>1.8</v>
      </c>
      <c r="H2276" t="n">
        <v>0</v>
      </c>
      <c r="I2276" t="n">
        <v>0</v>
      </c>
      <c r="J2276" t="n">
        <v>0</v>
      </c>
      <c r="K2276" t="n">
        <v>0</v>
      </c>
      <c r="L2276" t="n">
        <v>0</v>
      </c>
      <c r="M2276" t="n">
        <v>0</v>
      </c>
      <c r="N2276" t="n">
        <v>0</v>
      </c>
      <c r="O2276" t="n">
        <v>0</v>
      </c>
      <c r="P2276" t="n">
        <v>0</v>
      </c>
      <c r="Q2276" t="n">
        <v>0</v>
      </c>
      <c r="R2276" s="2" t="inlineStr"/>
    </row>
    <row r="2277" ht="15" customHeight="1">
      <c r="A2277" t="inlineStr">
        <is>
          <t>A 37606-2022</t>
        </is>
      </c>
      <c r="B2277" s="1" t="n">
        <v>44810</v>
      </c>
      <c r="C2277" s="1" t="n">
        <v>45358</v>
      </c>
      <c r="D2277" t="inlineStr">
        <is>
          <t>HALLANDS LÄN</t>
        </is>
      </c>
      <c r="E2277" t="inlineStr">
        <is>
          <t>HYLTE</t>
        </is>
      </c>
      <c r="G2277" t="n">
        <v>0.9</v>
      </c>
      <c r="H2277" t="n">
        <v>0</v>
      </c>
      <c r="I2277" t="n">
        <v>0</v>
      </c>
      <c r="J2277" t="n">
        <v>0</v>
      </c>
      <c r="K2277" t="n">
        <v>0</v>
      </c>
      <c r="L2277" t="n">
        <v>0</v>
      </c>
      <c r="M2277" t="n">
        <v>0</v>
      </c>
      <c r="N2277" t="n">
        <v>0</v>
      </c>
      <c r="O2277" t="n">
        <v>0</v>
      </c>
      <c r="P2277" t="n">
        <v>0</v>
      </c>
      <c r="Q2277" t="n">
        <v>0</v>
      </c>
      <c r="R2277" s="2" t="inlineStr"/>
    </row>
    <row r="2278" ht="15" customHeight="1">
      <c r="A2278" t="inlineStr">
        <is>
          <t>A 37725-2022</t>
        </is>
      </c>
      <c r="B2278" s="1" t="n">
        <v>44810</v>
      </c>
      <c r="C2278" s="1" t="n">
        <v>45358</v>
      </c>
      <c r="D2278" t="inlineStr">
        <is>
          <t>HALLANDS LÄN</t>
        </is>
      </c>
      <c r="E2278" t="inlineStr">
        <is>
          <t>LAHOLM</t>
        </is>
      </c>
      <c r="G2278" t="n">
        <v>3.7</v>
      </c>
      <c r="H2278" t="n">
        <v>0</v>
      </c>
      <c r="I2278" t="n">
        <v>0</v>
      </c>
      <c r="J2278" t="n">
        <v>0</v>
      </c>
      <c r="K2278" t="n">
        <v>0</v>
      </c>
      <c r="L2278" t="n">
        <v>0</v>
      </c>
      <c r="M2278" t="n">
        <v>0</v>
      </c>
      <c r="N2278" t="n">
        <v>0</v>
      </c>
      <c r="O2278" t="n">
        <v>0</v>
      </c>
      <c r="P2278" t="n">
        <v>0</v>
      </c>
      <c r="Q2278" t="n">
        <v>0</v>
      </c>
      <c r="R2278" s="2" t="inlineStr"/>
    </row>
    <row r="2279" ht="15" customHeight="1">
      <c r="A2279" t="inlineStr">
        <is>
          <t>A 37849-2022</t>
        </is>
      </c>
      <c r="B2279" s="1" t="n">
        <v>44811</v>
      </c>
      <c r="C2279" s="1" t="n">
        <v>45358</v>
      </c>
      <c r="D2279" t="inlineStr">
        <is>
          <t>HALLANDS LÄN</t>
        </is>
      </c>
      <c r="E2279" t="inlineStr">
        <is>
          <t>VARBERG</t>
        </is>
      </c>
      <c r="G2279" t="n">
        <v>1.3</v>
      </c>
      <c r="H2279" t="n">
        <v>0</v>
      </c>
      <c r="I2279" t="n">
        <v>0</v>
      </c>
      <c r="J2279" t="n">
        <v>0</v>
      </c>
      <c r="K2279" t="n">
        <v>0</v>
      </c>
      <c r="L2279" t="n">
        <v>0</v>
      </c>
      <c r="M2279" t="n">
        <v>0</v>
      </c>
      <c r="N2279" t="n">
        <v>0</v>
      </c>
      <c r="O2279" t="n">
        <v>0</v>
      </c>
      <c r="P2279" t="n">
        <v>0</v>
      </c>
      <c r="Q2279" t="n">
        <v>0</v>
      </c>
      <c r="R2279" s="2" t="inlineStr"/>
    </row>
    <row r="2280" ht="15" customHeight="1">
      <c r="A2280" t="inlineStr">
        <is>
          <t>A 37971-2022</t>
        </is>
      </c>
      <c r="B2280" s="1" t="n">
        <v>44811</v>
      </c>
      <c r="C2280" s="1" t="n">
        <v>45358</v>
      </c>
      <c r="D2280" t="inlineStr">
        <is>
          <t>HALLANDS LÄN</t>
        </is>
      </c>
      <c r="E2280" t="inlineStr">
        <is>
          <t>VARBERG</t>
        </is>
      </c>
      <c r="G2280" t="n">
        <v>2.2</v>
      </c>
      <c r="H2280" t="n">
        <v>0</v>
      </c>
      <c r="I2280" t="n">
        <v>0</v>
      </c>
      <c r="J2280" t="n">
        <v>0</v>
      </c>
      <c r="K2280" t="n">
        <v>0</v>
      </c>
      <c r="L2280" t="n">
        <v>0</v>
      </c>
      <c r="M2280" t="n">
        <v>0</v>
      </c>
      <c r="N2280" t="n">
        <v>0</v>
      </c>
      <c r="O2280" t="n">
        <v>0</v>
      </c>
      <c r="P2280" t="n">
        <v>0</v>
      </c>
      <c r="Q2280" t="n">
        <v>0</v>
      </c>
      <c r="R2280" s="2" t="inlineStr"/>
    </row>
    <row r="2281" ht="15" customHeight="1">
      <c r="A2281" t="inlineStr">
        <is>
          <t>A 38010-2022</t>
        </is>
      </c>
      <c r="B2281" s="1" t="n">
        <v>44811</v>
      </c>
      <c r="C2281" s="1" t="n">
        <v>45358</v>
      </c>
      <c r="D2281" t="inlineStr">
        <is>
          <t>HALLANDS LÄN</t>
        </is>
      </c>
      <c r="E2281" t="inlineStr">
        <is>
          <t>FALKENBERG</t>
        </is>
      </c>
      <c r="G2281" t="n">
        <v>0.8</v>
      </c>
      <c r="H2281" t="n">
        <v>0</v>
      </c>
      <c r="I2281" t="n">
        <v>0</v>
      </c>
      <c r="J2281" t="n">
        <v>0</v>
      </c>
      <c r="K2281" t="n">
        <v>0</v>
      </c>
      <c r="L2281" t="n">
        <v>0</v>
      </c>
      <c r="M2281" t="n">
        <v>0</v>
      </c>
      <c r="N2281" t="n">
        <v>0</v>
      </c>
      <c r="O2281" t="n">
        <v>0</v>
      </c>
      <c r="P2281" t="n">
        <v>0</v>
      </c>
      <c r="Q2281" t="n">
        <v>0</v>
      </c>
      <c r="R2281" s="2" t="inlineStr"/>
    </row>
    <row r="2282" ht="15" customHeight="1">
      <c r="A2282" t="inlineStr">
        <is>
          <t>A 38170-2022</t>
        </is>
      </c>
      <c r="B2282" s="1" t="n">
        <v>44812</v>
      </c>
      <c r="C2282" s="1" t="n">
        <v>45358</v>
      </c>
      <c r="D2282" t="inlineStr">
        <is>
          <t>HALLANDS LÄN</t>
        </is>
      </c>
      <c r="E2282" t="inlineStr">
        <is>
          <t>HYLTE</t>
        </is>
      </c>
      <c r="G2282" t="n">
        <v>0.5</v>
      </c>
      <c r="H2282" t="n">
        <v>0</v>
      </c>
      <c r="I2282" t="n">
        <v>0</v>
      </c>
      <c r="J2282" t="n">
        <v>0</v>
      </c>
      <c r="K2282" t="n">
        <v>0</v>
      </c>
      <c r="L2282" t="n">
        <v>0</v>
      </c>
      <c r="M2282" t="n">
        <v>0</v>
      </c>
      <c r="N2282" t="n">
        <v>0</v>
      </c>
      <c r="O2282" t="n">
        <v>0</v>
      </c>
      <c r="P2282" t="n">
        <v>0</v>
      </c>
      <c r="Q2282" t="n">
        <v>0</v>
      </c>
      <c r="R2282" s="2" t="inlineStr"/>
    </row>
    <row r="2283" ht="15" customHeight="1">
      <c r="A2283" t="inlineStr">
        <is>
          <t>A 38140-2022</t>
        </is>
      </c>
      <c r="B2283" s="1" t="n">
        <v>44812</v>
      </c>
      <c r="C2283" s="1" t="n">
        <v>45358</v>
      </c>
      <c r="D2283" t="inlineStr">
        <is>
          <t>HALLANDS LÄN</t>
        </is>
      </c>
      <c r="E2283" t="inlineStr">
        <is>
          <t>FALKENBERG</t>
        </is>
      </c>
      <c r="G2283" t="n">
        <v>2.7</v>
      </c>
      <c r="H2283" t="n">
        <v>0</v>
      </c>
      <c r="I2283" t="n">
        <v>0</v>
      </c>
      <c r="J2283" t="n">
        <v>0</v>
      </c>
      <c r="K2283" t="n">
        <v>0</v>
      </c>
      <c r="L2283" t="n">
        <v>0</v>
      </c>
      <c r="M2283" t="n">
        <v>0</v>
      </c>
      <c r="N2283" t="n">
        <v>0</v>
      </c>
      <c r="O2283" t="n">
        <v>0</v>
      </c>
      <c r="P2283" t="n">
        <v>0</v>
      </c>
      <c r="Q2283" t="n">
        <v>0</v>
      </c>
      <c r="R2283" s="2" t="inlineStr"/>
    </row>
    <row r="2284" ht="15" customHeight="1">
      <c r="A2284" t="inlineStr">
        <is>
          <t>A 38226-2022</t>
        </is>
      </c>
      <c r="B2284" s="1" t="n">
        <v>44812</v>
      </c>
      <c r="C2284" s="1" t="n">
        <v>45358</v>
      </c>
      <c r="D2284" t="inlineStr">
        <is>
          <t>HALLANDS LÄN</t>
        </is>
      </c>
      <c r="E2284" t="inlineStr">
        <is>
          <t>VARBERG</t>
        </is>
      </c>
      <c r="G2284" t="n">
        <v>1.7</v>
      </c>
      <c r="H2284" t="n">
        <v>0</v>
      </c>
      <c r="I2284" t="n">
        <v>0</v>
      </c>
      <c r="J2284" t="n">
        <v>0</v>
      </c>
      <c r="K2284" t="n">
        <v>0</v>
      </c>
      <c r="L2284" t="n">
        <v>0</v>
      </c>
      <c r="M2284" t="n">
        <v>0</v>
      </c>
      <c r="N2284" t="n">
        <v>0</v>
      </c>
      <c r="O2284" t="n">
        <v>0</v>
      </c>
      <c r="P2284" t="n">
        <v>0</v>
      </c>
      <c r="Q2284" t="n">
        <v>0</v>
      </c>
      <c r="R2284" s="2" t="inlineStr"/>
    </row>
    <row r="2285" ht="15" customHeight="1">
      <c r="A2285" t="inlineStr">
        <is>
          <t>A 38309-2022</t>
        </is>
      </c>
      <c r="B2285" s="1" t="n">
        <v>44812</v>
      </c>
      <c r="C2285" s="1" t="n">
        <v>45358</v>
      </c>
      <c r="D2285" t="inlineStr">
        <is>
          <t>HALLANDS LÄN</t>
        </is>
      </c>
      <c r="E2285" t="inlineStr">
        <is>
          <t>HALMSTAD</t>
        </is>
      </c>
      <c r="G2285" t="n">
        <v>1.2</v>
      </c>
      <c r="H2285" t="n">
        <v>0</v>
      </c>
      <c r="I2285" t="n">
        <v>0</v>
      </c>
      <c r="J2285" t="n">
        <v>0</v>
      </c>
      <c r="K2285" t="n">
        <v>0</v>
      </c>
      <c r="L2285" t="n">
        <v>0</v>
      </c>
      <c r="M2285" t="n">
        <v>0</v>
      </c>
      <c r="N2285" t="n">
        <v>0</v>
      </c>
      <c r="O2285" t="n">
        <v>0</v>
      </c>
      <c r="P2285" t="n">
        <v>0</v>
      </c>
      <c r="Q2285" t="n">
        <v>0</v>
      </c>
      <c r="R2285" s="2" t="inlineStr"/>
    </row>
    <row r="2286" ht="15" customHeight="1">
      <c r="A2286" t="inlineStr">
        <is>
          <t>A 38589-2022</t>
        </is>
      </c>
      <c r="B2286" s="1" t="n">
        <v>44813</v>
      </c>
      <c r="C2286" s="1" t="n">
        <v>45358</v>
      </c>
      <c r="D2286" t="inlineStr">
        <is>
          <t>HALLANDS LÄN</t>
        </is>
      </c>
      <c r="E2286" t="inlineStr">
        <is>
          <t>FALKENBERG</t>
        </is>
      </c>
      <c r="G2286" t="n">
        <v>5.6</v>
      </c>
      <c r="H2286" t="n">
        <v>0</v>
      </c>
      <c r="I2286" t="n">
        <v>0</v>
      </c>
      <c r="J2286" t="n">
        <v>0</v>
      </c>
      <c r="K2286" t="n">
        <v>0</v>
      </c>
      <c r="L2286" t="n">
        <v>0</v>
      </c>
      <c r="M2286" t="n">
        <v>0</v>
      </c>
      <c r="N2286" t="n">
        <v>0</v>
      </c>
      <c r="O2286" t="n">
        <v>0</v>
      </c>
      <c r="P2286" t="n">
        <v>0</v>
      </c>
      <c r="Q2286" t="n">
        <v>0</v>
      </c>
      <c r="R2286" s="2" t="inlineStr"/>
    </row>
    <row r="2287" ht="15" customHeight="1">
      <c r="A2287" t="inlineStr">
        <is>
          <t>A 38602-2022</t>
        </is>
      </c>
      <c r="B2287" s="1" t="n">
        <v>44813</v>
      </c>
      <c r="C2287" s="1" t="n">
        <v>45358</v>
      </c>
      <c r="D2287" t="inlineStr">
        <is>
          <t>HALLANDS LÄN</t>
        </is>
      </c>
      <c r="E2287" t="inlineStr">
        <is>
          <t>HYLTE</t>
        </is>
      </c>
      <c r="G2287" t="n">
        <v>2.6</v>
      </c>
      <c r="H2287" t="n">
        <v>0</v>
      </c>
      <c r="I2287" t="n">
        <v>0</v>
      </c>
      <c r="J2287" t="n">
        <v>0</v>
      </c>
      <c r="K2287" t="n">
        <v>0</v>
      </c>
      <c r="L2287" t="n">
        <v>0</v>
      </c>
      <c r="M2287" t="n">
        <v>0</v>
      </c>
      <c r="N2287" t="n">
        <v>0</v>
      </c>
      <c r="O2287" t="n">
        <v>0</v>
      </c>
      <c r="P2287" t="n">
        <v>0</v>
      </c>
      <c r="Q2287" t="n">
        <v>0</v>
      </c>
      <c r="R2287" s="2" t="inlineStr"/>
    </row>
    <row r="2288" ht="15" customHeight="1">
      <c r="A2288" t="inlineStr">
        <is>
          <t>A 38582-2022</t>
        </is>
      </c>
      <c r="B2288" s="1" t="n">
        <v>44813</v>
      </c>
      <c r="C2288" s="1" t="n">
        <v>45358</v>
      </c>
      <c r="D2288" t="inlineStr">
        <is>
          <t>HALLANDS LÄN</t>
        </is>
      </c>
      <c r="E2288" t="inlineStr">
        <is>
          <t>FALKENBERG</t>
        </is>
      </c>
      <c r="G2288" t="n">
        <v>1.3</v>
      </c>
      <c r="H2288" t="n">
        <v>0</v>
      </c>
      <c r="I2288" t="n">
        <v>0</v>
      </c>
      <c r="J2288" t="n">
        <v>0</v>
      </c>
      <c r="K2288" t="n">
        <v>0</v>
      </c>
      <c r="L2288" t="n">
        <v>0</v>
      </c>
      <c r="M2288" t="n">
        <v>0</v>
      </c>
      <c r="N2288" t="n">
        <v>0</v>
      </c>
      <c r="O2288" t="n">
        <v>0</v>
      </c>
      <c r="P2288" t="n">
        <v>0</v>
      </c>
      <c r="Q2288" t="n">
        <v>0</v>
      </c>
      <c r="R2288" s="2" t="inlineStr"/>
    </row>
    <row r="2289" ht="15" customHeight="1">
      <c r="A2289" t="inlineStr">
        <is>
          <t>A 38600-2022</t>
        </is>
      </c>
      <c r="B2289" s="1" t="n">
        <v>44813</v>
      </c>
      <c r="C2289" s="1" t="n">
        <v>45358</v>
      </c>
      <c r="D2289" t="inlineStr">
        <is>
          <t>HALLANDS LÄN</t>
        </is>
      </c>
      <c r="E2289" t="inlineStr">
        <is>
          <t>HYLTE</t>
        </is>
      </c>
      <c r="G2289" t="n">
        <v>2.5</v>
      </c>
      <c r="H2289" t="n">
        <v>0</v>
      </c>
      <c r="I2289" t="n">
        <v>0</v>
      </c>
      <c r="J2289" t="n">
        <v>0</v>
      </c>
      <c r="K2289" t="n">
        <v>0</v>
      </c>
      <c r="L2289" t="n">
        <v>0</v>
      </c>
      <c r="M2289" t="n">
        <v>0</v>
      </c>
      <c r="N2289" t="n">
        <v>0</v>
      </c>
      <c r="O2289" t="n">
        <v>0</v>
      </c>
      <c r="P2289" t="n">
        <v>0</v>
      </c>
      <c r="Q2289" t="n">
        <v>0</v>
      </c>
      <c r="R2289" s="2" t="inlineStr"/>
    </row>
    <row r="2290" ht="15" customHeight="1">
      <c r="A2290" t="inlineStr">
        <is>
          <t>A 38642-2022</t>
        </is>
      </c>
      <c r="B2290" s="1" t="n">
        <v>44813</v>
      </c>
      <c r="C2290" s="1" t="n">
        <v>45358</v>
      </c>
      <c r="D2290" t="inlineStr">
        <is>
          <t>HALLANDS LÄN</t>
        </is>
      </c>
      <c r="E2290" t="inlineStr">
        <is>
          <t>HYLTE</t>
        </is>
      </c>
      <c r="G2290" t="n">
        <v>3.8</v>
      </c>
      <c r="H2290" t="n">
        <v>0</v>
      </c>
      <c r="I2290" t="n">
        <v>0</v>
      </c>
      <c r="J2290" t="n">
        <v>0</v>
      </c>
      <c r="K2290" t="n">
        <v>0</v>
      </c>
      <c r="L2290" t="n">
        <v>0</v>
      </c>
      <c r="M2290" t="n">
        <v>0</v>
      </c>
      <c r="N2290" t="n">
        <v>0</v>
      </c>
      <c r="O2290" t="n">
        <v>0</v>
      </c>
      <c r="P2290" t="n">
        <v>0</v>
      </c>
      <c r="Q2290" t="n">
        <v>0</v>
      </c>
      <c r="R2290" s="2" t="inlineStr"/>
    </row>
    <row r="2291" ht="15" customHeight="1">
      <c r="A2291" t="inlineStr">
        <is>
          <t>A 38804-2022</t>
        </is>
      </c>
      <c r="B2291" s="1" t="n">
        <v>44816</v>
      </c>
      <c r="C2291" s="1" t="n">
        <v>45358</v>
      </c>
      <c r="D2291" t="inlineStr">
        <is>
          <t>HALLANDS LÄN</t>
        </is>
      </c>
      <c r="E2291" t="inlineStr">
        <is>
          <t>FALKENBERG</t>
        </is>
      </c>
      <c r="G2291" t="n">
        <v>3.8</v>
      </c>
      <c r="H2291" t="n">
        <v>0</v>
      </c>
      <c r="I2291" t="n">
        <v>0</v>
      </c>
      <c r="J2291" t="n">
        <v>0</v>
      </c>
      <c r="K2291" t="n">
        <v>0</v>
      </c>
      <c r="L2291" t="n">
        <v>0</v>
      </c>
      <c r="M2291" t="n">
        <v>0</v>
      </c>
      <c r="N2291" t="n">
        <v>0</v>
      </c>
      <c r="O2291" t="n">
        <v>0</v>
      </c>
      <c r="P2291" t="n">
        <v>0</v>
      </c>
      <c r="Q2291" t="n">
        <v>0</v>
      </c>
      <c r="R2291" s="2" t="inlineStr"/>
    </row>
    <row r="2292" ht="15" customHeight="1">
      <c r="A2292" t="inlineStr">
        <is>
          <t>A 39143-2022</t>
        </is>
      </c>
      <c r="B2292" s="1" t="n">
        <v>44817</v>
      </c>
      <c r="C2292" s="1" t="n">
        <v>45358</v>
      </c>
      <c r="D2292" t="inlineStr">
        <is>
          <t>HALLANDS LÄN</t>
        </is>
      </c>
      <c r="E2292" t="inlineStr">
        <is>
          <t>HYLTE</t>
        </is>
      </c>
      <c r="G2292" t="n">
        <v>1.9</v>
      </c>
      <c r="H2292" t="n">
        <v>0</v>
      </c>
      <c r="I2292" t="n">
        <v>0</v>
      </c>
      <c r="J2292" t="n">
        <v>0</v>
      </c>
      <c r="K2292" t="n">
        <v>0</v>
      </c>
      <c r="L2292" t="n">
        <v>0</v>
      </c>
      <c r="M2292" t="n">
        <v>0</v>
      </c>
      <c r="N2292" t="n">
        <v>0</v>
      </c>
      <c r="O2292" t="n">
        <v>0</v>
      </c>
      <c r="P2292" t="n">
        <v>0</v>
      </c>
      <c r="Q2292" t="n">
        <v>0</v>
      </c>
      <c r="R2292" s="2" t="inlineStr"/>
    </row>
    <row r="2293" ht="15" customHeight="1">
      <c r="A2293" t="inlineStr">
        <is>
          <t>A 39274-2022</t>
        </is>
      </c>
      <c r="B2293" s="1" t="n">
        <v>44817</v>
      </c>
      <c r="C2293" s="1" t="n">
        <v>45358</v>
      </c>
      <c r="D2293" t="inlineStr">
        <is>
          <t>HALLANDS LÄN</t>
        </is>
      </c>
      <c r="E2293" t="inlineStr">
        <is>
          <t>HALMSTAD</t>
        </is>
      </c>
      <c r="G2293" t="n">
        <v>2.9</v>
      </c>
      <c r="H2293" t="n">
        <v>0</v>
      </c>
      <c r="I2293" t="n">
        <v>0</v>
      </c>
      <c r="J2293" t="n">
        <v>0</v>
      </c>
      <c r="K2293" t="n">
        <v>0</v>
      </c>
      <c r="L2293" t="n">
        <v>0</v>
      </c>
      <c r="M2293" t="n">
        <v>0</v>
      </c>
      <c r="N2293" t="n">
        <v>0</v>
      </c>
      <c r="O2293" t="n">
        <v>0</v>
      </c>
      <c r="P2293" t="n">
        <v>0</v>
      </c>
      <c r="Q2293" t="n">
        <v>0</v>
      </c>
      <c r="R2293" s="2" t="inlineStr"/>
    </row>
    <row r="2294" ht="15" customHeight="1">
      <c r="A2294" t="inlineStr">
        <is>
          <t>A 39466-2022</t>
        </is>
      </c>
      <c r="B2294" s="1" t="n">
        <v>44818</v>
      </c>
      <c r="C2294" s="1" t="n">
        <v>45358</v>
      </c>
      <c r="D2294" t="inlineStr">
        <is>
          <t>HALLANDS LÄN</t>
        </is>
      </c>
      <c r="E2294" t="inlineStr">
        <is>
          <t>VARBERG</t>
        </is>
      </c>
      <c r="G2294" t="n">
        <v>3.4</v>
      </c>
      <c r="H2294" t="n">
        <v>0</v>
      </c>
      <c r="I2294" t="n">
        <v>0</v>
      </c>
      <c r="J2294" t="n">
        <v>0</v>
      </c>
      <c r="K2294" t="n">
        <v>0</v>
      </c>
      <c r="L2294" t="n">
        <v>0</v>
      </c>
      <c r="M2294" t="n">
        <v>0</v>
      </c>
      <c r="N2294" t="n">
        <v>0</v>
      </c>
      <c r="O2294" t="n">
        <v>0</v>
      </c>
      <c r="P2294" t="n">
        <v>0</v>
      </c>
      <c r="Q2294" t="n">
        <v>0</v>
      </c>
      <c r="R2294" s="2" t="inlineStr"/>
    </row>
    <row r="2295" ht="15" customHeight="1">
      <c r="A2295" t="inlineStr">
        <is>
          <t>A 39461-2022</t>
        </is>
      </c>
      <c r="B2295" s="1" t="n">
        <v>44818</v>
      </c>
      <c r="C2295" s="1" t="n">
        <v>45358</v>
      </c>
      <c r="D2295" t="inlineStr">
        <is>
          <t>HALLANDS LÄN</t>
        </is>
      </c>
      <c r="E2295" t="inlineStr">
        <is>
          <t>VARBERG</t>
        </is>
      </c>
      <c r="G2295" t="n">
        <v>3.2</v>
      </c>
      <c r="H2295" t="n">
        <v>0</v>
      </c>
      <c r="I2295" t="n">
        <v>0</v>
      </c>
      <c r="J2295" t="n">
        <v>0</v>
      </c>
      <c r="K2295" t="n">
        <v>0</v>
      </c>
      <c r="L2295" t="n">
        <v>0</v>
      </c>
      <c r="M2295" t="n">
        <v>0</v>
      </c>
      <c r="N2295" t="n">
        <v>0</v>
      </c>
      <c r="O2295" t="n">
        <v>0</v>
      </c>
      <c r="P2295" t="n">
        <v>0</v>
      </c>
      <c r="Q2295" t="n">
        <v>0</v>
      </c>
      <c r="R2295" s="2" t="inlineStr"/>
    </row>
    <row r="2296" ht="15" customHeight="1">
      <c r="A2296" t="inlineStr">
        <is>
          <t>A 39464-2022</t>
        </is>
      </c>
      <c r="B2296" s="1" t="n">
        <v>44818</v>
      </c>
      <c r="C2296" s="1" t="n">
        <v>45358</v>
      </c>
      <c r="D2296" t="inlineStr">
        <is>
          <t>HALLANDS LÄN</t>
        </is>
      </c>
      <c r="E2296" t="inlineStr">
        <is>
          <t>VARBERG</t>
        </is>
      </c>
      <c r="G2296" t="n">
        <v>2.5</v>
      </c>
      <c r="H2296" t="n">
        <v>0</v>
      </c>
      <c r="I2296" t="n">
        <v>0</v>
      </c>
      <c r="J2296" t="n">
        <v>0</v>
      </c>
      <c r="K2296" t="n">
        <v>0</v>
      </c>
      <c r="L2296" t="n">
        <v>0</v>
      </c>
      <c r="M2296" t="n">
        <v>0</v>
      </c>
      <c r="N2296" t="n">
        <v>0</v>
      </c>
      <c r="O2296" t="n">
        <v>0</v>
      </c>
      <c r="P2296" t="n">
        <v>0</v>
      </c>
      <c r="Q2296" t="n">
        <v>0</v>
      </c>
      <c r="R2296" s="2" t="inlineStr"/>
    </row>
    <row r="2297" ht="15" customHeight="1">
      <c r="A2297" t="inlineStr">
        <is>
          <t>A 39505-2022</t>
        </is>
      </c>
      <c r="B2297" s="1" t="n">
        <v>44818</v>
      </c>
      <c r="C2297" s="1" t="n">
        <v>45358</v>
      </c>
      <c r="D2297" t="inlineStr">
        <is>
          <t>HALLANDS LÄN</t>
        </is>
      </c>
      <c r="E2297" t="inlineStr">
        <is>
          <t>HALMSTAD</t>
        </is>
      </c>
      <c r="G2297" t="n">
        <v>2.3</v>
      </c>
      <c r="H2297" t="n">
        <v>0</v>
      </c>
      <c r="I2297" t="n">
        <v>0</v>
      </c>
      <c r="J2297" t="n">
        <v>0</v>
      </c>
      <c r="K2297" t="n">
        <v>0</v>
      </c>
      <c r="L2297" t="n">
        <v>0</v>
      </c>
      <c r="M2297" t="n">
        <v>0</v>
      </c>
      <c r="N2297" t="n">
        <v>0</v>
      </c>
      <c r="O2297" t="n">
        <v>0</v>
      </c>
      <c r="P2297" t="n">
        <v>0</v>
      </c>
      <c r="Q2297" t="n">
        <v>0</v>
      </c>
      <c r="R2297" s="2" t="inlineStr"/>
    </row>
    <row r="2298" ht="15" customHeight="1">
      <c r="A2298" t="inlineStr">
        <is>
          <t>A 39550-2022</t>
        </is>
      </c>
      <c r="B2298" s="1" t="n">
        <v>44818</v>
      </c>
      <c r="C2298" s="1" t="n">
        <v>45358</v>
      </c>
      <c r="D2298" t="inlineStr">
        <is>
          <t>HALLANDS LÄN</t>
        </is>
      </c>
      <c r="E2298" t="inlineStr">
        <is>
          <t>HYLTE</t>
        </is>
      </c>
      <c r="G2298" t="n">
        <v>0.5</v>
      </c>
      <c r="H2298" t="n">
        <v>0</v>
      </c>
      <c r="I2298" t="n">
        <v>0</v>
      </c>
      <c r="J2298" t="n">
        <v>0</v>
      </c>
      <c r="K2298" t="n">
        <v>0</v>
      </c>
      <c r="L2298" t="n">
        <v>0</v>
      </c>
      <c r="M2298" t="n">
        <v>0</v>
      </c>
      <c r="N2298" t="n">
        <v>0</v>
      </c>
      <c r="O2298" t="n">
        <v>0</v>
      </c>
      <c r="P2298" t="n">
        <v>0</v>
      </c>
      <c r="Q2298" t="n">
        <v>0</v>
      </c>
      <c r="R2298" s="2" t="inlineStr"/>
    </row>
    <row r="2299" ht="15" customHeight="1">
      <c r="A2299" t="inlineStr">
        <is>
          <t>A 39593-2022</t>
        </is>
      </c>
      <c r="B2299" s="1" t="n">
        <v>44818</v>
      </c>
      <c r="C2299" s="1" t="n">
        <v>45358</v>
      </c>
      <c r="D2299" t="inlineStr">
        <is>
          <t>HALLANDS LÄN</t>
        </is>
      </c>
      <c r="E2299" t="inlineStr">
        <is>
          <t>FALKENBERG</t>
        </is>
      </c>
      <c r="F2299" t="inlineStr">
        <is>
          <t>Bergvik skog väst AB</t>
        </is>
      </c>
      <c r="G2299" t="n">
        <v>3.1</v>
      </c>
      <c r="H2299" t="n">
        <v>0</v>
      </c>
      <c r="I2299" t="n">
        <v>0</v>
      </c>
      <c r="J2299" t="n">
        <v>0</v>
      </c>
      <c r="K2299" t="n">
        <v>0</v>
      </c>
      <c r="L2299" t="n">
        <v>0</v>
      </c>
      <c r="M2299" t="n">
        <v>0</v>
      </c>
      <c r="N2299" t="n">
        <v>0</v>
      </c>
      <c r="O2299" t="n">
        <v>0</v>
      </c>
      <c r="P2299" t="n">
        <v>0</v>
      </c>
      <c r="Q2299" t="n">
        <v>0</v>
      </c>
      <c r="R2299" s="2" t="inlineStr"/>
    </row>
    <row r="2300" ht="15" customHeight="1">
      <c r="A2300" t="inlineStr">
        <is>
          <t>A 39604-2022</t>
        </is>
      </c>
      <c r="B2300" s="1" t="n">
        <v>44818</v>
      </c>
      <c r="C2300" s="1" t="n">
        <v>45358</v>
      </c>
      <c r="D2300" t="inlineStr">
        <is>
          <t>HALLANDS LÄN</t>
        </is>
      </c>
      <c r="E2300" t="inlineStr">
        <is>
          <t>FALKENBERG</t>
        </is>
      </c>
      <c r="F2300" t="inlineStr">
        <is>
          <t>Bergvik skog väst AB</t>
        </is>
      </c>
      <c r="G2300" t="n">
        <v>2</v>
      </c>
      <c r="H2300" t="n">
        <v>0</v>
      </c>
      <c r="I2300" t="n">
        <v>0</v>
      </c>
      <c r="J2300" t="n">
        <v>0</v>
      </c>
      <c r="K2300" t="n">
        <v>0</v>
      </c>
      <c r="L2300" t="n">
        <v>0</v>
      </c>
      <c r="M2300" t="n">
        <v>0</v>
      </c>
      <c r="N2300" t="n">
        <v>0</v>
      </c>
      <c r="O2300" t="n">
        <v>0</v>
      </c>
      <c r="P2300" t="n">
        <v>0</v>
      </c>
      <c r="Q2300" t="n">
        <v>0</v>
      </c>
      <c r="R2300" s="2" t="inlineStr"/>
    </row>
    <row r="2301" ht="15" customHeight="1">
      <c r="A2301" t="inlineStr">
        <is>
          <t>A 40582-2022</t>
        </is>
      </c>
      <c r="B2301" s="1" t="n">
        <v>44819</v>
      </c>
      <c r="C2301" s="1" t="n">
        <v>45358</v>
      </c>
      <c r="D2301" t="inlineStr">
        <is>
          <t>HALLANDS LÄN</t>
        </is>
      </c>
      <c r="E2301" t="inlineStr">
        <is>
          <t>KUNGSBACKA</t>
        </is>
      </c>
      <c r="G2301" t="n">
        <v>4.1</v>
      </c>
      <c r="H2301" t="n">
        <v>0</v>
      </c>
      <c r="I2301" t="n">
        <v>0</v>
      </c>
      <c r="J2301" t="n">
        <v>0</v>
      </c>
      <c r="K2301" t="n">
        <v>0</v>
      </c>
      <c r="L2301" t="n">
        <v>0</v>
      </c>
      <c r="M2301" t="n">
        <v>0</v>
      </c>
      <c r="N2301" t="n">
        <v>0</v>
      </c>
      <c r="O2301" t="n">
        <v>0</v>
      </c>
      <c r="P2301" t="n">
        <v>0</v>
      </c>
      <c r="Q2301" t="n">
        <v>0</v>
      </c>
      <c r="R2301" s="2" t="inlineStr"/>
    </row>
    <row r="2302" ht="15" customHeight="1">
      <c r="A2302" t="inlineStr">
        <is>
          <t>A 40396-2022</t>
        </is>
      </c>
      <c r="B2302" s="1" t="n">
        <v>44823</v>
      </c>
      <c r="C2302" s="1" t="n">
        <v>45358</v>
      </c>
      <c r="D2302" t="inlineStr">
        <is>
          <t>HALLANDS LÄN</t>
        </is>
      </c>
      <c r="E2302" t="inlineStr">
        <is>
          <t>HALMSTAD</t>
        </is>
      </c>
      <c r="G2302" t="n">
        <v>1.2</v>
      </c>
      <c r="H2302" t="n">
        <v>0</v>
      </c>
      <c r="I2302" t="n">
        <v>0</v>
      </c>
      <c r="J2302" t="n">
        <v>0</v>
      </c>
      <c r="K2302" t="n">
        <v>0</v>
      </c>
      <c r="L2302" t="n">
        <v>0</v>
      </c>
      <c r="M2302" t="n">
        <v>0</v>
      </c>
      <c r="N2302" t="n">
        <v>0</v>
      </c>
      <c r="O2302" t="n">
        <v>0</v>
      </c>
      <c r="P2302" t="n">
        <v>0</v>
      </c>
      <c r="Q2302" t="n">
        <v>0</v>
      </c>
      <c r="R2302" s="2" t="inlineStr"/>
    </row>
    <row r="2303" ht="15" customHeight="1">
      <c r="A2303" t="inlineStr">
        <is>
          <t>A 40398-2022</t>
        </is>
      </c>
      <c r="B2303" s="1" t="n">
        <v>44823</v>
      </c>
      <c r="C2303" s="1" t="n">
        <v>45358</v>
      </c>
      <c r="D2303" t="inlineStr">
        <is>
          <t>HALLANDS LÄN</t>
        </is>
      </c>
      <c r="E2303" t="inlineStr">
        <is>
          <t>HALMSTAD</t>
        </is>
      </c>
      <c r="G2303" t="n">
        <v>2.7</v>
      </c>
      <c r="H2303" t="n">
        <v>0</v>
      </c>
      <c r="I2303" t="n">
        <v>0</v>
      </c>
      <c r="J2303" t="n">
        <v>0</v>
      </c>
      <c r="K2303" t="n">
        <v>0</v>
      </c>
      <c r="L2303" t="n">
        <v>0</v>
      </c>
      <c r="M2303" t="n">
        <v>0</v>
      </c>
      <c r="N2303" t="n">
        <v>0</v>
      </c>
      <c r="O2303" t="n">
        <v>0</v>
      </c>
      <c r="P2303" t="n">
        <v>0</v>
      </c>
      <c r="Q2303" t="n">
        <v>0</v>
      </c>
      <c r="R2303" s="2" t="inlineStr"/>
    </row>
    <row r="2304" ht="15" customHeight="1">
      <c r="A2304" t="inlineStr">
        <is>
          <t>A 40450-2022</t>
        </is>
      </c>
      <c r="B2304" s="1" t="n">
        <v>44823</v>
      </c>
      <c r="C2304" s="1" t="n">
        <v>45358</v>
      </c>
      <c r="D2304" t="inlineStr">
        <is>
          <t>HALLANDS LÄN</t>
        </is>
      </c>
      <c r="E2304" t="inlineStr">
        <is>
          <t>HYLTE</t>
        </is>
      </c>
      <c r="G2304" t="n">
        <v>0.6</v>
      </c>
      <c r="H2304" t="n">
        <v>0</v>
      </c>
      <c r="I2304" t="n">
        <v>0</v>
      </c>
      <c r="J2304" t="n">
        <v>0</v>
      </c>
      <c r="K2304" t="n">
        <v>0</v>
      </c>
      <c r="L2304" t="n">
        <v>0</v>
      </c>
      <c r="M2304" t="n">
        <v>0</v>
      </c>
      <c r="N2304" t="n">
        <v>0</v>
      </c>
      <c r="O2304" t="n">
        <v>0</v>
      </c>
      <c r="P2304" t="n">
        <v>0</v>
      </c>
      <c r="Q2304" t="n">
        <v>0</v>
      </c>
      <c r="R2304" s="2" t="inlineStr"/>
    </row>
    <row r="2305" ht="15" customHeight="1">
      <c r="A2305" t="inlineStr">
        <is>
          <t>A 40451-2022</t>
        </is>
      </c>
      <c r="B2305" s="1" t="n">
        <v>44823</v>
      </c>
      <c r="C2305" s="1" t="n">
        <v>45358</v>
      </c>
      <c r="D2305" t="inlineStr">
        <is>
          <t>HALLANDS LÄN</t>
        </is>
      </c>
      <c r="E2305" t="inlineStr">
        <is>
          <t>HYLTE</t>
        </is>
      </c>
      <c r="G2305" t="n">
        <v>7.4</v>
      </c>
      <c r="H2305" t="n">
        <v>0</v>
      </c>
      <c r="I2305" t="n">
        <v>0</v>
      </c>
      <c r="J2305" t="n">
        <v>0</v>
      </c>
      <c r="K2305" t="n">
        <v>0</v>
      </c>
      <c r="L2305" t="n">
        <v>0</v>
      </c>
      <c r="M2305" t="n">
        <v>0</v>
      </c>
      <c r="N2305" t="n">
        <v>0</v>
      </c>
      <c r="O2305" t="n">
        <v>0</v>
      </c>
      <c r="P2305" t="n">
        <v>0</v>
      </c>
      <c r="Q2305" t="n">
        <v>0</v>
      </c>
      <c r="R2305" s="2" t="inlineStr"/>
    </row>
    <row r="2306" ht="15" customHeight="1">
      <c r="A2306" t="inlineStr">
        <is>
          <t>A 40408-2022</t>
        </is>
      </c>
      <c r="B2306" s="1" t="n">
        <v>44823</v>
      </c>
      <c r="C2306" s="1" t="n">
        <v>45358</v>
      </c>
      <c r="D2306" t="inlineStr">
        <is>
          <t>HALLANDS LÄN</t>
        </is>
      </c>
      <c r="E2306" t="inlineStr">
        <is>
          <t>HALMSTAD</t>
        </is>
      </c>
      <c r="G2306" t="n">
        <v>0.8</v>
      </c>
      <c r="H2306" t="n">
        <v>0</v>
      </c>
      <c r="I2306" t="n">
        <v>0</v>
      </c>
      <c r="J2306" t="n">
        <v>0</v>
      </c>
      <c r="K2306" t="n">
        <v>0</v>
      </c>
      <c r="L2306" t="n">
        <v>0</v>
      </c>
      <c r="M2306" t="n">
        <v>0</v>
      </c>
      <c r="N2306" t="n">
        <v>0</v>
      </c>
      <c r="O2306" t="n">
        <v>0</v>
      </c>
      <c r="P2306" t="n">
        <v>0</v>
      </c>
      <c r="Q2306" t="n">
        <v>0</v>
      </c>
      <c r="R2306" s="2" t="inlineStr"/>
    </row>
    <row r="2307" ht="15" customHeight="1">
      <c r="A2307" t="inlineStr">
        <is>
          <t>A 40760-2022</t>
        </is>
      </c>
      <c r="B2307" s="1" t="n">
        <v>44824</v>
      </c>
      <c r="C2307" s="1" t="n">
        <v>45358</v>
      </c>
      <c r="D2307" t="inlineStr">
        <is>
          <t>HALLANDS LÄN</t>
        </is>
      </c>
      <c r="E2307" t="inlineStr">
        <is>
          <t>KUNGSBACKA</t>
        </is>
      </c>
      <c r="G2307" t="n">
        <v>1.9</v>
      </c>
      <c r="H2307" t="n">
        <v>0</v>
      </c>
      <c r="I2307" t="n">
        <v>0</v>
      </c>
      <c r="J2307" t="n">
        <v>0</v>
      </c>
      <c r="K2307" t="n">
        <v>0</v>
      </c>
      <c r="L2307" t="n">
        <v>0</v>
      </c>
      <c r="M2307" t="n">
        <v>0</v>
      </c>
      <c r="N2307" t="n">
        <v>0</v>
      </c>
      <c r="O2307" t="n">
        <v>0</v>
      </c>
      <c r="P2307" t="n">
        <v>0</v>
      </c>
      <c r="Q2307" t="n">
        <v>0</v>
      </c>
      <c r="R2307" s="2" t="inlineStr"/>
    </row>
    <row r="2308" ht="15" customHeight="1">
      <c r="A2308" t="inlineStr">
        <is>
          <t>A 41341-2022</t>
        </is>
      </c>
      <c r="B2308" s="1" t="n">
        <v>44824</v>
      </c>
      <c r="C2308" s="1" t="n">
        <v>45358</v>
      </c>
      <c r="D2308" t="inlineStr">
        <is>
          <t>HALLANDS LÄN</t>
        </is>
      </c>
      <c r="E2308" t="inlineStr">
        <is>
          <t>VARBERG</t>
        </is>
      </c>
      <c r="G2308" t="n">
        <v>1.4</v>
      </c>
      <c r="H2308" t="n">
        <v>0</v>
      </c>
      <c r="I2308" t="n">
        <v>0</v>
      </c>
      <c r="J2308" t="n">
        <v>0</v>
      </c>
      <c r="K2308" t="n">
        <v>0</v>
      </c>
      <c r="L2308" t="n">
        <v>0</v>
      </c>
      <c r="M2308" t="n">
        <v>0</v>
      </c>
      <c r="N2308" t="n">
        <v>0</v>
      </c>
      <c r="O2308" t="n">
        <v>0</v>
      </c>
      <c r="P2308" t="n">
        <v>0</v>
      </c>
      <c r="Q2308" t="n">
        <v>0</v>
      </c>
      <c r="R2308" s="2" t="inlineStr"/>
    </row>
    <row r="2309" ht="15" customHeight="1">
      <c r="A2309" t="inlineStr">
        <is>
          <t>A 41238-2022</t>
        </is>
      </c>
      <c r="B2309" s="1" t="n">
        <v>44826</v>
      </c>
      <c r="C2309" s="1" t="n">
        <v>45358</v>
      </c>
      <c r="D2309" t="inlineStr">
        <is>
          <t>HALLANDS LÄN</t>
        </is>
      </c>
      <c r="E2309" t="inlineStr">
        <is>
          <t>HYLTE</t>
        </is>
      </c>
      <c r="G2309" t="n">
        <v>1.1</v>
      </c>
      <c r="H2309" t="n">
        <v>0</v>
      </c>
      <c r="I2309" t="n">
        <v>0</v>
      </c>
      <c r="J2309" t="n">
        <v>0</v>
      </c>
      <c r="K2309" t="n">
        <v>0</v>
      </c>
      <c r="L2309" t="n">
        <v>0</v>
      </c>
      <c r="M2309" t="n">
        <v>0</v>
      </c>
      <c r="N2309" t="n">
        <v>0</v>
      </c>
      <c r="O2309" t="n">
        <v>0</v>
      </c>
      <c r="P2309" t="n">
        <v>0</v>
      </c>
      <c r="Q2309" t="n">
        <v>0</v>
      </c>
      <c r="R2309" s="2" t="inlineStr"/>
    </row>
    <row r="2310" ht="15" customHeight="1">
      <c r="A2310" t="inlineStr">
        <is>
          <t>A 41523-2022</t>
        </is>
      </c>
      <c r="B2310" s="1" t="n">
        <v>44827</v>
      </c>
      <c r="C2310" s="1" t="n">
        <v>45358</v>
      </c>
      <c r="D2310" t="inlineStr">
        <is>
          <t>HALLANDS LÄN</t>
        </is>
      </c>
      <c r="E2310" t="inlineStr">
        <is>
          <t>FALKENBERG</t>
        </is>
      </c>
      <c r="G2310" t="n">
        <v>0.9</v>
      </c>
      <c r="H2310" t="n">
        <v>0</v>
      </c>
      <c r="I2310" t="n">
        <v>0</v>
      </c>
      <c r="J2310" t="n">
        <v>0</v>
      </c>
      <c r="K2310" t="n">
        <v>0</v>
      </c>
      <c r="L2310" t="n">
        <v>0</v>
      </c>
      <c r="M2310" t="n">
        <v>0</v>
      </c>
      <c r="N2310" t="n">
        <v>0</v>
      </c>
      <c r="O2310" t="n">
        <v>0</v>
      </c>
      <c r="P2310" t="n">
        <v>0</v>
      </c>
      <c r="Q2310" t="n">
        <v>0</v>
      </c>
      <c r="R2310" s="2" t="inlineStr"/>
    </row>
    <row r="2311" ht="15" customHeight="1">
      <c r="A2311" t="inlineStr">
        <is>
          <t>A 41629-2022</t>
        </is>
      </c>
      <c r="B2311" s="1" t="n">
        <v>44827</v>
      </c>
      <c r="C2311" s="1" t="n">
        <v>45358</v>
      </c>
      <c r="D2311" t="inlineStr">
        <is>
          <t>HALLANDS LÄN</t>
        </is>
      </c>
      <c r="E2311" t="inlineStr">
        <is>
          <t>VARBERG</t>
        </is>
      </c>
      <c r="G2311" t="n">
        <v>1.2</v>
      </c>
      <c r="H2311" t="n">
        <v>0</v>
      </c>
      <c r="I2311" t="n">
        <v>0</v>
      </c>
      <c r="J2311" t="n">
        <v>0</v>
      </c>
      <c r="K2311" t="n">
        <v>0</v>
      </c>
      <c r="L2311" t="n">
        <v>0</v>
      </c>
      <c r="M2311" t="n">
        <v>0</v>
      </c>
      <c r="N2311" t="n">
        <v>0</v>
      </c>
      <c r="O2311" t="n">
        <v>0</v>
      </c>
      <c r="P2311" t="n">
        <v>0</v>
      </c>
      <c r="Q2311" t="n">
        <v>0</v>
      </c>
      <c r="R2311" s="2" t="inlineStr"/>
    </row>
    <row r="2312" ht="15" customHeight="1">
      <c r="A2312" t="inlineStr">
        <is>
          <t>A 41568-2022</t>
        </is>
      </c>
      <c r="B2312" s="1" t="n">
        <v>44827</v>
      </c>
      <c r="C2312" s="1" t="n">
        <v>45358</v>
      </c>
      <c r="D2312" t="inlineStr">
        <is>
          <t>HALLANDS LÄN</t>
        </is>
      </c>
      <c r="E2312" t="inlineStr">
        <is>
          <t>LAHOLM</t>
        </is>
      </c>
      <c r="G2312" t="n">
        <v>0.7</v>
      </c>
      <c r="H2312" t="n">
        <v>0</v>
      </c>
      <c r="I2312" t="n">
        <v>0</v>
      </c>
      <c r="J2312" t="n">
        <v>0</v>
      </c>
      <c r="K2312" t="n">
        <v>0</v>
      </c>
      <c r="L2312" t="n">
        <v>0</v>
      </c>
      <c r="M2312" t="n">
        <v>0</v>
      </c>
      <c r="N2312" t="n">
        <v>0</v>
      </c>
      <c r="O2312" t="n">
        <v>0</v>
      </c>
      <c r="P2312" t="n">
        <v>0</v>
      </c>
      <c r="Q2312" t="n">
        <v>0</v>
      </c>
      <c r="R2312" s="2" t="inlineStr"/>
    </row>
    <row r="2313" ht="15" customHeight="1">
      <c r="A2313" t="inlineStr">
        <is>
          <t>A 41633-2022</t>
        </is>
      </c>
      <c r="B2313" s="1" t="n">
        <v>44827</v>
      </c>
      <c r="C2313" s="1" t="n">
        <v>45358</v>
      </c>
      <c r="D2313" t="inlineStr">
        <is>
          <t>HALLANDS LÄN</t>
        </is>
      </c>
      <c r="E2313" t="inlineStr">
        <is>
          <t>HALMSTAD</t>
        </is>
      </c>
      <c r="G2313" t="n">
        <v>0.5</v>
      </c>
      <c r="H2313" t="n">
        <v>0</v>
      </c>
      <c r="I2313" t="n">
        <v>0</v>
      </c>
      <c r="J2313" t="n">
        <v>0</v>
      </c>
      <c r="K2313" t="n">
        <v>0</v>
      </c>
      <c r="L2313" t="n">
        <v>0</v>
      </c>
      <c r="M2313" t="n">
        <v>0</v>
      </c>
      <c r="N2313" t="n">
        <v>0</v>
      </c>
      <c r="O2313" t="n">
        <v>0</v>
      </c>
      <c r="P2313" t="n">
        <v>0</v>
      </c>
      <c r="Q2313" t="n">
        <v>0</v>
      </c>
      <c r="R2313" s="2" t="inlineStr"/>
    </row>
    <row r="2314" ht="15" customHeight="1">
      <c r="A2314" t="inlineStr">
        <is>
          <t>A 41573-2022</t>
        </is>
      </c>
      <c r="B2314" s="1" t="n">
        <v>44827</v>
      </c>
      <c r="C2314" s="1" t="n">
        <v>45358</v>
      </c>
      <c r="D2314" t="inlineStr">
        <is>
          <t>HALLANDS LÄN</t>
        </is>
      </c>
      <c r="E2314" t="inlineStr">
        <is>
          <t>LAHOLM</t>
        </is>
      </c>
      <c r="G2314" t="n">
        <v>1</v>
      </c>
      <c r="H2314" t="n">
        <v>0</v>
      </c>
      <c r="I2314" t="n">
        <v>0</v>
      </c>
      <c r="J2314" t="n">
        <v>0</v>
      </c>
      <c r="K2314" t="n">
        <v>0</v>
      </c>
      <c r="L2314" t="n">
        <v>0</v>
      </c>
      <c r="M2314" t="n">
        <v>0</v>
      </c>
      <c r="N2314" t="n">
        <v>0</v>
      </c>
      <c r="O2314" t="n">
        <v>0</v>
      </c>
      <c r="P2314" t="n">
        <v>0</v>
      </c>
      <c r="Q2314" t="n">
        <v>0</v>
      </c>
      <c r="R2314" s="2" t="inlineStr"/>
    </row>
    <row r="2315" ht="15" customHeight="1">
      <c r="A2315" t="inlineStr">
        <is>
          <t>A 41612-2022</t>
        </is>
      </c>
      <c r="B2315" s="1" t="n">
        <v>44827</v>
      </c>
      <c r="C2315" s="1" t="n">
        <v>45358</v>
      </c>
      <c r="D2315" t="inlineStr">
        <is>
          <t>HALLANDS LÄN</t>
        </is>
      </c>
      <c r="E2315" t="inlineStr">
        <is>
          <t>HALMSTAD</t>
        </is>
      </c>
      <c r="G2315" t="n">
        <v>1.7</v>
      </c>
      <c r="H2315" t="n">
        <v>0</v>
      </c>
      <c r="I2315" t="n">
        <v>0</v>
      </c>
      <c r="J2315" t="n">
        <v>0</v>
      </c>
      <c r="K2315" t="n">
        <v>0</v>
      </c>
      <c r="L2315" t="n">
        <v>0</v>
      </c>
      <c r="M2315" t="n">
        <v>0</v>
      </c>
      <c r="N2315" t="n">
        <v>0</v>
      </c>
      <c r="O2315" t="n">
        <v>0</v>
      </c>
      <c r="P2315" t="n">
        <v>0</v>
      </c>
      <c r="Q2315" t="n">
        <v>0</v>
      </c>
      <c r="R2315" s="2" t="inlineStr"/>
    </row>
    <row r="2316" ht="15" customHeight="1">
      <c r="A2316" t="inlineStr">
        <is>
          <t>A 41626-2022</t>
        </is>
      </c>
      <c r="B2316" s="1" t="n">
        <v>44827</v>
      </c>
      <c r="C2316" s="1" t="n">
        <v>45358</v>
      </c>
      <c r="D2316" t="inlineStr">
        <is>
          <t>HALLANDS LÄN</t>
        </is>
      </c>
      <c r="E2316" t="inlineStr">
        <is>
          <t>HALMSTAD</t>
        </is>
      </c>
      <c r="G2316" t="n">
        <v>0.8</v>
      </c>
      <c r="H2316" t="n">
        <v>0</v>
      </c>
      <c r="I2316" t="n">
        <v>0</v>
      </c>
      <c r="J2316" t="n">
        <v>0</v>
      </c>
      <c r="K2316" t="n">
        <v>0</v>
      </c>
      <c r="L2316" t="n">
        <v>0</v>
      </c>
      <c r="M2316" t="n">
        <v>0</v>
      </c>
      <c r="N2316" t="n">
        <v>0</v>
      </c>
      <c r="O2316" t="n">
        <v>0</v>
      </c>
      <c r="P2316" t="n">
        <v>0</v>
      </c>
      <c r="Q2316" t="n">
        <v>0</v>
      </c>
      <c r="R2316" s="2" t="inlineStr"/>
    </row>
    <row r="2317" ht="15" customHeight="1">
      <c r="A2317" t="inlineStr">
        <is>
          <t>A 41526-2022</t>
        </is>
      </c>
      <c r="B2317" s="1" t="n">
        <v>44827</v>
      </c>
      <c r="C2317" s="1" t="n">
        <v>45358</v>
      </c>
      <c r="D2317" t="inlineStr">
        <is>
          <t>HALLANDS LÄN</t>
        </is>
      </c>
      <c r="E2317" t="inlineStr">
        <is>
          <t>FALKENBERG</t>
        </is>
      </c>
      <c r="G2317" t="n">
        <v>4.9</v>
      </c>
      <c r="H2317" t="n">
        <v>0</v>
      </c>
      <c r="I2317" t="n">
        <v>0</v>
      </c>
      <c r="J2317" t="n">
        <v>0</v>
      </c>
      <c r="K2317" t="n">
        <v>0</v>
      </c>
      <c r="L2317" t="n">
        <v>0</v>
      </c>
      <c r="M2317" t="n">
        <v>0</v>
      </c>
      <c r="N2317" t="n">
        <v>0</v>
      </c>
      <c r="O2317" t="n">
        <v>0</v>
      </c>
      <c r="P2317" t="n">
        <v>0</v>
      </c>
      <c r="Q2317" t="n">
        <v>0</v>
      </c>
      <c r="R2317" s="2" t="inlineStr"/>
    </row>
    <row r="2318" ht="15" customHeight="1">
      <c r="A2318" t="inlineStr">
        <is>
          <t>A 41610-2022</t>
        </is>
      </c>
      <c r="B2318" s="1" t="n">
        <v>44827</v>
      </c>
      <c r="C2318" s="1" t="n">
        <v>45358</v>
      </c>
      <c r="D2318" t="inlineStr">
        <is>
          <t>HALLANDS LÄN</t>
        </is>
      </c>
      <c r="E2318" t="inlineStr">
        <is>
          <t>FALKENBERG</t>
        </is>
      </c>
      <c r="G2318" t="n">
        <v>3.2</v>
      </c>
      <c r="H2318" t="n">
        <v>0</v>
      </c>
      <c r="I2318" t="n">
        <v>0</v>
      </c>
      <c r="J2318" t="n">
        <v>0</v>
      </c>
      <c r="K2318" t="n">
        <v>0</v>
      </c>
      <c r="L2318" t="n">
        <v>0</v>
      </c>
      <c r="M2318" t="n">
        <v>0</v>
      </c>
      <c r="N2318" t="n">
        <v>0</v>
      </c>
      <c r="O2318" t="n">
        <v>0</v>
      </c>
      <c r="P2318" t="n">
        <v>0</v>
      </c>
      <c r="Q2318" t="n">
        <v>0</v>
      </c>
      <c r="R2318" s="2" t="inlineStr"/>
    </row>
    <row r="2319" ht="15" customHeight="1">
      <c r="A2319" t="inlineStr">
        <is>
          <t>A 41631-2022</t>
        </is>
      </c>
      <c r="B2319" s="1" t="n">
        <v>44827</v>
      </c>
      <c r="C2319" s="1" t="n">
        <v>45358</v>
      </c>
      <c r="D2319" t="inlineStr">
        <is>
          <t>HALLANDS LÄN</t>
        </is>
      </c>
      <c r="E2319" t="inlineStr">
        <is>
          <t>HALMSTAD</t>
        </is>
      </c>
      <c r="G2319" t="n">
        <v>0.8</v>
      </c>
      <c r="H2319" t="n">
        <v>0</v>
      </c>
      <c r="I2319" t="n">
        <v>0</v>
      </c>
      <c r="J2319" t="n">
        <v>0</v>
      </c>
      <c r="K2319" t="n">
        <v>0</v>
      </c>
      <c r="L2319" t="n">
        <v>0</v>
      </c>
      <c r="M2319" t="n">
        <v>0</v>
      </c>
      <c r="N2319" t="n">
        <v>0</v>
      </c>
      <c r="O2319" t="n">
        <v>0</v>
      </c>
      <c r="P2319" t="n">
        <v>0</v>
      </c>
      <c r="Q2319" t="n">
        <v>0</v>
      </c>
      <c r="R2319" s="2" t="inlineStr"/>
    </row>
    <row r="2320" ht="15" customHeight="1">
      <c r="A2320" t="inlineStr">
        <is>
          <t>A 41767-2022</t>
        </is>
      </c>
      <c r="B2320" s="1" t="n">
        <v>44827</v>
      </c>
      <c r="C2320" s="1" t="n">
        <v>45358</v>
      </c>
      <c r="D2320" t="inlineStr">
        <is>
          <t>HALLANDS LÄN</t>
        </is>
      </c>
      <c r="E2320" t="inlineStr">
        <is>
          <t>HYLTE</t>
        </is>
      </c>
      <c r="G2320" t="n">
        <v>0.7</v>
      </c>
      <c r="H2320" t="n">
        <v>0</v>
      </c>
      <c r="I2320" t="n">
        <v>0</v>
      </c>
      <c r="J2320" t="n">
        <v>0</v>
      </c>
      <c r="K2320" t="n">
        <v>0</v>
      </c>
      <c r="L2320" t="n">
        <v>0</v>
      </c>
      <c r="M2320" t="n">
        <v>0</v>
      </c>
      <c r="N2320" t="n">
        <v>0</v>
      </c>
      <c r="O2320" t="n">
        <v>0</v>
      </c>
      <c r="P2320" t="n">
        <v>0</v>
      </c>
      <c r="Q2320" t="n">
        <v>0</v>
      </c>
      <c r="R2320" s="2" t="inlineStr"/>
    </row>
    <row r="2321" ht="15" customHeight="1">
      <c r="A2321" t="inlineStr">
        <is>
          <t>A 41832-2022</t>
        </is>
      </c>
      <c r="B2321" s="1" t="n">
        <v>44828</v>
      </c>
      <c r="C2321" s="1" t="n">
        <v>45358</v>
      </c>
      <c r="D2321" t="inlineStr">
        <is>
          <t>HALLANDS LÄN</t>
        </is>
      </c>
      <c r="E2321" t="inlineStr">
        <is>
          <t>VARBERG</t>
        </is>
      </c>
      <c r="G2321" t="n">
        <v>3</v>
      </c>
      <c r="H2321" t="n">
        <v>0</v>
      </c>
      <c r="I2321" t="n">
        <v>0</v>
      </c>
      <c r="J2321" t="n">
        <v>0</v>
      </c>
      <c r="K2321" t="n">
        <v>0</v>
      </c>
      <c r="L2321" t="n">
        <v>0</v>
      </c>
      <c r="M2321" t="n">
        <v>0</v>
      </c>
      <c r="N2321" t="n">
        <v>0</v>
      </c>
      <c r="O2321" t="n">
        <v>0</v>
      </c>
      <c r="P2321" t="n">
        <v>0</v>
      </c>
      <c r="Q2321" t="n">
        <v>0</v>
      </c>
      <c r="R2321" s="2" t="inlineStr"/>
    </row>
    <row r="2322" ht="15" customHeight="1">
      <c r="A2322" t="inlineStr">
        <is>
          <t>A 41834-2022</t>
        </is>
      </c>
      <c r="B2322" s="1" t="n">
        <v>44828</v>
      </c>
      <c r="C2322" s="1" t="n">
        <v>45358</v>
      </c>
      <c r="D2322" t="inlineStr">
        <is>
          <t>HALLANDS LÄN</t>
        </is>
      </c>
      <c r="E2322" t="inlineStr">
        <is>
          <t>VARBERG</t>
        </is>
      </c>
      <c r="G2322" t="n">
        <v>0.8</v>
      </c>
      <c r="H2322" t="n">
        <v>0</v>
      </c>
      <c r="I2322" t="n">
        <v>0</v>
      </c>
      <c r="J2322" t="n">
        <v>0</v>
      </c>
      <c r="K2322" t="n">
        <v>0</v>
      </c>
      <c r="L2322" t="n">
        <v>0</v>
      </c>
      <c r="M2322" t="n">
        <v>0</v>
      </c>
      <c r="N2322" t="n">
        <v>0</v>
      </c>
      <c r="O2322" t="n">
        <v>0</v>
      </c>
      <c r="P2322" t="n">
        <v>0</v>
      </c>
      <c r="Q2322" t="n">
        <v>0</v>
      </c>
      <c r="R2322" s="2" t="inlineStr"/>
    </row>
    <row r="2323" ht="15" customHeight="1">
      <c r="A2323" t="inlineStr">
        <is>
          <t>A 41864-2022</t>
        </is>
      </c>
      <c r="B2323" s="1" t="n">
        <v>44829</v>
      </c>
      <c r="C2323" s="1" t="n">
        <v>45358</v>
      </c>
      <c r="D2323" t="inlineStr">
        <is>
          <t>HALLANDS LÄN</t>
        </is>
      </c>
      <c r="E2323" t="inlineStr">
        <is>
          <t>VARBERG</t>
        </is>
      </c>
      <c r="G2323" t="n">
        <v>2.6</v>
      </c>
      <c r="H2323" t="n">
        <v>0</v>
      </c>
      <c r="I2323" t="n">
        <v>0</v>
      </c>
      <c r="J2323" t="n">
        <v>0</v>
      </c>
      <c r="K2323" t="n">
        <v>0</v>
      </c>
      <c r="L2323" t="n">
        <v>0</v>
      </c>
      <c r="M2323" t="n">
        <v>0</v>
      </c>
      <c r="N2323" t="n">
        <v>0</v>
      </c>
      <c r="O2323" t="n">
        <v>0</v>
      </c>
      <c r="P2323" t="n">
        <v>0</v>
      </c>
      <c r="Q2323" t="n">
        <v>0</v>
      </c>
      <c r="R2323" s="2" t="inlineStr"/>
    </row>
    <row r="2324" ht="15" customHeight="1">
      <c r="A2324" t="inlineStr">
        <is>
          <t>A 42120-2022</t>
        </is>
      </c>
      <c r="B2324" s="1" t="n">
        <v>44830</v>
      </c>
      <c r="C2324" s="1" t="n">
        <v>45358</v>
      </c>
      <c r="D2324" t="inlineStr">
        <is>
          <t>HALLANDS LÄN</t>
        </is>
      </c>
      <c r="E2324" t="inlineStr">
        <is>
          <t>HYLTE</t>
        </is>
      </c>
      <c r="G2324" t="n">
        <v>0.7</v>
      </c>
      <c r="H2324" t="n">
        <v>0</v>
      </c>
      <c r="I2324" t="n">
        <v>0</v>
      </c>
      <c r="J2324" t="n">
        <v>0</v>
      </c>
      <c r="K2324" t="n">
        <v>0</v>
      </c>
      <c r="L2324" t="n">
        <v>0</v>
      </c>
      <c r="M2324" t="n">
        <v>0</v>
      </c>
      <c r="N2324" t="n">
        <v>0</v>
      </c>
      <c r="O2324" t="n">
        <v>0</v>
      </c>
      <c r="P2324" t="n">
        <v>0</v>
      </c>
      <c r="Q2324" t="n">
        <v>0</v>
      </c>
      <c r="R2324" s="2" t="inlineStr"/>
    </row>
    <row r="2325" ht="15" customHeight="1">
      <c r="A2325" t="inlineStr">
        <is>
          <t>A 41951-2022</t>
        </is>
      </c>
      <c r="B2325" s="1" t="n">
        <v>44830</v>
      </c>
      <c r="C2325" s="1" t="n">
        <v>45358</v>
      </c>
      <c r="D2325" t="inlineStr">
        <is>
          <t>HALLANDS LÄN</t>
        </is>
      </c>
      <c r="E2325" t="inlineStr">
        <is>
          <t>HALMSTAD</t>
        </is>
      </c>
      <c r="G2325" t="n">
        <v>3.1</v>
      </c>
      <c r="H2325" t="n">
        <v>0</v>
      </c>
      <c r="I2325" t="n">
        <v>0</v>
      </c>
      <c r="J2325" t="n">
        <v>0</v>
      </c>
      <c r="K2325" t="n">
        <v>0</v>
      </c>
      <c r="L2325" t="n">
        <v>0</v>
      </c>
      <c r="M2325" t="n">
        <v>0</v>
      </c>
      <c r="N2325" t="n">
        <v>0</v>
      </c>
      <c r="O2325" t="n">
        <v>0</v>
      </c>
      <c r="P2325" t="n">
        <v>0</v>
      </c>
      <c r="Q2325" t="n">
        <v>0</v>
      </c>
      <c r="R2325" s="2" t="inlineStr"/>
    </row>
    <row r="2326" ht="15" customHeight="1">
      <c r="A2326" t="inlineStr">
        <is>
          <t>A 42003-2022</t>
        </is>
      </c>
      <c r="B2326" s="1" t="n">
        <v>44830</v>
      </c>
      <c r="C2326" s="1" t="n">
        <v>45358</v>
      </c>
      <c r="D2326" t="inlineStr">
        <is>
          <t>HALLANDS LÄN</t>
        </is>
      </c>
      <c r="E2326" t="inlineStr">
        <is>
          <t>HYLTE</t>
        </is>
      </c>
      <c r="G2326" t="n">
        <v>5.9</v>
      </c>
      <c r="H2326" t="n">
        <v>0</v>
      </c>
      <c r="I2326" t="n">
        <v>0</v>
      </c>
      <c r="J2326" t="n">
        <v>0</v>
      </c>
      <c r="K2326" t="n">
        <v>0</v>
      </c>
      <c r="L2326" t="n">
        <v>0</v>
      </c>
      <c r="M2326" t="n">
        <v>0</v>
      </c>
      <c r="N2326" t="n">
        <v>0</v>
      </c>
      <c r="O2326" t="n">
        <v>0</v>
      </c>
      <c r="P2326" t="n">
        <v>0</v>
      </c>
      <c r="Q2326" t="n">
        <v>0</v>
      </c>
      <c r="R2326" s="2" t="inlineStr"/>
    </row>
    <row r="2327" ht="15" customHeight="1">
      <c r="A2327" t="inlineStr">
        <is>
          <t>A 42319-2022</t>
        </is>
      </c>
      <c r="B2327" s="1" t="n">
        <v>44831</v>
      </c>
      <c r="C2327" s="1" t="n">
        <v>45358</v>
      </c>
      <c r="D2327" t="inlineStr">
        <is>
          <t>HALLANDS LÄN</t>
        </is>
      </c>
      <c r="E2327" t="inlineStr">
        <is>
          <t>FALKENBERG</t>
        </is>
      </c>
      <c r="G2327" t="n">
        <v>1.3</v>
      </c>
      <c r="H2327" t="n">
        <v>0</v>
      </c>
      <c r="I2327" t="n">
        <v>0</v>
      </c>
      <c r="J2327" t="n">
        <v>0</v>
      </c>
      <c r="K2327" t="n">
        <v>0</v>
      </c>
      <c r="L2327" t="n">
        <v>0</v>
      </c>
      <c r="M2327" t="n">
        <v>0</v>
      </c>
      <c r="N2327" t="n">
        <v>0</v>
      </c>
      <c r="O2327" t="n">
        <v>0</v>
      </c>
      <c r="P2327" t="n">
        <v>0</v>
      </c>
      <c r="Q2327" t="n">
        <v>0</v>
      </c>
      <c r="R2327" s="2" t="inlineStr"/>
    </row>
    <row r="2328" ht="15" customHeight="1">
      <c r="A2328" t="inlineStr">
        <is>
          <t>A 42412-2022</t>
        </is>
      </c>
      <c r="B2328" s="1" t="n">
        <v>44831</v>
      </c>
      <c r="C2328" s="1" t="n">
        <v>45358</v>
      </c>
      <c r="D2328" t="inlineStr">
        <is>
          <t>HALLANDS LÄN</t>
        </is>
      </c>
      <c r="E2328" t="inlineStr">
        <is>
          <t>KUNGSBACKA</t>
        </is>
      </c>
      <c r="G2328" t="n">
        <v>1.6</v>
      </c>
      <c r="H2328" t="n">
        <v>0</v>
      </c>
      <c r="I2328" t="n">
        <v>0</v>
      </c>
      <c r="J2328" t="n">
        <v>0</v>
      </c>
      <c r="K2328" t="n">
        <v>0</v>
      </c>
      <c r="L2328" t="n">
        <v>0</v>
      </c>
      <c r="M2328" t="n">
        <v>0</v>
      </c>
      <c r="N2328" t="n">
        <v>0</v>
      </c>
      <c r="O2328" t="n">
        <v>0</v>
      </c>
      <c r="P2328" t="n">
        <v>0</v>
      </c>
      <c r="Q2328" t="n">
        <v>0</v>
      </c>
      <c r="R2328" s="2" t="inlineStr"/>
    </row>
    <row r="2329" ht="15" customHeight="1">
      <c r="A2329" t="inlineStr">
        <is>
          <t>A 42562-2022</t>
        </is>
      </c>
      <c r="B2329" s="1" t="n">
        <v>44831</v>
      </c>
      <c r="C2329" s="1" t="n">
        <v>45358</v>
      </c>
      <c r="D2329" t="inlineStr">
        <is>
          <t>HALLANDS LÄN</t>
        </is>
      </c>
      <c r="E2329" t="inlineStr">
        <is>
          <t>LAHOLM</t>
        </is>
      </c>
      <c r="G2329" t="n">
        <v>1</v>
      </c>
      <c r="H2329" t="n">
        <v>0</v>
      </c>
      <c r="I2329" t="n">
        <v>0</v>
      </c>
      <c r="J2329" t="n">
        <v>0</v>
      </c>
      <c r="K2329" t="n">
        <v>0</v>
      </c>
      <c r="L2329" t="n">
        <v>0</v>
      </c>
      <c r="M2329" t="n">
        <v>0</v>
      </c>
      <c r="N2329" t="n">
        <v>0</v>
      </c>
      <c r="O2329" t="n">
        <v>0</v>
      </c>
      <c r="P2329" t="n">
        <v>0</v>
      </c>
      <c r="Q2329" t="n">
        <v>0</v>
      </c>
      <c r="R2329" s="2" t="inlineStr"/>
    </row>
    <row r="2330" ht="15" customHeight="1">
      <c r="A2330" t="inlineStr">
        <is>
          <t>A 42573-2022</t>
        </is>
      </c>
      <c r="B2330" s="1" t="n">
        <v>44831</v>
      </c>
      <c r="C2330" s="1" t="n">
        <v>45358</v>
      </c>
      <c r="D2330" t="inlineStr">
        <is>
          <t>HALLANDS LÄN</t>
        </is>
      </c>
      <c r="E2330" t="inlineStr">
        <is>
          <t>VARBERG</t>
        </is>
      </c>
      <c r="G2330" t="n">
        <v>2</v>
      </c>
      <c r="H2330" t="n">
        <v>0</v>
      </c>
      <c r="I2330" t="n">
        <v>0</v>
      </c>
      <c r="J2330" t="n">
        <v>0</v>
      </c>
      <c r="K2330" t="n">
        <v>0</v>
      </c>
      <c r="L2330" t="n">
        <v>0</v>
      </c>
      <c r="M2330" t="n">
        <v>0</v>
      </c>
      <c r="N2330" t="n">
        <v>0</v>
      </c>
      <c r="O2330" t="n">
        <v>0</v>
      </c>
      <c r="P2330" t="n">
        <v>0</v>
      </c>
      <c r="Q2330" t="n">
        <v>0</v>
      </c>
      <c r="R2330" s="2" t="inlineStr"/>
    </row>
    <row r="2331" ht="15" customHeight="1">
      <c r="A2331" t="inlineStr">
        <is>
          <t>A 42561-2022</t>
        </is>
      </c>
      <c r="B2331" s="1" t="n">
        <v>44831</v>
      </c>
      <c r="C2331" s="1" t="n">
        <v>45358</v>
      </c>
      <c r="D2331" t="inlineStr">
        <is>
          <t>HALLANDS LÄN</t>
        </is>
      </c>
      <c r="E2331" t="inlineStr">
        <is>
          <t>VARBERG</t>
        </is>
      </c>
      <c r="G2331" t="n">
        <v>5.3</v>
      </c>
      <c r="H2331" t="n">
        <v>0</v>
      </c>
      <c r="I2331" t="n">
        <v>0</v>
      </c>
      <c r="J2331" t="n">
        <v>0</v>
      </c>
      <c r="K2331" t="n">
        <v>0</v>
      </c>
      <c r="L2331" t="n">
        <v>0</v>
      </c>
      <c r="M2331" t="n">
        <v>0</v>
      </c>
      <c r="N2331" t="n">
        <v>0</v>
      </c>
      <c r="O2331" t="n">
        <v>0</v>
      </c>
      <c r="P2331" t="n">
        <v>0</v>
      </c>
      <c r="Q2331" t="n">
        <v>0</v>
      </c>
      <c r="R2331" s="2" t="inlineStr"/>
    </row>
    <row r="2332" ht="15" customHeight="1">
      <c r="A2332" t="inlineStr">
        <is>
          <t>A 42566-2022</t>
        </is>
      </c>
      <c r="B2332" s="1" t="n">
        <v>44831</v>
      </c>
      <c r="C2332" s="1" t="n">
        <v>45358</v>
      </c>
      <c r="D2332" t="inlineStr">
        <is>
          <t>HALLANDS LÄN</t>
        </is>
      </c>
      <c r="E2332" t="inlineStr">
        <is>
          <t>VARBERG</t>
        </is>
      </c>
      <c r="G2332" t="n">
        <v>5.8</v>
      </c>
      <c r="H2332" t="n">
        <v>0</v>
      </c>
      <c r="I2332" t="n">
        <v>0</v>
      </c>
      <c r="J2332" t="n">
        <v>0</v>
      </c>
      <c r="K2332" t="n">
        <v>0</v>
      </c>
      <c r="L2332" t="n">
        <v>0</v>
      </c>
      <c r="M2332" t="n">
        <v>0</v>
      </c>
      <c r="N2332" t="n">
        <v>0</v>
      </c>
      <c r="O2332" t="n">
        <v>0</v>
      </c>
      <c r="P2332" t="n">
        <v>0</v>
      </c>
      <c r="Q2332" t="n">
        <v>0</v>
      </c>
      <c r="R2332" s="2" t="inlineStr"/>
    </row>
    <row r="2333" ht="15" customHeight="1">
      <c r="A2333" t="inlineStr">
        <is>
          <t>A 43169-2022</t>
        </is>
      </c>
      <c r="B2333" s="1" t="n">
        <v>44834</v>
      </c>
      <c r="C2333" s="1" t="n">
        <v>45358</v>
      </c>
      <c r="D2333" t="inlineStr">
        <is>
          <t>HALLANDS LÄN</t>
        </is>
      </c>
      <c r="E2333" t="inlineStr">
        <is>
          <t>VARBERG</t>
        </is>
      </c>
      <c r="G2333" t="n">
        <v>1.8</v>
      </c>
      <c r="H2333" t="n">
        <v>0</v>
      </c>
      <c r="I2333" t="n">
        <v>0</v>
      </c>
      <c r="J2333" t="n">
        <v>0</v>
      </c>
      <c r="K2333" t="n">
        <v>0</v>
      </c>
      <c r="L2333" t="n">
        <v>0</v>
      </c>
      <c r="M2333" t="n">
        <v>0</v>
      </c>
      <c r="N2333" t="n">
        <v>0</v>
      </c>
      <c r="O2333" t="n">
        <v>0</v>
      </c>
      <c r="P2333" t="n">
        <v>0</v>
      </c>
      <c r="Q2333" t="n">
        <v>0</v>
      </c>
      <c r="R2333" s="2" t="inlineStr"/>
    </row>
    <row r="2334" ht="15" customHeight="1">
      <c r="A2334" t="inlineStr">
        <is>
          <t>A 43171-2022</t>
        </is>
      </c>
      <c r="B2334" s="1" t="n">
        <v>44834</v>
      </c>
      <c r="C2334" s="1" t="n">
        <v>45358</v>
      </c>
      <c r="D2334" t="inlineStr">
        <is>
          <t>HALLANDS LÄN</t>
        </is>
      </c>
      <c r="E2334" t="inlineStr">
        <is>
          <t>VARBERG</t>
        </is>
      </c>
      <c r="G2334" t="n">
        <v>6.8</v>
      </c>
      <c r="H2334" t="n">
        <v>0</v>
      </c>
      <c r="I2334" t="n">
        <v>0</v>
      </c>
      <c r="J2334" t="n">
        <v>0</v>
      </c>
      <c r="K2334" t="n">
        <v>0</v>
      </c>
      <c r="L2334" t="n">
        <v>0</v>
      </c>
      <c r="M2334" t="n">
        <v>0</v>
      </c>
      <c r="N2334" t="n">
        <v>0</v>
      </c>
      <c r="O2334" t="n">
        <v>0</v>
      </c>
      <c r="P2334" t="n">
        <v>0</v>
      </c>
      <c r="Q2334" t="n">
        <v>0</v>
      </c>
      <c r="R2334" s="2" t="inlineStr"/>
    </row>
    <row r="2335" ht="15" customHeight="1">
      <c r="A2335" t="inlineStr">
        <is>
          <t>A 43170-2022</t>
        </is>
      </c>
      <c r="B2335" s="1" t="n">
        <v>44834</v>
      </c>
      <c r="C2335" s="1" t="n">
        <v>45358</v>
      </c>
      <c r="D2335" t="inlineStr">
        <is>
          <t>HALLANDS LÄN</t>
        </is>
      </c>
      <c r="E2335" t="inlineStr">
        <is>
          <t>VARBERG</t>
        </is>
      </c>
      <c r="G2335" t="n">
        <v>3.8</v>
      </c>
      <c r="H2335" t="n">
        <v>0</v>
      </c>
      <c r="I2335" t="n">
        <v>0</v>
      </c>
      <c r="J2335" t="n">
        <v>0</v>
      </c>
      <c r="K2335" t="n">
        <v>0</v>
      </c>
      <c r="L2335" t="n">
        <v>0</v>
      </c>
      <c r="M2335" t="n">
        <v>0</v>
      </c>
      <c r="N2335" t="n">
        <v>0</v>
      </c>
      <c r="O2335" t="n">
        <v>0</v>
      </c>
      <c r="P2335" t="n">
        <v>0</v>
      </c>
      <c r="Q2335" t="n">
        <v>0</v>
      </c>
      <c r="R2335" s="2" t="inlineStr"/>
    </row>
    <row r="2336" ht="15" customHeight="1">
      <c r="A2336" t="inlineStr">
        <is>
          <t>A 43269-2022</t>
        </is>
      </c>
      <c r="B2336" s="1" t="n">
        <v>44834</v>
      </c>
      <c r="C2336" s="1" t="n">
        <v>45358</v>
      </c>
      <c r="D2336" t="inlineStr">
        <is>
          <t>HALLANDS LÄN</t>
        </is>
      </c>
      <c r="E2336" t="inlineStr">
        <is>
          <t>FALKENBERG</t>
        </is>
      </c>
      <c r="G2336" t="n">
        <v>2.3</v>
      </c>
      <c r="H2336" t="n">
        <v>0</v>
      </c>
      <c r="I2336" t="n">
        <v>0</v>
      </c>
      <c r="J2336" t="n">
        <v>0</v>
      </c>
      <c r="K2336" t="n">
        <v>0</v>
      </c>
      <c r="L2336" t="n">
        <v>0</v>
      </c>
      <c r="M2336" t="n">
        <v>0</v>
      </c>
      <c r="N2336" t="n">
        <v>0</v>
      </c>
      <c r="O2336" t="n">
        <v>0</v>
      </c>
      <c r="P2336" t="n">
        <v>0</v>
      </c>
      <c r="Q2336" t="n">
        <v>0</v>
      </c>
      <c r="R2336" s="2" t="inlineStr"/>
    </row>
    <row r="2337" ht="15" customHeight="1">
      <c r="A2337" t="inlineStr">
        <is>
          <t>A 43329-2022</t>
        </is>
      </c>
      <c r="B2337" s="1" t="n">
        <v>44834</v>
      </c>
      <c r="C2337" s="1" t="n">
        <v>45358</v>
      </c>
      <c r="D2337" t="inlineStr">
        <is>
          <t>HALLANDS LÄN</t>
        </is>
      </c>
      <c r="E2337" t="inlineStr">
        <is>
          <t>VARBERG</t>
        </is>
      </c>
      <c r="G2337" t="n">
        <v>1.8</v>
      </c>
      <c r="H2337" t="n">
        <v>0</v>
      </c>
      <c r="I2337" t="n">
        <v>0</v>
      </c>
      <c r="J2337" t="n">
        <v>0</v>
      </c>
      <c r="K2337" t="n">
        <v>0</v>
      </c>
      <c r="L2337" t="n">
        <v>0</v>
      </c>
      <c r="M2337" t="n">
        <v>0</v>
      </c>
      <c r="N2337" t="n">
        <v>0</v>
      </c>
      <c r="O2337" t="n">
        <v>0</v>
      </c>
      <c r="P2337" t="n">
        <v>0</v>
      </c>
      <c r="Q2337" t="n">
        <v>0</v>
      </c>
      <c r="R2337" s="2" t="inlineStr"/>
    </row>
    <row r="2338" ht="15" customHeight="1">
      <c r="A2338" t="inlineStr">
        <is>
          <t>A 43356-2022</t>
        </is>
      </c>
      <c r="B2338" s="1" t="n">
        <v>44834</v>
      </c>
      <c r="C2338" s="1" t="n">
        <v>45358</v>
      </c>
      <c r="D2338" t="inlineStr">
        <is>
          <t>HALLANDS LÄN</t>
        </is>
      </c>
      <c r="E2338" t="inlineStr">
        <is>
          <t>VARBERG</t>
        </is>
      </c>
      <c r="G2338" t="n">
        <v>0.4</v>
      </c>
      <c r="H2338" t="n">
        <v>0</v>
      </c>
      <c r="I2338" t="n">
        <v>0</v>
      </c>
      <c r="J2338" t="n">
        <v>0</v>
      </c>
      <c r="K2338" t="n">
        <v>0</v>
      </c>
      <c r="L2338" t="n">
        <v>0</v>
      </c>
      <c r="M2338" t="n">
        <v>0</v>
      </c>
      <c r="N2338" t="n">
        <v>0</v>
      </c>
      <c r="O2338" t="n">
        <v>0</v>
      </c>
      <c r="P2338" t="n">
        <v>0</v>
      </c>
      <c r="Q2338" t="n">
        <v>0</v>
      </c>
      <c r="R2338" s="2" t="inlineStr"/>
    </row>
    <row r="2339" ht="15" customHeight="1">
      <c r="A2339" t="inlineStr">
        <is>
          <t>A 43366-2022</t>
        </is>
      </c>
      <c r="B2339" s="1" t="n">
        <v>44834</v>
      </c>
      <c r="C2339" s="1" t="n">
        <v>45358</v>
      </c>
      <c r="D2339" t="inlineStr">
        <is>
          <t>HALLANDS LÄN</t>
        </is>
      </c>
      <c r="E2339" t="inlineStr">
        <is>
          <t>HYLTE</t>
        </is>
      </c>
      <c r="G2339" t="n">
        <v>1.1</v>
      </c>
      <c r="H2339" t="n">
        <v>0</v>
      </c>
      <c r="I2339" t="n">
        <v>0</v>
      </c>
      <c r="J2339" t="n">
        <v>0</v>
      </c>
      <c r="K2339" t="n">
        <v>0</v>
      </c>
      <c r="L2339" t="n">
        <v>0</v>
      </c>
      <c r="M2339" t="n">
        <v>0</v>
      </c>
      <c r="N2339" t="n">
        <v>0</v>
      </c>
      <c r="O2339" t="n">
        <v>0</v>
      </c>
      <c r="P2339" t="n">
        <v>0</v>
      </c>
      <c r="Q2339" t="n">
        <v>0</v>
      </c>
      <c r="R2339" s="2" t="inlineStr"/>
    </row>
    <row r="2340" ht="15" customHeight="1">
      <c r="A2340" t="inlineStr">
        <is>
          <t>A 43364-2022</t>
        </is>
      </c>
      <c r="B2340" s="1" t="n">
        <v>44834</v>
      </c>
      <c r="C2340" s="1" t="n">
        <v>45358</v>
      </c>
      <c r="D2340" t="inlineStr">
        <is>
          <t>HALLANDS LÄN</t>
        </is>
      </c>
      <c r="E2340" t="inlineStr">
        <is>
          <t>HYLTE</t>
        </is>
      </c>
      <c r="G2340" t="n">
        <v>0.6</v>
      </c>
      <c r="H2340" t="n">
        <v>0</v>
      </c>
      <c r="I2340" t="n">
        <v>0</v>
      </c>
      <c r="J2340" t="n">
        <v>0</v>
      </c>
      <c r="K2340" t="n">
        <v>0</v>
      </c>
      <c r="L2340" t="n">
        <v>0</v>
      </c>
      <c r="M2340" t="n">
        <v>0</v>
      </c>
      <c r="N2340" t="n">
        <v>0</v>
      </c>
      <c r="O2340" t="n">
        <v>0</v>
      </c>
      <c r="P2340" t="n">
        <v>0</v>
      </c>
      <c r="Q2340" t="n">
        <v>0</v>
      </c>
      <c r="R2340" s="2" t="inlineStr"/>
    </row>
    <row r="2341" ht="15" customHeight="1">
      <c r="A2341" t="inlineStr">
        <is>
          <t>A 43473-2022</t>
        </is>
      </c>
      <c r="B2341" s="1" t="n">
        <v>44836</v>
      </c>
      <c r="C2341" s="1" t="n">
        <v>45358</v>
      </c>
      <c r="D2341" t="inlineStr">
        <is>
          <t>HALLANDS LÄN</t>
        </is>
      </c>
      <c r="E2341" t="inlineStr">
        <is>
          <t>FALKENBERG</t>
        </is>
      </c>
      <c r="G2341" t="n">
        <v>1.7</v>
      </c>
      <c r="H2341" t="n">
        <v>0</v>
      </c>
      <c r="I2341" t="n">
        <v>0</v>
      </c>
      <c r="J2341" t="n">
        <v>0</v>
      </c>
      <c r="K2341" t="n">
        <v>0</v>
      </c>
      <c r="L2341" t="n">
        <v>0</v>
      </c>
      <c r="M2341" t="n">
        <v>0</v>
      </c>
      <c r="N2341" t="n">
        <v>0</v>
      </c>
      <c r="O2341" t="n">
        <v>0</v>
      </c>
      <c r="P2341" t="n">
        <v>0</v>
      </c>
      <c r="Q2341" t="n">
        <v>0</v>
      </c>
      <c r="R2341" s="2" t="inlineStr"/>
    </row>
    <row r="2342" ht="15" customHeight="1">
      <c r="A2342" t="inlineStr">
        <is>
          <t>A 43474-2022</t>
        </is>
      </c>
      <c r="B2342" s="1" t="n">
        <v>44836</v>
      </c>
      <c r="C2342" s="1" t="n">
        <v>45358</v>
      </c>
      <c r="D2342" t="inlineStr">
        <is>
          <t>HALLANDS LÄN</t>
        </is>
      </c>
      <c r="E2342" t="inlineStr">
        <is>
          <t>FALKENBERG</t>
        </is>
      </c>
      <c r="G2342" t="n">
        <v>0.7</v>
      </c>
      <c r="H2342" t="n">
        <v>0</v>
      </c>
      <c r="I2342" t="n">
        <v>0</v>
      </c>
      <c r="J2342" t="n">
        <v>0</v>
      </c>
      <c r="K2342" t="n">
        <v>0</v>
      </c>
      <c r="L2342" t="n">
        <v>0</v>
      </c>
      <c r="M2342" t="n">
        <v>0</v>
      </c>
      <c r="N2342" t="n">
        <v>0</v>
      </c>
      <c r="O2342" t="n">
        <v>0</v>
      </c>
      <c r="P2342" t="n">
        <v>0</v>
      </c>
      <c r="Q2342" t="n">
        <v>0</v>
      </c>
      <c r="R2342" s="2" t="inlineStr"/>
    </row>
    <row r="2343" ht="15" customHeight="1">
      <c r="A2343" t="inlineStr">
        <is>
          <t>A 43681-2022</t>
        </is>
      </c>
      <c r="B2343" s="1" t="n">
        <v>44837</v>
      </c>
      <c r="C2343" s="1" t="n">
        <v>45358</v>
      </c>
      <c r="D2343" t="inlineStr">
        <is>
          <t>HALLANDS LÄN</t>
        </is>
      </c>
      <c r="E2343" t="inlineStr">
        <is>
          <t>VARBERG</t>
        </is>
      </c>
      <c r="G2343" t="n">
        <v>3.8</v>
      </c>
      <c r="H2343" t="n">
        <v>0</v>
      </c>
      <c r="I2343" t="n">
        <v>0</v>
      </c>
      <c r="J2343" t="n">
        <v>0</v>
      </c>
      <c r="K2343" t="n">
        <v>0</v>
      </c>
      <c r="L2343" t="n">
        <v>0</v>
      </c>
      <c r="M2343" t="n">
        <v>0</v>
      </c>
      <c r="N2343" t="n">
        <v>0</v>
      </c>
      <c r="O2343" t="n">
        <v>0</v>
      </c>
      <c r="P2343" t="n">
        <v>0</v>
      </c>
      <c r="Q2343" t="n">
        <v>0</v>
      </c>
      <c r="R2343" s="2" t="inlineStr"/>
    </row>
    <row r="2344" ht="15" customHeight="1">
      <c r="A2344" t="inlineStr">
        <is>
          <t>A 44104-2022</t>
        </is>
      </c>
      <c r="B2344" s="1" t="n">
        <v>44839</v>
      </c>
      <c r="C2344" s="1" t="n">
        <v>45358</v>
      </c>
      <c r="D2344" t="inlineStr">
        <is>
          <t>HALLANDS LÄN</t>
        </is>
      </c>
      <c r="E2344" t="inlineStr">
        <is>
          <t>VARBERG</t>
        </is>
      </c>
      <c r="G2344" t="n">
        <v>1.3</v>
      </c>
      <c r="H2344" t="n">
        <v>0</v>
      </c>
      <c r="I2344" t="n">
        <v>0</v>
      </c>
      <c r="J2344" t="n">
        <v>0</v>
      </c>
      <c r="K2344" t="n">
        <v>0</v>
      </c>
      <c r="L2344" t="n">
        <v>0</v>
      </c>
      <c r="M2344" t="n">
        <v>0</v>
      </c>
      <c r="N2344" t="n">
        <v>0</v>
      </c>
      <c r="O2344" t="n">
        <v>0</v>
      </c>
      <c r="P2344" t="n">
        <v>0</v>
      </c>
      <c r="Q2344" t="n">
        <v>0</v>
      </c>
      <c r="R2344" s="2" t="inlineStr"/>
    </row>
    <row r="2345" ht="15" customHeight="1">
      <c r="A2345" t="inlineStr">
        <is>
          <t>A 44134-2022</t>
        </is>
      </c>
      <c r="B2345" s="1" t="n">
        <v>44839</v>
      </c>
      <c r="C2345" s="1" t="n">
        <v>45358</v>
      </c>
      <c r="D2345" t="inlineStr">
        <is>
          <t>HALLANDS LÄN</t>
        </is>
      </c>
      <c r="E2345" t="inlineStr">
        <is>
          <t>HYLTE</t>
        </is>
      </c>
      <c r="G2345" t="n">
        <v>0.8</v>
      </c>
      <c r="H2345" t="n">
        <v>0</v>
      </c>
      <c r="I2345" t="n">
        <v>0</v>
      </c>
      <c r="J2345" t="n">
        <v>0</v>
      </c>
      <c r="K2345" t="n">
        <v>0</v>
      </c>
      <c r="L2345" t="n">
        <v>0</v>
      </c>
      <c r="M2345" t="n">
        <v>0</v>
      </c>
      <c r="N2345" t="n">
        <v>0</v>
      </c>
      <c r="O2345" t="n">
        <v>0</v>
      </c>
      <c r="P2345" t="n">
        <v>0</v>
      </c>
      <c r="Q2345" t="n">
        <v>0</v>
      </c>
      <c r="R2345" s="2" t="inlineStr"/>
    </row>
    <row r="2346" ht="15" customHeight="1">
      <c r="A2346" t="inlineStr">
        <is>
          <t>A 44157-2022</t>
        </is>
      </c>
      <c r="B2346" s="1" t="n">
        <v>44839</v>
      </c>
      <c r="C2346" s="1" t="n">
        <v>45358</v>
      </c>
      <c r="D2346" t="inlineStr">
        <is>
          <t>HALLANDS LÄN</t>
        </is>
      </c>
      <c r="E2346" t="inlineStr">
        <is>
          <t>VARBERG</t>
        </is>
      </c>
      <c r="G2346" t="n">
        <v>1.4</v>
      </c>
      <c r="H2346" t="n">
        <v>0</v>
      </c>
      <c r="I2346" t="n">
        <v>0</v>
      </c>
      <c r="J2346" t="n">
        <v>0</v>
      </c>
      <c r="K2346" t="n">
        <v>0</v>
      </c>
      <c r="L2346" t="n">
        <v>0</v>
      </c>
      <c r="M2346" t="n">
        <v>0</v>
      </c>
      <c r="N2346" t="n">
        <v>0</v>
      </c>
      <c r="O2346" t="n">
        <v>0</v>
      </c>
      <c r="P2346" t="n">
        <v>0</v>
      </c>
      <c r="Q2346" t="n">
        <v>0</v>
      </c>
      <c r="R2346" s="2" t="inlineStr"/>
    </row>
    <row r="2347" ht="15" customHeight="1">
      <c r="A2347" t="inlineStr">
        <is>
          <t>A 44638-2022</t>
        </is>
      </c>
      <c r="B2347" s="1" t="n">
        <v>44840</v>
      </c>
      <c r="C2347" s="1" t="n">
        <v>45358</v>
      </c>
      <c r="D2347" t="inlineStr">
        <is>
          <t>HALLANDS LÄN</t>
        </is>
      </c>
      <c r="E2347" t="inlineStr">
        <is>
          <t>KUNGSBACKA</t>
        </is>
      </c>
      <c r="F2347" t="inlineStr">
        <is>
          <t>Kommuner</t>
        </is>
      </c>
      <c r="G2347" t="n">
        <v>11.8</v>
      </c>
      <c r="H2347" t="n">
        <v>0</v>
      </c>
      <c r="I2347" t="n">
        <v>0</v>
      </c>
      <c r="J2347" t="n">
        <v>0</v>
      </c>
      <c r="K2347" t="n">
        <v>0</v>
      </c>
      <c r="L2347" t="n">
        <v>0</v>
      </c>
      <c r="M2347" t="n">
        <v>0</v>
      </c>
      <c r="N2347" t="n">
        <v>0</v>
      </c>
      <c r="O2347" t="n">
        <v>0</v>
      </c>
      <c r="P2347" t="n">
        <v>0</v>
      </c>
      <c r="Q2347" t="n">
        <v>0</v>
      </c>
      <c r="R2347" s="2" t="inlineStr"/>
    </row>
    <row r="2348" ht="15" customHeight="1">
      <c r="A2348" t="inlineStr">
        <is>
          <t>A 44770-2022</t>
        </is>
      </c>
      <c r="B2348" s="1" t="n">
        <v>44841</v>
      </c>
      <c r="C2348" s="1" t="n">
        <v>45358</v>
      </c>
      <c r="D2348" t="inlineStr">
        <is>
          <t>HALLANDS LÄN</t>
        </is>
      </c>
      <c r="E2348" t="inlineStr">
        <is>
          <t>VARBERG</t>
        </is>
      </c>
      <c r="G2348" t="n">
        <v>1.9</v>
      </c>
      <c r="H2348" t="n">
        <v>0</v>
      </c>
      <c r="I2348" t="n">
        <v>0</v>
      </c>
      <c r="J2348" t="n">
        <v>0</v>
      </c>
      <c r="K2348" t="n">
        <v>0</v>
      </c>
      <c r="L2348" t="n">
        <v>0</v>
      </c>
      <c r="M2348" t="n">
        <v>0</v>
      </c>
      <c r="N2348" t="n">
        <v>0</v>
      </c>
      <c r="O2348" t="n">
        <v>0</v>
      </c>
      <c r="P2348" t="n">
        <v>0</v>
      </c>
      <c r="Q2348" t="n">
        <v>0</v>
      </c>
      <c r="R2348" s="2" t="inlineStr"/>
    </row>
    <row r="2349" ht="15" customHeight="1">
      <c r="A2349" t="inlineStr">
        <is>
          <t>A 44953-2022</t>
        </is>
      </c>
      <c r="B2349" s="1" t="n">
        <v>44841</v>
      </c>
      <c r="C2349" s="1" t="n">
        <v>45358</v>
      </c>
      <c r="D2349" t="inlineStr">
        <is>
          <t>HALLANDS LÄN</t>
        </is>
      </c>
      <c r="E2349" t="inlineStr">
        <is>
          <t>FALKENBERG</t>
        </is>
      </c>
      <c r="G2349" t="n">
        <v>1.2</v>
      </c>
      <c r="H2349" t="n">
        <v>0</v>
      </c>
      <c r="I2349" t="n">
        <v>0</v>
      </c>
      <c r="J2349" t="n">
        <v>0</v>
      </c>
      <c r="K2349" t="n">
        <v>0</v>
      </c>
      <c r="L2349" t="n">
        <v>0</v>
      </c>
      <c r="M2349" t="n">
        <v>0</v>
      </c>
      <c r="N2349" t="n">
        <v>0</v>
      </c>
      <c r="O2349" t="n">
        <v>0</v>
      </c>
      <c r="P2349" t="n">
        <v>0</v>
      </c>
      <c r="Q2349" t="n">
        <v>0</v>
      </c>
      <c r="R2349" s="2" t="inlineStr"/>
    </row>
    <row r="2350" ht="15" customHeight="1">
      <c r="A2350" t="inlineStr">
        <is>
          <t>A 44984-2022</t>
        </is>
      </c>
      <c r="B2350" s="1" t="n">
        <v>44841</v>
      </c>
      <c r="C2350" s="1" t="n">
        <v>45358</v>
      </c>
      <c r="D2350" t="inlineStr">
        <is>
          <t>HALLANDS LÄN</t>
        </is>
      </c>
      <c r="E2350" t="inlineStr">
        <is>
          <t>KUNGSBACKA</t>
        </is>
      </c>
      <c r="G2350" t="n">
        <v>5.3</v>
      </c>
      <c r="H2350" t="n">
        <v>0</v>
      </c>
      <c r="I2350" t="n">
        <v>0</v>
      </c>
      <c r="J2350" t="n">
        <v>0</v>
      </c>
      <c r="K2350" t="n">
        <v>0</v>
      </c>
      <c r="L2350" t="n">
        <v>0</v>
      </c>
      <c r="M2350" t="n">
        <v>0</v>
      </c>
      <c r="N2350" t="n">
        <v>0</v>
      </c>
      <c r="O2350" t="n">
        <v>0</v>
      </c>
      <c r="P2350" t="n">
        <v>0</v>
      </c>
      <c r="Q2350" t="n">
        <v>0</v>
      </c>
      <c r="R2350" s="2" t="inlineStr"/>
    </row>
    <row r="2351" ht="15" customHeight="1">
      <c r="A2351" t="inlineStr">
        <is>
          <t>A 45453-2022</t>
        </is>
      </c>
      <c r="B2351" s="1" t="n">
        <v>44845</v>
      </c>
      <c r="C2351" s="1" t="n">
        <v>45358</v>
      </c>
      <c r="D2351" t="inlineStr">
        <is>
          <t>HALLANDS LÄN</t>
        </is>
      </c>
      <c r="E2351" t="inlineStr">
        <is>
          <t>HYLTE</t>
        </is>
      </c>
      <c r="G2351" t="n">
        <v>0.5</v>
      </c>
      <c r="H2351" t="n">
        <v>0</v>
      </c>
      <c r="I2351" t="n">
        <v>0</v>
      </c>
      <c r="J2351" t="n">
        <v>0</v>
      </c>
      <c r="K2351" t="n">
        <v>0</v>
      </c>
      <c r="L2351" t="n">
        <v>0</v>
      </c>
      <c r="M2351" t="n">
        <v>0</v>
      </c>
      <c r="N2351" t="n">
        <v>0</v>
      </c>
      <c r="O2351" t="n">
        <v>0</v>
      </c>
      <c r="P2351" t="n">
        <v>0</v>
      </c>
      <c r="Q2351" t="n">
        <v>0</v>
      </c>
      <c r="R2351" s="2" t="inlineStr"/>
    </row>
    <row r="2352" ht="15" customHeight="1">
      <c r="A2352" t="inlineStr">
        <is>
          <t>A 45585-2022</t>
        </is>
      </c>
      <c r="B2352" s="1" t="n">
        <v>44845</v>
      </c>
      <c r="C2352" s="1" t="n">
        <v>45358</v>
      </c>
      <c r="D2352" t="inlineStr">
        <is>
          <t>HALLANDS LÄN</t>
        </is>
      </c>
      <c r="E2352" t="inlineStr">
        <is>
          <t>HALMSTAD</t>
        </is>
      </c>
      <c r="F2352" t="inlineStr">
        <is>
          <t>Kyrkan</t>
        </is>
      </c>
      <c r="G2352" t="n">
        <v>1.7</v>
      </c>
      <c r="H2352" t="n">
        <v>0</v>
      </c>
      <c r="I2352" t="n">
        <v>0</v>
      </c>
      <c r="J2352" t="n">
        <v>0</v>
      </c>
      <c r="K2352" t="n">
        <v>0</v>
      </c>
      <c r="L2352" t="n">
        <v>0</v>
      </c>
      <c r="M2352" t="n">
        <v>0</v>
      </c>
      <c r="N2352" t="n">
        <v>0</v>
      </c>
      <c r="O2352" t="n">
        <v>0</v>
      </c>
      <c r="P2352" t="n">
        <v>0</v>
      </c>
      <c r="Q2352" t="n">
        <v>0</v>
      </c>
      <c r="R2352" s="2" t="inlineStr"/>
    </row>
    <row r="2353" ht="15" customHeight="1">
      <c r="A2353" t="inlineStr">
        <is>
          <t>A 45732-2022</t>
        </is>
      </c>
      <c r="B2353" s="1" t="n">
        <v>44846</v>
      </c>
      <c r="C2353" s="1" t="n">
        <v>45358</v>
      </c>
      <c r="D2353" t="inlineStr">
        <is>
          <t>HALLANDS LÄN</t>
        </is>
      </c>
      <c r="E2353" t="inlineStr">
        <is>
          <t>LAHOLM</t>
        </is>
      </c>
      <c r="G2353" t="n">
        <v>1.3</v>
      </c>
      <c r="H2353" t="n">
        <v>0</v>
      </c>
      <c r="I2353" t="n">
        <v>0</v>
      </c>
      <c r="J2353" t="n">
        <v>0</v>
      </c>
      <c r="K2353" t="n">
        <v>0</v>
      </c>
      <c r="L2353" t="n">
        <v>0</v>
      </c>
      <c r="M2353" t="n">
        <v>0</v>
      </c>
      <c r="N2353" t="n">
        <v>0</v>
      </c>
      <c r="O2353" t="n">
        <v>0</v>
      </c>
      <c r="P2353" t="n">
        <v>0</v>
      </c>
      <c r="Q2353" t="n">
        <v>0</v>
      </c>
      <c r="R2353" s="2" t="inlineStr"/>
    </row>
    <row r="2354" ht="15" customHeight="1">
      <c r="A2354" t="inlineStr">
        <is>
          <t>A 45965-2022</t>
        </is>
      </c>
      <c r="B2354" s="1" t="n">
        <v>44846</v>
      </c>
      <c r="C2354" s="1" t="n">
        <v>45358</v>
      </c>
      <c r="D2354" t="inlineStr">
        <is>
          <t>HALLANDS LÄN</t>
        </is>
      </c>
      <c r="E2354" t="inlineStr">
        <is>
          <t>FALKENBERG</t>
        </is>
      </c>
      <c r="G2354" t="n">
        <v>2.3</v>
      </c>
      <c r="H2354" t="n">
        <v>0</v>
      </c>
      <c r="I2354" t="n">
        <v>0</v>
      </c>
      <c r="J2354" t="n">
        <v>0</v>
      </c>
      <c r="K2354" t="n">
        <v>0</v>
      </c>
      <c r="L2354" t="n">
        <v>0</v>
      </c>
      <c r="M2354" t="n">
        <v>0</v>
      </c>
      <c r="N2354" t="n">
        <v>0</v>
      </c>
      <c r="O2354" t="n">
        <v>0</v>
      </c>
      <c r="P2354" t="n">
        <v>0</v>
      </c>
      <c r="Q2354" t="n">
        <v>0</v>
      </c>
      <c r="R2354" s="2" t="inlineStr"/>
    </row>
    <row r="2355" ht="15" customHeight="1">
      <c r="A2355" t="inlineStr">
        <is>
          <t>A 45733-2022</t>
        </is>
      </c>
      <c r="B2355" s="1" t="n">
        <v>44846</v>
      </c>
      <c r="C2355" s="1" t="n">
        <v>45358</v>
      </c>
      <c r="D2355" t="inlineStr">
        <is>
          <t>HALLANDS LÄN</t>
        </is>
      </c>
      <c r="E2355" t="inlineStr">
        <is>
          <t>LAHOLM</t>
        </is>
      </c>
      <c r="G2355" t="n">
        <v>0.9</v>
      </c>
      <c r="H2355" t="n">
        <v>0</v>
      </c>
      <c r="I2355" t="n">
        <v>0</v>
      </c>
      <c r="J2355" t="n">
        <v>0</v>
      </c>
      <c r="K2355" t="n">
        <v>0</v>
      </c>
      <c r="L2355" t="n">
        <v>0</v>
      </c>
      <c r="M2355" t="n">
        <v>0</v>
      </c>
      <c r="N2355" t="n">
        <v>0</v>
      </c>
      <c r="O2355" t="n">
        <v>0</v>
      </c>
      <c r="P2355" t="n">
        <v>0</v>
      </c>
      <c r="Q2355" t="n">
        <v>0</v>
      </c>
      <c r="R2355" s="2" t="inlineStr"/>
    </row>
    <row r="2356" ht="15" customHeight="1">
      <c r="A2356" t="inlineStr">
        <is>
          <t>A 45914-2022</t>
        </is>
      </c>
      <c r="B2356" s="1" t="n">
        <v>44846</v>
      </c>
      <c r="C2356" s="1" t="n">
        <v>45358</v>
      </c>
      <c r="D2356" t="inlineStr">
        <is>
          <t>HALLANDS LÄN</t>
        </is>
      </c>
      <c r="E2356" t="inlineStr">
        <is>
          <t>FALKENBERG</t>
        </is>
      </c>
      <c r="G2356" t="n">
        <v>0.5</v>
      </c>
      <c r="H2356" t="n">
        <v>0</v>
      </c>
      <c r="I2356" t="n">
        <v>0</v>
      </c>
      <c r="J2356" t="n">
        <v>0</v>
      </c>
      <c r="K2356" t="n">
        <v>0</v>
      </c>
      <c r="L2356" t="n">
        <v>0</v>
      </c>
      <c r="M2356" t="n">
        <v>0</v>
      </c>
      <c r="N2356" t="n">
        <v>0</v>
      </c>
      <c r="O2356" t="n">
        <v>0</v>
      </c>
      <c r="P2356" t="n">
        <v>0</v>
      </c>
      <c r="Q2356" t="n">
        <v>0</v>
      </c>
      <c r="R2356" s="2" t="inlineStr"/>
    </row>
    <row r="2357" ht="15" customHeight="1">
      <c r="A2357" t="inlineStr">
        <is>
          <t>A 45970-2022</t>
        </is>
      </c>
      <c r="B2357" s="1" t="n">
        <v>44846</v>
      </c>
      <c r="C2357" s="1" t="n">
        <v>45358</v>
      </c>
      <c r="D2357" t="inlineStr">
        <is>
          <t>HALLANDS LÄN</t>
        </is>
      </c>
      <c r="E2357" t="inlineStr">
        <is>
          <t>FALKENBERG</t>
        </is>
      </c>
      <c r="G2357" t="n">
        <v>2.2</v>
      </c>
      <c r="H2357" t="n">
        <v>0</v>
      </c>
      <c r="I2357" t="n">
        <v>0</v>
      </c>
      <c r="J2357" t="n">
        <v>0</v>
      </c>
      <c r="K2357" t="n">
        <v>0</v>
      </c>
      <c r="L2357" t="n">
        <v>0</v>
      </c>
      <c r="M2357" t="n">
        <v>0</v>
      </c>
      <c r="N2357" t="n">
        <v>0</v>
      </c>
      <c r="O2357" t="n">
        <v>0</v>
      </c>
      <c r="P2357" t="n">
        <v>0</v>
      </c>
      <c r="Q2357" t="n">
        <v>0</v>
      </c>
      <c r="R2357" s="2" t="inlineStr"/>
    </row>
    <row r="2358" ht="15" customHeight="1">
      <c r="A2358" t="inlineStr">
        <is>
          <t>A 45974-2022</t>
        </is>
      </c>
      <c r="B2358" s="1" t="n">
        <v>44846</v>
      </c>
      <c r="C2358" s="1" t="n">
        <v>45358</v>
      </c>
      <c r="D2358" t="inlineStr">
        <is>
          <t>HALLANDS LÄN</t>
        </is>
      </c>
      <c r="E2358" t="inlineStr">
        <is>
          <t>FALKENBERG</t>
        </is>
      </c>
      <c r="G2358" t="n">
        <v>3.6</v>
      </c>
      <c r="H2358" t="n">
        <v>0</v>
      </c>
      <c r="I2358" t="n">
        <v>0</v>
      </c>
      <c r="J2358" t="n">
        <v>0</v>
      </c>
      <c r="K2358" t="n">
        <v>0</v>
      </c>
      <c r="L2358" t="n">
        <v>0</v>
      </c>
      <c r="M2358" t="n">
        <v>0</v>
      </c>
      <c r="N2358" t="n">
        <v>0</v>
      </c>
      <c r="O2358" t="n">
        <v>0</v>
      </c>
      <c r="P2358" t="n">
        <v>0</v>
      </c>
      <c r="Q2358" t="n">
        <v>0</v>
      </c>
      <c r="R2358" s="2" t="inlineStr"/>
    </row>
    <row r="2359" ht="15" customHeight="1">
      <c r="A2359" t="inlineStr">
        <is>
          <t>A 46015-2022</t>
        </is>
      </c>
      <c r="B2359" s="1" t="n">
        <v>44846</v>
      </c>
      <c r="C2359" s="1" t="n">
        <v>45358</v>
      </c>
      <c r="D2359" t="inlineStr">
        <is>
          <t>HALLANDS LÄN</t>
        </is>
      </c>
      <c r="E2359" t="inlineStr">
        <is>
          <t>FALKENBERG</t>
        </is>
      </c>
      <c r="G2359" t="n">
        <v>1.2</v>
      </c>
      <c r="H2359" t="n">
        <v>0</v>
      </c>
      <c r="I2359" t="n">
        <v>0</v>
      </c>
      <c r="J2359" t="n">
        <v>0</v>
      </c>
      <c r="K2359" t="n">
        <v>0</v>
      </c>
      <c r="L2359" t="n">
        <v>0</v>
      </c>
      <c r="M2359" t="n">
        <v>0</v>
      </c>
      <c r="N2359" t="n">
        <v>0</v>
      </c>
      <c r="O2359" t="n">
        <v>0</v>
      </c>
      <c r="P2359" t="n">
        <v>0</v>
      </c>
      <c r="Q2359" t="n">
        <v>0</v>
      </c>
      <c r="R2359" s="2" t="inlineStr"/>
    </row>
    <row r="2360" ht="15" customHeight="1">
      <c r="A2360" t="inlineStr">
        <is>
          <t>A 46253-2022</t>
        </is>
      </c>
      <c r="B2360" s="1" t="n">
        <v>44847</v>
      </c>
      <c r="C2360" s="1" t="n">
        <v>45358</v>
      </c>
      <c r="D2360" t="inlineStr">
        <is>
          <t>HALLANDS LÄN</t>
        </is>
      </c>
      <c r="E2360" t="inlineStr">
        <is>
          <t>HYLTE</t>
        </is>
      </c>
      <c r="G2360" t="n">
        <v>4.6</v>
      </c>
      <c r="H2360" t="n">
        <v>0</v>
      </c>
      <c r="I2360" t="n">
        <v>0</v>
      </c>
      <c r="J2360" t="n">
        <v>0</v>
      </c>
      <c r="K2360" t="n">
        <v>0</v>
      </c>
      <c r="L2360" t="n">
        <v>0</v>
      </c>
      <c r="M2360" t="n">
        <v>0</v>
      </c>
      <c r="N2360" t="n">
        <v>0</v>
      </c>
      <c r="O2360" t="n">
        <v>0</v>
      </c>
      <c r="P2360" t="n">
        <v>0</v>
      </c>
      <c r="Q2360" t="n">
        <v>0</v>
      </c>
      <c r="R2360" s="2" t="inlineStr"/>
    </row>
    <row r="2361" ht="15" customHeight="1">
      <c r="A2361" t="inlineStr">
        <is>
          <t>A 46250-2022</t>
        </is>
      </c>
      <c r="B2361" s="1" t="n">
        <v>44847</v>
      </c>
      <c r="C2361" s="1" t="n">
        <v>45358</v>
      </c>
      <c r="D2361" t="inlineStr">
        <is>
          <t>HALLANDS LÄN</t>
        </is>
      </c>
      <c r="E2361" t="inlineStr">
        <is>
          <t>HYLTE</t>
        </is>
      </c>
      <c r="G2361" t="n">
        <v>0.9</v>
      </c>
      <c r="H2361" t="n">
        <v>0</v>
      </c>
      <c r="I2361" t="n">
        <v>0</v>
      </c>
      <c r="J2361" t="n">
        <v>0</v>
      </c>
      <c r="K2361" t="n">
        <v>0</v>
      </c>
      <c r="L2361" t="n">
        <v>0</v>
      </c>
      <c r="M2361" t="n">
        <v>0</v>
      </c>
      <c r="N2361" t="n">
        <v>0</v>
      </c>
      <c r="O2361" t="n">
        <v>0</v>
      </c>
      <c r="P2361" t="n">
        <v>0</v>
      </c>
      <c r="Q2361" t="n">
        <v>0</v>
      </c>
      <c r="R2361" s="2" t="inlineStr"/>
    </row>
    <row r="2362" ht="15" customHeight="1">
      <c r="A2362" t="inlineStr">
        <is>
          <t>A 46251-2022</t>
        </is>
      </c>
      <c r="B2362" s="1" t="n">
        <v>44847</v>
      </c>
      <c r="C2362" s="1" t="n">
        <v>45358</v>
      </c>
      <c r="D2362" t="inlineStr">
        <is>
          <t>HALLANDS LÄN</t>
        </is>
      </c>
      <c r="E2362" t="inlineStr">
        <is>
          <t>HYLTE</t>
        </is>
      </c>
      <c r="G2362" t="n">
        <v>0.6</v>
      </c>
      <c r="H2362" t="n">
        <v>0</v>
      </c>
      <c r="I2362" t="n">
        <v>0</v>
      </c>
      <c r="J2362" t="n">
        <v>0</v>
      </c>
      <c r="K2362" t="n">
        <v>0</v>
      </c>
      <c r="L2362" t="n">
        <v>0</v>
      </c>
      <c r="M2362" t="n">
        <v>0</v>
      </c>
      <c r="N2362" t="n">
        <v>0</v>
      </c>
      <c r="O2362" t="n">
        <v>0</v>
      </c>
      <c r="P2362" t="n">
        <v>0</v>
      </c>
      <c r="Q2362" t="n">
        <v>0</v>
      </c>
      <c r="R2362" s="2" t="inlineStr"/>
    </row>
    <row r="2363" ht="15" customHeight="1">
      <c r="A2363" t="inlineStr">
        <is>
          <t>A 46365-2022</t>
        </is>
      </c>
      <c r="B2363" s="1" t="n">
        <v>44848</v>
      </c>
      <c r="C2363" s="1" t="n">
        <v>45358</v>
      </c>
      <c r="D2363" t="inlineStr">
        <is>
          <t>HALLANDS LÄN</t>
        </is>
      </c>
      <c r="E2363" t="inlineStr">
        <is>
          <t>FALKENBERG</t>
        </is>
      </c>
      <c r="G2363" t="n">
        <v>0.8</v>
      </c>
      <c r="H2363" t="n">
        <v>0</v>
      </c>
      <c r="I2363" t="n">
        <v>0</v>
      </c>
      <c r="J2363" t="n">
        <v>0</v>
      </c>
      <c r="K2363" t="n">
        <v>0</v>
      </c>
      <c r="L2363" t="n">
        <v>0</v>
      </c>
      <c r="M2363" t="n">
        <v>0</v>
      </c>
      <c r="N2363" t="n">
        <v>0</v>
      </c>
      <c r="O2363" t="n">
        <v>0</v>
      </c>
      <c r="P2363" t="n">
        <v>0</v>
      </c>
      <c r="Q2363" t="n">
        <v>0</v>
      </c>
      <c r="R2363" s="2" t="inlineStr"/>
    </row>
    <row r="2364" ht="15" customHeight="1">
      <c r="A2364" t="inlineStr">
        <is>
          <t>A 46518-2022</t>
        </is>
      </c>
      <c r="B2364" s="1" t="n">
        <v>44848</v>
      </c>
      <c r="C2364" s="1" t="n">
        <v>45358</v>
      </c>
      <c r="D2364" t="inlineStr">
        <is>
          <t>HALLANDS LÄN</t>
        </is>
      </c>
      <c r="E2364" t="inlineStr">
        <is>
          <t>VARBERG</t>
        </is>
      </c>
      <c r="G2364" t="n">
        <v>2.9</v>
      </c>
      <c r="H2364" t="n">
        <v>0</v>
      </c>
      <c r="I2364" t="n">
        <v>0</v>
      </c>
      <c r="J2364" t="n">
        <v>0</v>
      </c>
      <c r="K2364" t="n">
        <v>0</v>
      </c>
      <c r="L2364" t="n">
        <v>0</v>
      </c>
      <c r="M2364" t="n">
        <v>0</v>
      </c>
      <c r="N2364" t="n">
        <v>0</v>
      </c>
      <c r="O2364" t="n">
        <v>0</v>
      </c>
      <c r="P2364" t="n">
        <v>0</v>
      </c>
      <c r="Q2364" t="n">
        <v>0</v>
      </c>
      <c r="R2364" s="2" t="inlineStr"/>
    </row>
    <row r="2365" ht="15" customHeight="1">
      <c r="A2365" t="inlineStr">
        <is>
          <t>A 46500-2022</t>
        </is>
      </c>
      <c r="B2365" s="1" t="n">
        <v>44848</v>
      </c>
      <c r="C2365" s="1" t="n">
        <v>45358</v>
      </c>
      <c r="D2365" t="inlineStr">
        <is>
          <t>HALLANDS LÄN</t>
        </is>
      </c>
      <c r="E2365" t="inlineStr">
        <is>
          <t>HALMSTAD</t>
        </is>
      </c>
      <c r="G2365" t="n">
        <v>2.1</v>
      </c>
      <c r="H2365" t="n">
        <v>0</v>
      </c>
      <c r="I2365" t="n">
        <v>0</v>
      </c>
      <c r="J2365" t="n">
        <v>0</v>
      </c>
      <c r="K2365" t="n">
        <v>0</v>
      </c>
      <c r="L2365" t="n">
        <v>0</v>
      </c>
      <c r="M2365" t="n">
        <v>0</v>
      </c>
      <c r="N2365" t="n">
        <v>0</v>
      </c>
      <c r="O2365" t="n">
        <v>0</v>
      </c>
      <c r="P2365" t="n">
        <v>0</v>
      </c>
      <c r="Q2365" t="n">
        <v>0</v>
      </c>
      <c r="R2365" s="2" t="inlineStr"/>
    </row>
    <row r="2366" ht="15" customHeight="1">
      <c r="A2366" t="inlineStr">
        <is>
          <t>A 46442-2022</t>
        </is>
      </c>
      <c r="B2366" s="1" t="n">
        <v>44848</v>
      </c>
      <c r="C2366" s="1" t="n">
        <v>45358</v>
      </c>
      <c r="D2366" t="inlineStr">
        <is>
          <t>HALLANDS LÄN</t>
        </is>
      </c>
      <c r="E2366" t="inlineStr">
        <is>
          <t>LAHOLM</t>
        </is>
      </c>
      <c r="G2366" t="n">
        <v>7.9</v>
      </c>
      <c r="H2366" t="n">
        <v>0</v>
      </c>
      <c r="I2366" t="n">
        <v>0</v>
      </c>
      <c r="J2366" t="n">
        <v>0</v>
      </c>
      <c r="K2366" t="n">
        <v>0</v>
      </c>
      <c r="L2366" t="n">
        <v>0</v>
      </c>
      <c r="M2366" t="n">
        <v>0</v>
      </c>
      <c r="N2366" t="n">
        <v>0</v>
      </c>
      <c r="O2366" t="n">
        <v>0</v>
      </c>
      <c r="P2366" t="n">
        <v>0</v>
      </c>
      <c r="Q2366" t="n">
        <v>0</v>
      </c>
      <c r="R2366" s="2" t="inlineStr"/>
    </row>
    <row r="2367" ht="15" customHeight="1">
      <c r="A2367" t="inlineStr">
        <is>
          <t>A 46508-2022</t>
        </is>
      </c>
      <c r="B2367" s="1" t="n">
        <v>44848</v>
      </c>
      <c r="C2367" s="1" t="n">
        <v>45358</v>
      </c>
      <c r="D2367" t="inlineStr">
        <is>
          <t>HALLANDS LÄN</t>
        </is>
      </c>
      <c r="E2367" t="inlineStr">
        <is>
          <t>HALMSTAD</t>
        </is>
      </c>
      <c r="G2367" t="n">
        <v>1.3</v>
      </c>
      <c r="H2367" t="n">
        <v>0</v>
      </c>
      <c r="I2367" t="n">
        <v>0</v>
      </c>
      <c r="J2367" t="n">
        <v>0</v>
      </c>
      <c r="K2367" t="n">
        <v>0</v>
      </c>
      <c r="L2367" t="n">
        <v>0</v>
      </c>
      <c r="M2367" t="n">
        <v>0</v>
      </c>
      <c r="N2367" t="n">
        <v>0</v>
      </c>
      <c r="O2367" t="n">
        <v>0</v>
      </c>
      <c r="P2367" t="n">
        <v>0</v>
      </c>
      <c r="Q2367" t="n">
        <v>0</v>
      </c>
      <c r="R2367" s="2" t="inlineStr"/>
    </row>
    <row r="2368" ht="15" customHeight="1">
      <c r="A2368" t="inlineStr">
        <is>
          <t>A 46715-2022</t>
        </is>
      </c>
      <c r="B2368" s="1" t="n">
        <v>44851</v>
      </c>
      <c r="C2368" s="1" t="n">
        <v>45358</v>
      </c>
      <c r="D2368" t="inlineStr">
        <is>
          <t>HALLANDS LÄN</t>
        </is>
      </c>
      <c r="E2368" t="inlineStr">
        <is>
          <t>LAHOLM</t>
        </is>
      </c>
      <c r="G2368" t="n">
        <v>1.6</v>
      </c>
      <c r="H2368" t="n">
        <v>0</v>
      </c>
      <c r="I2368" t="n">
        <v>0</v>
      </c>
      <c r="J2368" t="n">
        <v>0</v>
      </c>
      <c r="K2368" t="n">
        <v>0</v>
      </c>
      <c r="L2368" t="n">
        <v>0</v>
      </c>
      <c r="M2368" t="n">
        <v>0</v>
      </c>
      <c r="N2368" t="n">
        <v>0</v>
      </c>
      <c r="O2368" t="n">
        <v>0</v>
      </c>
      <c r="P2368" t="n">
        <v>0</v>
      </c>
      <c r="Q2368" t="n">
        <v>0</v>
      </c>
      <c r="R2368" s="2" t="inlineStr"/>
    </row>
    <row r="2369" ht="15" customHeight="1">
      <c r="A2369" t="inlineStr">
        <is>
          <t>A 46948-2022</t>
        </is>
      </c>
      <c r="B2369" s="1" t="n">
        <v>44851</v>
      </c>
      <c r="C2369" s="1" t="n">
        <v>45358</v>
      </c>
      <c r="D2369" t="inlineStr">
        <is>
          <t>HALLANDS LÄN</t>
        </is>
      </c>
      <c r="E2369" t="inlineStr">
        <is>
          <t>HYLTE</t>
        </is>
      </c>
      <c r="G2369" t="n">
        <v>1.5</v>
      </c>
      <c r="H2369" t="n">
        <v>0</v>
      </c>
      <c r="I2369" t="n">
        <v>0</v>
      </c>
      <c r="J2369" t="n">
        <v>0</v>
      </c>
      <c r="K2369" t="n">
        <v>0</v>
      </c>
      <c r="L2369" t="n">
        <v>0</v>
      </c>
      <c r="M2369" t="n">
        <v>0</v>
      </c>
      <c r="N2369" t="n">
        <v>0</v>
      </c>
      <c r="O2369" t="n">
        <v>0</v>
      </c>
      <c r="P2369" t="n">
        <v>0</v>
      </c>
      <c r="Q2369" t="n">
        <v>0</v>
      </c>
      <c r="R2369" s="2" t="inlineStr"/>
    </row>
    <row r="2370" ht="15" customHeight="1">
      <c r="A2370" t="inlineStr">
        <is>
          <t>A 46771-2022</t>
        </is>
      </c>
      <c r="B2370" s="1" t="n">
        <v>44851</v>
      </c>
      <c r="C2370" s="1" t="n">
        <v>45358</v>
      </c>
      <c r="D2370" t="inlineStr">
        <is>
          <t>HALLANDS LÄN</t>
        </is>
      </c>
      <c r="E2370" t="inlineStr">
        <is>
          <t>VARBERG</t>
        </is>
      </c>
      <c r="G2370" t="n">
        <v>2.3</v>
      </c>
      <c r="H2370" t="n">
        <v>0</v>
      </c>
      <c r="I2370" t="n">
        <v>0</v>
      </c>
      <c r="J2370" t="n">
        <v>0</v>
      </c>
      <c r="K2370" t="n">
        <v>0</v>
      </c>
      <c r="L2370" t="n">
        <v>0</v>
      </c>
      <c r="M2370" t="n">
        <v>0</v>
      </c>
      <c r="N2370" t="n">
        <v>0</v>
      </c>
      <c r="O2370" t="n">
        <v>0</v>
      </c>
      <c r="P2370" t="n">
        <v>0</v>
      </c>
      <c r="Q2370" t="n">
        <v>0</v>
      </c>
      <c r="R2370" s="2" t="inlineStr"/>
    </row>
    <row r="2371" ht="15" customHeight="1">
      <c r="A2371" t="inlineStr">
        <is>
          <t>A 46779-2022</t>
        </is>
      </c>
      <c r="B2371" s="1" t="n">
        <v>44851</v>
      </c>
      <c r="C2371" s="1" t="n">
        <v>45358</v>
      </c>
      <c r="D2371" t="inlineStr">
        <is>
          <t>HALLANDS LÄN</t>
        </is>
      </c>
      <c r="E2371" t="inlineStr">
        <is>
          <t>KUNGSBACKA</t>
        </is>
      </c>
      <c r="G2371" t="n">
        <v>6.7</v>
      </c>
      <c r="H2371" t="n">
        <v>0</v>
      </c>
      <c r="I2371" t="n">
        <v>0</v>
      </c>
      <c r="J2371" t="n">
        <v>0</v>
      </c>
      <c r="K2371" t="n">
        <v>0</v>
      </c>
      <c r="L2371" t="n">
        <v>0</v>
      </c>
      <c r="M2371" t="n">
        <v>0</v>
      </c>
      <c r="N2371" t="n">
        <v>0</v>
      </c>
      <c r="O2371" t="n">
        <v>0</v>
      </c>
      <c r="P2371" t="n">
        <v>0</v>
      </c>
      <c r="Q2371" t="n">
        <v>0</v>
      </c>
      <c r="R2371" s="2" t="inlineStr"/>
    </row>
    <row r="2372" ht="15" customHeight="1">
      <c r="A2372" t="inlineStr">
        <is>
          <t>A 46947-2022</t>
        </is>
      </c>
      <c r="B2372" s="1" t="n">
        <v>44851</v>
      </c>
      <c r="C2372" s="1" t="n">
        <v>45358</v>
      </c>
      <c r="D2372" t="inlineStr">
        <is>
          <t>HALLANDS LÄN</t>
        </is>
      </c>
      <c r="E2372" t="inlineStr">
        <is>
          <t>HYLTE</t>
        </is>
      </c>
      <c r="G2372" t="n">
        <v>2.4</v>
      </c>
      <c r="H2372" t="n">
        <v>0</v>
      </c>
      <c r="I2372" t="n">
        <v>0</v>
      </c>
      <c r="J2372" t="n">
        <v>0</v>
      </c>
      <c r="K2372" t="n">
        <v>0</v>
      </c>
      <c r="L2372" t="n">
        <v>0</v>
      </c>
      <c r="M2372" t="n">
        <v>0</v>
      </c>
      <c r="N2372" t="n">
        <v>0</v>
      </c>
      <c r="O2372" t="n">
        <v>0</v>
      </c>
      <c r="P2372" t="n">
        <v>0</v>
      </c>
      <c r="Q2372" t="n">
        <v>0</v>
      </c>
      <c r="R2372" s="2" t="inlineStr"/>
    </row>
    <row r="2373" ht="15" customHeight="1">
      <c r="A2373" t="inlineStr">
        <is>
          <t>A 46946-2022</t>
        </is>
      </c>
      <c r="B2373" s="1" t="n">
        <v>44851</v>
      </c>
      <c r="C2373" s="1" t="n">
        <v>45358</v>
      </c>
      <c r="D2373" t="inlineStr">
        <is>
          <t>HALLANDS LÄN</t>
        </is>
      </c>
      <c r="E2373" t="inlineStr">
        <is>
          <t>HYLTE</t>
        </is>
      </c>
      <c r="G2373" t="n">
        <v>4.9</v>
      </c>
      <c r="H2373" t="n">
        <v>0</v>
      </c>
      <c r="I2373" t="n">
        <v>0</v>
      </c>
      <c r="J2373" t="n">
        <v>0</v>
      </c>
      <c r="K2373" t="n">
        <v>0</v>
      </c>
      <c r="L2373" t="n">
        <v>0</v>
      </c>
      <c r="M2373" t="n">
        <v>0</v>
      </c>
      <c r="N2373" t="n">
        <v>0</v>
      </c>
      <c r="O2373" t="n">
        <v>0</v>
      </c>
      <c r="P2373" t="n">
        <v>0</v>
      </c>
      <c r="Q2373" t="n">
        <v>0</v>
      </c>
      <c r="R2373" s="2" t="inlineStr"/>
    </row>
    <row r="2374" ht="15" customHeight="1">
      <c r="A2374" t="inlineStr">
        <is>
          <t>A 47205-2022</t>
        </is>
      </c>
      <c r="B2374" s="1" t="n">
        <v>44852</v>
      </c>
      <c r="C2374" s="1" t="n">
        <v>45358</v>
      </c>
      <c r="D2374" t="inlineStr">
        <is>
          <t>HALLANDS LÄN</t>
        </is>
      </c>
      <c r="E2374" t="inlineStr">
        <is>
          <t>FALKENBERG</t>
        </is>
      </c>
      <c r="G2374" t="n">
        <v>1.6</v>
      </c>
      <c r="H2374" t="n">
        <v>0</v>
      </c>
      <c r="I2374" t="n">
        <v>0</v>
      </c>
      <c r="J2374" t="n">
        <v>0</v>
      </c>
      <c r="K2374" t="n">
        <v>0</v>
      </c>
      <c r="L2374" t="n">
        <v>0</v>
      </c>
      <c r="M2374" t="n">
        <v>0</v>
      </c>
      <c r="N2374" t="n">
        <v>0</v>
      </c>
      <c r="O2374" t="n">
        <v>0</v>
      </c>
      <c r="P2374" t="n">
        <v>0</v>
      </c>
      <c r="Q2374" t="n">
        <v>0</v>
      </c>
      <c r="R2374" s="2" t="inlineStr"/>
    </row>
    <row r="2375" ht="15" customHeight="1">
      <c r="A2375" t="inlineStr">
        <is>
          <t>A 47198-2022</t>
        </is>
      </c>
      <c r="B2375" s="1" t="n">
        <v>44852</v>
      </c>
      <c r="C2375" s="1" t="n">
        <v>45358</v>
      </c>
      <c r="D2375" t="inlineStr">
        <is>
          <t>HALLANDS LÄN</t>
        </is>
      </c>
      <c r="E2375" t="inlineStr">
        <is>
          <t>HALMSTAD</t>
        </is>
      </c>
      <c r="G2375" t="n">
        <v>3.7</v>
      </c>
      <c r="H2375" t="n">
        <v>0</v>
      </c>
      <c r="I2375" t="n">
        <v>0</v>
      </c>
      <c r="J2375" t="n">
        <v>0</v>
      </c>
      <c r="K2375" t="n">
        <v>0</v>
      </c>
      <c r="L2375" t="n">
        <v>0</v>
      </c>
      <c r="M2375" t="n">
        <v>0</v>
      </c>
      <c r="N2375" t="n">
        <v>0</v>
      </c>
      <c r="O2375" t="n">
        <v>0</v>
      </c>
      <c r="P2375" t="n">
        <v>0</v>
      </c>
      <c r="Q2375" t="n">
        <v>0</v>
      </c>
      <c r="R2375" s="2" t="inlineStr"/>
    </row>
    <row r="2376" ht="15" customHeight="1">
      <c r="A2376" t="inlineStr">
        <is>
          <t>A 47033-2022</t>
        </is>
      </c>
      <c r="B2376" s="1" t="n">
        <v>44852</v>
      </c>
      <c r="C2376" s="1" t="n">
        <v>45358</v>
      </c>
      <c r="D2376" t="inlineStr">
        <is>
          <t>HALLANDS LÄN</t>
        </is>
      </c>
      <c r="E2376" t="inlineStr">
        <is>
          <t>FALKENBERG</t>
        </is>
      </c>
      <c r="G2376" t="n">
        <v>0.7</v>
      </c>
      <c r="H2376" t="n">
        <v>0</v>
      </c>
      <c r="I2376" t="n">
        <v>0</v>
      </c>
      <c r="J2376" t="n">
        <v>0</v>
      </c>
      <c r="K2376" t="n">
        <v>0</v>
      </c>
      <c r="L2376" t="n">
        <v>0</v>
      </c>
      <c r="M2376" t="n">
        <v>0</v>
      </c>
      <c r="N2376" t="n">
        <v>0</v>
      </c>
      <c r="O2376" t="n">
        <v>0</v>
      </c>
      <c r="P2376" t="n">
        <v>0</v>
      </c>
      <c r="Q2376" t="n">
        <v>0</v>
      </c>
      <c r="R2376" s="2" t="inlineStr"/>
    </row>
    <row r="2377" ht="15" customHeight="1">
      <c r="A2377" t="inlineStr">
        <is>
          <t>A 47021-2022</t>
        </is>
      </c>
      <c r="B2377" s="1" t="n">
        <v>44852</v>
      </c>
      <c r="C2377" s="1" t="n">
        <v>45358</v>
      </c>
      <c r="D2377" t="inlineStr">
        <is>
          <t>HALLANDS LÄN</t>
        </is>
      </c>
      <c r="E2377" t="inlineStr">
        <is>
          <t>FALKENBERG</t>
        </is>
      </c>
      <c r="G2377" t="n">
        <v>1.5</v>
      </c>
      <c r="H2377" t="n">
        <v>0</v>
      </c>
      <c r="I2377" t="n">
        <v>0</v>
      </c>
      <c r="J2377" t="n">
        <v>0</v>
      </c>
      <c r="K2377" t="n">
        <v>0</v>
      </c>
      <c r="L2377" t="n">
        <v>0</v>
      </c>
      <c r="M2377" t="n">
        <v>0</v>
      </c>
      <c r="N2377" t="n">
        <v>0</v>
      </c>
      <c r="O2377" t="n">
        <v>0</v>
      </c>
      <c r="P2377" t="n">
        <v>0</v>
      </c>
      <c r="Q2377" t="n">
        <v>0</v>
      </c>
      <c r="R2377" s="2" t="inlineStr"/>
    </row>
    <row r="2378" ht="15" customHeight="1">
      <c r="A2378" t="inlineStr">
        <is>
          <t>A 47401-2022</t>
        </is>
      </c>
      <c r="B2378" s="1" t="n">
        <v>44853</v>
      </c>
      <c r="C2378" s="1" t="n">
        <v>45358</v>
      </c>
      <c r="D2378" t="inlineStr">
        <is>
          <t>HALLANDS LÄN</t>
        </is>
      </c>
      <c r="E2378" t="inlineStr">
        <is>
          <t>KUNGSBACKA</t>
        </is>
      </c>
      <c r="G2378" t="n">
        <v>0.6</v>
      </c>
      <c r="H2378" t="n">
        <v>0</v>
      </c>
      <c r="I2378" t="n">
        <v>0</v>
      </c>
      <c r="J2378" t="n">
        <v>0</v>
      </c>
      <c r="K2378" t="n">
        <v>0</v>
      </c>
      <c r="L2378" t="n">
        <v>0</v>
      </c>
      <c r="M2378" t="n">
        <v>0</v>
      </c>
      <c r="N2378" t="n">
        <v>0</v>
      </c>
      <c r="O2378" t="n">
        <v>0</v>
      </c>
      <c r="P2378" t="n">
        <v>0</v>
      </c>
      <c r="Q2378" t="n">
        <v>0</v>
      </c>
      <c r="R2378" s="2" t="inlineStr"/>
    </row>
    <row r="2379" ht="15" customHeight="1">
      <c r="A2379" t="inlineStr">
        <is>
          <t>A 47307-2022</t>
        </is>
      </c>
      <c r="B2379" s="1" t="n">
        <v>44853</v>
      </c>
      <c r="C2379" s="1" t="n">
        <v>45358</v>
      </c>
      <c r="D2379" t="inlineStr">
        <is>
          <t>HALLANDS LÄN</t>
        </is>
      </c>
      <c r="E2379" t="inlineStr">
        <is>
          <t>KUNGSBACKA</t>
        </is>
      </c>
      <c r="G2379" t="n">
        <v>2.1</v>
      </c>
      <c r="H2379" t="n">
        <v>0</v>
      </c>
      <c r="I2379" t="n">
        <v>0</v>
      </c>
      <c r="J2379" t="n">
        <v>0</v>
      </c>
      <c r="K2379" t="n">
        <v>0</v>
      </c>
      <c r="L2379" t="n">
        <v>0</v>
      </c>
      <c r="M2379" t="n">
        <v>0</v>
      </c>
      <c r="N2379" t="n">
        <v>0</v>
      </c>
      <c r="O2379" t="n">
        <v>0</v>
      </c>
      <c r="P2379" t="n">
        <v>0</v>
      </c>
      <c r="Q2379" t="n">
        <v>0</v>
      </c>
      <c r="R2379" s="2" t="inlineStr"/>
    </row>
    <row r="2380" ht="15" customHeight="1">
      <c r="A2380" t="inlineStr">
        <is>
          <t>A 48708-2022</t>
        </is>
      </c>
      <c r="B2380" s="1" t="n">
        <v>44854</v>
      </c>
      <c r="C2380" s="1" t="n">
        <v>45358</v>
      </c>
      <c r="D2380" t="inlineStr">
        <is>
          <t>HALLANDS LÄN</t>
        </is>
      </c>
      <c r="E2380" t="inlineStr">
        <is>
          <t>HALMSTAD</t>
        </is>
      </c>
      <c r="G2380" t="n">
        <v>3.6</v>
      </c>
      <c r="H2380" t="n">
        <v>0</v>
      </c>
      <c r="I2380" t="n">
        <v>0</v>
      </c>
      <c r="J2380" t="n">
        <v>0</v>
      </c>
      <c r="K2380" t="n">
        <v>0</v>
      </c>
      <c r="L2380" t="n">
        <v>0</v>
      </c>
      <c r="M2380" t="n">
        <v>0</v>
      </c>
      <c r="N2380" t="n">
        <v>0</v>
      </c>
      <c r="O2380" t="n">
        <v>0</v>
      </c>
      <c r="P2380" t="n">
        <v>0</v>
      </c>
      <c r="Q2380" t="n">
        <v>0</v>
      </c>
      <c r="R2380" s="2" t="inlineStr"/>
    </row>
    <row r="2381" ht="15" customHeight="1">
      <c r="A2381" t="inlineStr">
        <is>
          <t>A 48674-2022</t>
        </is>
      </c>
      <c r="B2381" s="1" t="n">
        <v>44854</v>
      </c>
      <c r="C2381" s="1" t="n">
        <v>45358</v>
      </c>
      <c r="D2381" t="inlineStr">
        <is>
          <t>HALLANDS LÄN</t>
        </is>
      </c>
      <c r="E2381" t="inlineStr">
        <is>
          <t>HALMSTAD</t>
        </is>
      </c>
      <c r="G2381" t="n">
        <v>3.3</v>
      </c>
      <c r="H2381" t="n">
        <v>0</v>
      </c>
      <c r="I2381" t="n">
        <v>0</v>
      </c>
      <c r="J2381" t="n">
        <v>0</v>
      </c>
      <c r="K2381" t="n">
        <v>0</v>
      </c>
      <c r="L2381" t="n">
        <v>0</v>
      </c>
      <c r="M2381" t="n">
        <v>0</v>
      </c>
      <c r="N2381" t="n">
        <v>0</v>
      </c>
      <c r="O2381" t="n">
        <v>0</v>
      </c>
      <c r="P2381" t="n">
        <v>0</v>
      </c>
      <c r="Q2381" t="n">
        <v>0</v>
      </c>
      <c r="R2381" s="2" t="inlineStr"/>
    </row>
    <row r="2382" ht="15" customHeight="1">
      <c r="A2382" t="inlineStr">
        <is>
          <t>A 47937-2022</t>
        </is>
      </c>
      <c r="B2382" s="1" t="n">
        <v>44855</v>
      </c>
      <c r="C2382" s="1" t="n">
        <v>45358</v>
      </c>
      <c r="D2382" t="inlineStr">
        <is>
          <t>HALLANDS LÄN</t>
        </is>
      </c>
      <c r="E2382" t="inlineStr">
        <is>
          <t>LAHOLM</t>
        </is>
      </c>
      <c r="G2382" t="n">
        <v>1.8</v>
      </c>
      <c r="H2382" t="n">
        <v>0</v>
      </c>
      <c r="I2382" t="n">
        <v>0</v>
      </c>
      <c r="J2382" t="n">
        <v>0</v>
      </c>
      <c r="K2382" t="n">
        <v>0</v>
      </c>
      <c r="L2382" t="n">
        <v>0</v>
      </c>
      <c r="M2382" t="n">
        <v>0</v>
      </c>
      <c r="N2382" t="n">
        <v>0</v>
      </c>
      <c r="O2382" t="n">
        <v>0</v>
      </c>
      <c r="P2382" t="n">
        <v>0</v>
      </c>
      <c r="Q2382" t="n">
        <v>0</v>
      </c>
      <c r="R2382" s="2" t="inlineStr"/>
    </row>
    <row r="2383" ht="15" customHeight="1">
      <c r="A2383" t="inlineStr">
        <is>
          <t>A 48019-2022</t>
        </is>
      </c>
      <c r="B2383" s="1" t="n">
        <v>44855</v>
      </c>
      <c r="C2383" s="1" t="n">
        <v>45358</v>
      </c>
      <c r="D2383" t="inlineStr">
        <is>
          <t>HALLANDS LÄN</t>
        </is>
      </c>
      <c r="E2383" t="inlineStr">
        <is>
          <t>VARBERG</t>
        </is>
      </c>
      <c r="G2383" t="n">
        <v>8</v>
      </c>
      <c r="H2383" t="n">
        <v>0</v>
      </c>
      <c r="I2383" t="n">
        <v>0</v>
      </c>
      <c r="J2383" t="n">
        <v>0</v>
      </c>
      <c r="K2383" t="n">
        <v>0</v>
      </c>
      <c r="L2383" t="n">
        <v>0</v>
      </c>
      <c r="M2383" t="n">
        <v>0</v>
      </c>
      <c r="N2383" t="n">
        <v>0</v>
      </c>
      <c r="O2383" t="n">
        <v>0</v>
      </c>
      <c r="P2383" t="n">
        <v>0</v>
      </c>
      <c r="Q2383" t="n">
        <v>0</v>
      </c>
      <c r="R2383" s="2" t="inlineStr"/>
    </row>
    <row r="2384" ht="15" customHeight="1">
      <c r="A2384" t="inlineStr">
        <is>
          <t>A 47842-2022</t>
        </is>
      </c>
      <c r="B2384" s="1" t="n">
        <v>44855</v>
      </c>
      <c r="C2384" s="1" t="n">
        <v>45358</v>
      </c>
      <c r="D2384" t="inlineStr">
        <is>
          <t>HALLANDS LÄN</t>
        </is>
      </c>
      <c r="E2384" t="inlineStr">
        <is>
          <t>HALMSTAD</t>
        </is>
      </c>
      <c r="G2384" t="n">
        <v>4.6</v>
      </c>
      <c r="H2384" t="n">
        <v>0</v>
      </c>
      <c r="I2384" t="n">
        <v>0</v>
      </c>
      <c r="J2384" t="n">
        <v>0</v>
      </c>
      <c r="K2384" t="n">
        <v>0</v>
      </c>
      <c r="L2384" t="n">
        <v>0</v>
      </c>
      <c r="M2384" t="n">
        <v>0</v>
      </c>
      <c r="N2384" t="n">
        <v>0</v>
      </c>
      <c r="O2384" t="n">
        <v>0</v>
      </c>
      <c r="P2384" t="n">
        <v>0</v>
      </c>
      <c r="Q2384" t="n">
        <v>0</v>
      </c>
      <c r="R2384" s="2" t="inlineStr"/>
    </row>
    <row r="2385" ht="15" customHeight="1">
      <c r="A2385" t="inlineStr">
        <is>
          <t>A 47970-2022</t>
        </is>
      </c>
      <c r="B2385" s="1" t="n">
        <v>44855</v>
      </c>
      <c r="C2385" s="1" t="n">
        <v>45358</v>
      </c>
      <c r="D2385" t="inlineStr">
        <is>
          <t>HALLANDS LÄN</t>
        </is>
      </c>
      <c r="E2385" t="inlineStr">
        <is>
          <t>HYLTE</t>
        </is>
      </c>
      <c r="G2385" t="n">
        <v>1</v>
      </c>
      <c r="H2385" t="n">
        <v>0</v>
      </c>
      <c r="I2385" t="n">
        <v>0</v>
      </c>
      <c r="J2385" t="n">
        <v>0</v>
      </c>
      <c r="K2385" t="n">
        <v>0</v>
      </c>
      <c r="L2385" t="n">
        <v>0</v>
      </c>
      <c r="M2385" t="n">
        <v>0</v>
      </c>
      <c r="N2385" t="n">
        <v>0</v>
      </c>
      <c r="O2385" t="n">
        <v>0</v>
      </c>
      <c r="P2385" t="n">
        <v>0</v>
      </c>
      <c r="Q2385" t="n">
        <v>0</v>
      </c>
      <c r="R2385" s="2" t="inlineStr"/>
    </row>
    <row r="2386" ht="15" customHeight="1">
      <c r="A2386" t="inlineStr">
        <is>
          <t>A 48418-2022</t>
        </is>
      </c>
      <c r="B2386" s="1" t="n">
        <v>44858</v>
      </c>
      <c r="C2386" s="1" t="n">
        <v>45358</v>
      </c>
      <c r="D2386" t="inlineStr">
        <is>
          <t>HALLANDS LÄN</t>
        </is>
      </c>
      <c r="E2386" t="inlineStr">
        <is>
          <t>VARBERG</t>
        </is>
      </c>
      <c r="G2386" t="n">
        <v>2</v>
      </c>
      <c r="H2386" t="n">
        <v>0</v>
      </c>
      <c r="I2386" t="n">
        <v>0</v>
      </c>
      <c r="J2386" t="n">
        <v>0</v>
      </c>
      <c r="K2386" t="n">
        <v>0</v>
      </c>
      <c r="L2386" t="n">
        <v>0</v>
      </c>
      <c r="M2386" t="n">
        <v>0</v>
      </c>
      <c r="N2386" t="n">
        <v>0</v>
      </c>
      <c r="O2386" t="n">
        <v>0</v>
      </c>
      <c r="P2386" t="n">
        <v>0</v>
      </c>
      <c r="Q2386" t="n">
        <v>0</v>
      </c>
      <c r="R2386" s="2" t="inlineStr"/>
    </row>
    <row r="2387" ht="15" customHeight="1">
      <c r="A2387" t="inlineStr">
        <is>
          <t>A 48700-2022</t>
        </is>
      </c>
      <c r="B2387" s="1" t="n">
        <v>44859</v>
      </c>
      <c r="C2387" s="1" t="n">
        <v>45358</v>
      </c>
      <c r="D2387" t="inlineStr">
        <is>
          <t>HALLANDS LÄN</t>
        </is>
      </c>
      <c r="E2387" t="inlineStr">
        <is>
          <t>LAHOLM</t>
        </is>
      </c>
      <c r="G2387" t="n">
        <v>2.7</v>
      </c>
      <c r="H2387" t="n">
        <v>0</v>
      </c>
      <c r="I2387" t="n">
        <v>0</v>
      </c>
      <c r="J2387" t="n">
        <v>0</v>
      </c>
      <c r="K2387" t="n">
        <v>0</v>
      </c>
      <c r="L2387" t="n">
        <v>0</v>
      </c>
      <c r="M2387" t="n">
        <v>0</v>
      </c>
      <c r="N2387" t="n">
        <v>0</v>
      </c>
      <c r="O2387" t="n">
        <v>0</v>
      </c>
      <c r="P2387" t="n">
        <v>0</v>
      </c>
      <c r="Q2387" t="n">
        <v>0</v>
      </c>
      <c r="R2387" s="2" t="inlineStr"/>
    </row>
    <row r="2388" ht="15" customHeight="1">
      <c r="A2388" t="inlineStr">
        <is>
          <t>A 49083-2022</t>
        </is>
      </c>
      <c r="B2388" s="1" t="n">
        <v>44860</v>
      </c>
      <c r="C2388" s="1" t="n">
        <v>45358</v>
      </c>
      <c r="D2388" t="inlineStr">
        <is>
          <t>HALLANDS LÄN</t>
        </is>
      </c>
      <c r="E2388" t="inlineStr">
        <is>
          <t>VARBERG</t>
        </is>
      </c>
      <c r="G2388" t="n">
        <v>13.3</v>
      </c>
      <c r="H2388" t="n">
        <v>0</v>
      </c>
      <c r="I2388" t="n">
        <v>0</v>
      </c>
      <c r="J2388" t="n">
        <v>0</v>
      </c>
      <c r="K2388" t="n">
        <v>0</v>
      </c>
      <c r="L2388" t="n">
        <v>0</v>
      </c>
      <c r="M2388" t="n">
        <v>0</v>
      </c>
      <c r="N2388" t="n">
        <v>0</v>
      </c>
      <c r="O2388" t="n">
        <v>0</v>
      </c>
      <c r="P2388" t="n">
        <v>0</v>
      </c>
      <c r="Q2388" t="n">
        <v>0</v>
      </c>
      <c r="R2388" s="2" t="inlineStr"/>
    </row>
    <row r="2389" ht="15" customHeight="1">
      <c r="A2389" t="inlineStr">
        <is>
          <t>A 50439-2022</t>
        </is>
      </c>
      <c r="B2389" s="1" t="n">
        <v>44860</v>
      </c>
      <c r="C2389" s="1" t="n">
        <v>45358</v>
      </c>
      <c r="D2389" t="inlineStr">
        <is>
          <t>HALLANDS LÄN</t>
        </is>
      </c>
      <c r="E2389" t="inlineStr">
        <is>
          <t>HALMSTAD</t>
        </is>
      </c>
      <c r="F2389" t="inlineStr">
        <is>
          <t>Bergvik skog väst AB</t>
        </is>
      </c>
      <c r="G2389" t="n">
        <v>6</v>
      </c>
      <c r="H2389" t="n">
        <v>0</v>
      </c>
      <c r="I2389" t="n">
        <v>0</v>
      </c>
      <c r="J2389" t="n">
        <v>0</v>
      </c>
      <c r="K2389" t="n">
        <v>0</v>
      </c>
      <c r="L2389" t="n">
        <v>0</v>
      </c>
      <c r="M2389" t="n">
        <v>0</v>
      </c>
      <c r="N2389" t="n">
        <v>0</v>
      </c>
      <c r="O2389" t="n">
        <v>0</v>
      </c>
      <c r="P2389" t="n">
        <v>0</v>
      </c>
      <c r="Q2389" t="n">
        <v>0</v>
      </c>
      <c r="R2389" s="2" t="inlineStr"/>
    </row>
    <row r="2390" ht="15" customHeight="1">
      <c r="A2390" t="inlineStr">
        <is>
          <t>A 49550-2022</t>
        </is>
      </c>
      <c r="B2390" s="1" t="n">
        <v>44862</v>
      </c>
      <c r="C2390" s="1" t="n">
        <v>45358</v>
      </c>
      <c r="D2390" t="inlineStr">
        <is>
          <t>HALLANDS LÄN</t>
        </is>
      </c>
      <c r="E2390" t="inlineStr">
        <is>
          <t>VARBERG</t>
        </is>
      </c>
      <c r="G2390" t="n">
        <v>1.4</v>
      </c>
      <c r="H2390" t="n">
        <v>0</v>
      </c>
      <c r="I2390" t="n">
        <v>0</v>
      </c>
      <c r="J2390" t="n">
        <v>0</v>
      </c>
      <c r="K2390" t="n">
        <v>0</v>
      </c>
      <c r="L2390" t="n">
        <v>0</v>
      </c>
      <c r="M2390" t="n">
        <v>0</v>
      </c>
      <c r="N2390" t="n">
        <v>0</v>
      </c>
      <c r="O2390" t="n">
        <v>0</v>
      </c>
      <c r="P2390" t="n">
        <v>0</v>
      </c>
      <c r="Q2390" t="n">
        <v>0</v>
      </c>
      <c r="R2390" s="2" t="inlineStr"/>
    </row>
    <row r="2391" ht="15" customHeight="1">
      <c r="A2391" t="inlineStr">
        <is>
          <t>A 49655-2022</t>
        </is>
      </c>
      <c r="B2391" s="1" t="n">
        <v>44862</v>
      </c>
      <c r="C2391" s="1" t="n">
        <v>45358</v>
      </c>
      <c r="D2391" t="inlineStr">
        <is>
          <t>HALLANDS LÄN</t>
        </is>
      </c>
      <c r="E2391" t="inlineStr">
        <is>
          <t>LAHOLM</t>
        </is>
      </c>
      <c r="G2391" t="n">
        <v>1.8</v>
      </c>
      <c r="H2391" t="n">
        <v>0</v>
      </c>
      <c r="I2391" t="n">
        <v>0</v>
      </c>
      <c r="J2391" t="n">
        <v>0</v>
      </c>
      <c r="K2391" t="n">
        <v>0</v>
      </c>
      <c r="L2391" t="n">
        <v>0</v>
      </c>
      <c r="M2391" t="n">
        <v>0</v>
      </c>
      <c r="N2391" t="n">
        <v>0</v>
      </c>
      <c r="O2391" t="n">
        <v>0</v>
      </c>
      <c r="P2391" t="n">
        <v>0</v>
      </c>
      <c r="Q2391" t="n">
        <v>0</v>
      </c>
      <c r="R2391" s="2" t="inlineStr"/>
    </row>
    <row r="2392" ht="15" customHeight="1">
      <c r="A2392" t="inlineStr">
        <is>
          <t>A 49657-2022</t>
        </is>
      </c>
      <c r="B2392" s="1" t="n">
        <v>44862</v>
      </c>
      <c r="C2392" s="1" t="n">
        <v>45358</v>
      </c>
      <c r="D2392" t="inlineStr">
        <is>
          <t>HALLANDS LÄN</t>
        </is>
      </c>
      <c r="E2392" t="inlineStr">
        <is>
          <t>HALMSTAD</t>
        </is>
      </c>
      <c r="G2392" t="n">
        <v>1.7</v>
      </c>
      <c r="H2392" t="n">
        <v>0</v>
      </c>
      <c r="I2392" t="n">
        <v>0</v>
      </c>
      <c r="J2392" t="n">
        <v>0</v>
      </c>
      <c r="K2392" t="n">
        <v>0</v>
      </c>
      <c r="L2392" t="n">
        <v>0</v>
      </c>
      <c r="M2392" t="n">
        <v>0</v>
      </c>
      <c r="N2392" t="n">
        <v>0</v>
      </c>
      <c r="O2392" t="n">
        <v>0</v>
      </c>
      <c r="P2392" t="n">
        <v>0</v>
      </c>
      <c r="Q2392" t="n">
        <v>0</v>
      </c>
      <c r="R2392" s="2" t="inlineStr"/>
    </row>
    <row r="2393" ht="15" customHeight="1">
      <c r="A2393" t="inlineStr">
        <is>
          <t>A 49697-2022</t>
        </is>
      </c>
      <c r="B2393" s="1" t="n">
        <v>44862</v>
      </c>
      <c r="C2393" s="1" t="n">
        <v>45358</v>
      </c>
      <c r="D2393" t="inlineStr">
        <is>
          <t>HALLANDS LÄN</t>
        </is>
      </c>
      <c r="E2393" t="inlineStr">
        <is>
          <t>VARBERG</t>
        </is>
      </c>
      <c r="G2393" t="n">
        <v>0.8</v>
      </c>
      <c r="H2393" t="n">
        <v>0</v>
      </c>
      <c r="I2393" t="n">
        <v>0</v>
      </c>
      <c r="J2393" t="n">
        <v>0</v>
      </c>
      <c r="K2393" t="n">
        <v>0</v>
      </c>
      <c r="L2393" t="n">
        <v>0</v>
      </c>
      <c r="M2393" t="n">
        <v>0</v>
      </c>
      <c r="N2393" t="n">
        <v>0</v>
      </c>
      <c r="O2393" t="n">
        <v>0</v>
      </c>
      <c r="P2393" t="n">
        <v>0</v>
      </c>
      <c r="Q2393" t="n">
        <v>0</v>
      </c>
      <c r="R2393" s="2" t="inlineStr"/>
    </row>
    <row r="2394" ht="15" customHeight="1">
      <c r="A2394" t="inlineStr">
        <is>
          <t>A 50130-2022</t>
        </is>
      </c>
      <c r="B2394" s="1" t="n">
        <v>44865</v>
      </c>
      <c r="C2394" s="1" t="n">
        <v>45358</v>
      </c>
      <c r="D2394" t="inlineStr">
        <is>
          <t>HALLANDS LÄN</t>
        </is>
      </c>
      <c r="E2394" t="inlineStr">
        <is>
          <t>LAHOLM</t>
        </is>
      </c>
      <c r="F2394" t="inlineStr">
        <is>
          <t>Sveaskog</t>
        </is>
      </c>
      <c r="G2394" t="n">
        <v>0.9</v>
      </c>
      <c r="H2394" t="n">
        <v>0</v>
      </c>
      <c r="I2394" t="n">
        <v>0</v>
      </c>
      <c r="J2394" t="n">
        <v>0</v>
      </c>
      <c r="K2394" t="n">
        <v>0</v>
      </c>
      <c r="L2394" t="n">
        <v>0</v>
      </c>
      <c r="M2394" t="n">
        <v>0</v>
      </c>
      <c r="N2394" t="n">
        <v>0</v>
      </c>
      <c r="O2394" t="n">
        <v>0</v>
      </c>
      <c r="P2394" t="n">
        <v>0</v>
      </c>
      <c r="Q2394" t="n">
        <v>0</v>
      </c>
      <c r="R2394" s="2" t="inlineStr"/>
    </row>
    <row r="2395" ht="15" customHeight="1">
      <c r="A2395" t="inlineStr">
        <is>
          <t>A 50182-2022</t>
        </is>
      </c>
      <c r="B2395" s="1" t="n">
        <v>44865</v>
      </c>
      <c r="C2395" s="1" t="n">
        <v>45358</v>
      </c>
      <c r="D2395" t="inlineStr">
        <is>
          <t>HALLANDS LÄN</t>
        </is>
      </c>
      <c r="E2395" t="inlineStr">
        <is>
          <t>HALMSTAD</t>
        </is>
      </c>
      <c r="G2395" t="n">
        <v>0.6</v>
      </c>
      <c r="H2395" t="n">
        <v>0</v>
      </c>
      <c r="I2395" t="n">
        <v>0</v>
      </c>
      <c r="J2395" t="n">
        <v>0</v>
      </c>
      <c r="K2395" t="n">
        <v>0</v>
      </c>
      <c r="L2395" t="n">
        <v>0</v>
      </c>
      <c r="M2395" t="n">
        <v>0</v>
      </c>
      <c r="N2395" t="n">
        <v>0</v>
      </c>
      <c r="O2395" t="n">
        <v>0</v>
      </c>
      <c r="P2395" t="n">
        <v>0</v>
      </c>
      <c r="Q2395" t="n">
        <v>0</v>
      </c>
      <c r="R2395" s="2" t="inlineStr"/>
    </row>
    <row r="2396" ht="15" customHeight="1">
      <c r="A2396" t="inlineStr">
        <is>
          <t>A 50127-2022</t>
        </is>
      </c>
      <c r="B2396" s="1" t="n">
        <v>44865</v>
      </c>
      <c r="C2396" s="1" t="n">
        <v>45358</v>
      </c>
      <c r="D2396" t="inlineStr">
        <is>
          <t>HALLANDS LÄN</t>
        </is>
      </c>
      <c r="E2396" t="inlineStr">
        <is>
          <t>LAHOLM</t>
        </is>
      </c>
      <c r="F2396" t="inlineStr">
        <is>
          <t>Sveaskog</t>
        </is>
      </c>
      <c r="G2396" t="n">
        <v>2.2</v>
      </c>
      <c r="H2396" t="n">
        <v>0</v>
      </c>
      <c r="I2396" t="n">
        <v>0</v>
      </c>
      <c r="J2396" t="n">
        <v>0</v>
      </c>
      <c r="K2396" t="n">
        <v>0</v>
      </c>
      <c r="L2396" t="n">
        <v>0</v>
      </c>
      <c r="M2396" t="n">
        <v>0</v>
      </c>
      <c r="N2396" t="n">
        <v>0</v>
      </c>
      <c r="O2396" t="n">
        <v>0</v>
      </c>
      <c r="P2396" t="n">
        <v>0</v>
      </c>
      <c r="Q2396" t="n">
        <v>0</v>
      </c>
      <c r="R2396" s="2" t="inlineStr"/>
    </row>
    <row r="2397" ht="15" customHeight="1">
      <c r="A2397" t="inlineStr">
        <is>
          <t>A 50256-2022</t>
        </is>
      </c>
      <c r="B2397" s="1" t="n">
        <v>44865</v>
      </c>
      <c r="C2397" s="1" t="n">
        <v>45358</v>
      </c>
      <c r="D2397" t="inlineStr">
        <is>
          <t>HALLANDS LÄN</t>
        </is>
      </c>
      <c r="E2397" t="inlineStr">
        <is>
          <t>LAHOLM</t>
        </is>
      </c>
      <c r="G2397" t="n">
        <v>2</v>
      </c>
      <c r="H2397" t="n">
        <v>0</v>
      </c>
      <c r="I2397" t="n">
        <v>0</v>
      </c>
      <c r="J2397" t="n">
        <v>0</v>
      </c>
      <c r="K2397" t="n">
        <v>0</v>
      </c>
      <c r="L2397" t="n">
        <v>0</v>
      </c>
      <c r="M2397" t="n">
        <v>0</v>
      </c>
      <c r="N2397" t="n">
        <v>0</v>
      </c>
      <c r="O2397" t="n">
        <v>0</v>
      </c>
      <c r="P2397" t="n">
        <v>0</v>
      </c>
      <c r="Q2397" t="n">
        <v>0</v>
      </c>
      <c r="R2397" s="2" t="inlineStr"/>
    </row>
    <row r="2398" ht="15" customHeight="1">
      <c r="A2398" t="inlineStr">
        <is>
          <t>A 51147-2022</t>
        </is>
      </c>
      <c r="B2398" s="1" t="n">
        <v>44865</v>
      </c>
      <c r="C2398" s="1" t="n">
        <v>45358</v>
      </c>
      <c r="D2398" t="inlineStr">
        <is>
          <t>HALLANDS LÄN</t>
        </is>
      </c>
      <c r="E2398" t="inlineStr">
        <is>
          <t>HYLTE</t>
        </is>
      </c>
      <c r="G2398" t="n">
        <v>5.6</v>
      </c>
      <c r="H2398" t="n">
        <v>0</v>
      </c>
      <c r="I2398" t="n">
        <v>0</v>
      </c>
      <c r="J2398" t="n">
        <v>0</v>
      </c>
      <c r="K2398" t="n">
        <v>0</v>
      </c>
      <c r="L2398" t="n">
        <v>0</v>
      </c>
      <c r="M2398" t="n">
        <v>0</v>
      </c>
      <c r="N2398" t="n">
        <v>0</v>
      </c>
      <c r="O2398" t="n">
        <v>0</v>
      </c>
      <c r="P2398" t="n">
        <v>0</v>
      </c>
      <c r="Q2398" t="n">
        <v>0</v>
      </c>
      <c r="R2398" s="2" t="inlineStr"/>
    </row>
    <row r="2399" ht="15" customHeight="1">
      <c r="A2399" t="inlineStr">
        <is>
          <t>A 51150-2022</t>
        </is>
      </c>
      <c r="B2399" s="1" t="n">
        <v>44865</v>
      </c>
      <c r="C2399" s="1" t="n">
        <v>45358</v>
      </c>
      <c r="D2399" t="inlineStr">
        <is>
          <t>HALLANDS LÄN</t>
        </is>
      </c>
      <c r="E2399" t="inlineStr">
        <is>
          <t>HYLTE</t>
        </is>
      </c>
      <c r="G2399" t="n">
        <v>3.4</v>
      </c>
      <c r="H2399" t="n">
        <v>0</v>
      </c>
      <c r="I2399" t="n">
        <v>0</v>
      </c>
      <c r="J2399" t="n">
        <v>0</v>
      </c>
      <c r="K2399" t="n">
        <v>0</v>
      </c>
      <c r="L2399" t="n">
        <v>0</v>
      </c>
      <c r="M2399" t="n">
        <v>0</v>
      </c>
      <c r="N2399" t="n">
        <v>0</v>
      </c>
      <c r="O2399" t="n">
        <v>0</v>
      </c>
      <c r="P2399" t="n">
        <v>0</v>
      </c>
      <c r="Q2399" t="n">
        <v>0</v>
      </c>
      <c r="R2399" s="2" t="inlineStr"/>
    </row>
    <row r="2400" ht="15" customHeight="1">
      <c r="A2400" t="inlineStr">
        <is>
          <t>A 50452-2022</t>
        </is>
      </c>
      <c r="B2400" s="1" t="n">
        <v>44866</v>
      </c>
      <c r="C2400" s="1" t="n">
        <v>45358</v>
      </c>
      <c r="D2400" t="inlineStr">
        <is>
          <t>HALLANDS LÄN</t>
        </is>
      </c>
      <c r="E2400" t="inlineStr">
        <is>
          <t>HYLTE</t>
        </is>
      </c>
      <c r="G2400" t="n">
        <v>5.5</v>
      </c>
      <c r="H2400" t="n">
        <v>0</v>
      </c>
      <c r="I2400" t="n">
        <v>0</v>
      </c>
      <c r="J2400" t="n">
        <v>0</v>
      </c>
      <c r="K2400" t="n">
        <v>0</v>
      </c>
      <c r="L2400" t="n">
        <v>0</v>
      </c>
      <c r="M2400" t="n">
        <v>0</v>
      </c>
      <c r="N2400" t="n">
        <v>0</v>
      </c>
      <c r="O2400" t="n">
        <v>0</v>
      </c>
      <c r="P2400" t="n">
        <v>0</v>
      </c>
      <c r="Q2400" t="n">
        <v>0</v>
      </c>
      <c r="R2400" s="2" t="inlineStr"/>
    </row>
    <row r="2401" ht="15" customHeight="1">
      <c r="A2401" t="inlineStr">
        <is>
          <t>A 50381-2022</t>
        </is>
      </c>
      <c r="B2401" s="1" t="n">
        <v>44866</v>
      </c>
      <c r="C2401" s="1" t="n">
        <v>45358</v>
      </c>
      <c r="D2401" t="inlineStr">
        <is>
          <t>HALLANDS LÄN</t>
        </is>
      </c>
      <c r="E2401" t="inlineStr">
        <is>
          <t>FALKENBERG</t>
        </is>
      </c>
      <c r="G2401" t="n">
        <v>2.6</v>
      </c>
      <c r="H2401" t="n">
        <v>0</v>
      </c>
      <c r="I2401" t="n">
        <v>0</v>
      </c>
      <c r="J2401" t="n">
        <v>0</v>
      </c>
      <c r="K2401" t="n">
        <v>0</v>
      </c>
      <c r="L2401" t="n">
        <v>0</v>
      </c>
      <c r="M2401" t="n">
        <v>0</v>
      </c>
      <c r="N2401" t="n">
        <v>0</v>
      </c>
      <c r="O2401" t="n">
        <v>0</v>
      </c>
      <c r="P2401" t="n">
        <v>0</v>
      </c>
      <c r="Q2401" t="n">
        <v>0</v>
      </c>
      <c r="R2401" s="2" t="inlineStr"/>
    </row>
    <row r="2402" ht="15" customHeight="1">
      <c r="A2402" t="inlineStr">
        <is>
          <t>A 50546-2022</t>
        </is>
      </c>
      <c r="B2402" s="1" t="n">
        <v>44866</v>
      </c>
      <c r="C2402" s="1" t="n">
        <v>45358</v>
      </c>
      <c r="D2402" t="inlineStr">
        <is>
          <t>HALLANDS LÄN</t>
        </is>
      </c>
      <c r="E2402" t="inlineStr">
        <is>
          <t>FALKENBERG</t>
        </is>
      </c>
      <c r="G2402" t="n">
        <v>0.9</v>
      </c>
      <c r="H2402" t="n">
        <v>0</v>
      </c>
      <c r="I2402" t="n">
        <v>0</v>
      </c>
      <c r="J2402" t="n">
        <v>0</v>
      </c>
      <c r="K2402" t="n">
        <v>0</v>
      </c>
      <c r="L2402" t="n">
        <v>0</v>
      </c>
      <c r="M2402" t="n">
        <v>0</v>
      </c>
      <c r="N2402" t="n">
        <v>0</v>
      </c>
      <c r="O2402" t="n">
        <v>0</v>
      </c>
      <c r="P2402" t="n">
        <v>0</v>
      </c>
      <c r="Q2402" t="n">
        <v>0</v>
      </c>
      <c r="R2402" s="2" t="inlineStr"/>
    </row>
    <row r="2403" ht="15" customHeight="1">
      <c r="A2403" t="inlineStr">
        <is>
          <t>A 50408-2022</t>
        </is>
      </c>
      <c r="B2403" s="1" t="n">
        <v>44866</v>
      </c>
      <c r="C2403" s="1" t="n">
        <v>45358</v>
      </c>
      <c r="D2403" t="inlineStr">
        <is>
          <t>HALLANDS LÄN</t>
        </is>
      </c>
      <c r="E2403" t="inlineStr">
        <is>
          <t>VARBERG</t>
        </is>
      </c>
      <c r="G2403" t="n">
        <v>1</v>
      </c>
      <c r="H2403" t="n">
        <v>0</v>
      </c>
      <c r="I2403" t="n">
        <v>0</v>
      </c>
      <c r="J2403" t="n">
        <v>0</v>
      </c>
      <c r="K2403" t="n">
        <v>0</v>
      </c>
      <c r="L2403" t="n">
        <v>0</v>
      </c>
      <c r="M2403" t="n">
        <v>0</v>
      </c>
      <c r="N2403" t="n">
        <v>0</v>
      </c>
      <c r="O2403" t="n">
        <v>0</v>
      </c>
      <c r="P2403" t="n">
        <v>0</v>
      </c>
      <c r="Q2403" t="n">
        <v>0</v>
      </c>
      <c r="R2403" s="2" t="inlineStr"/>
    </row>
    <row r="2404" ht="15" customHeight="1">
      <c r="A2404" t="inlineStr">
        <is>
          <t>A 50547-2022</t>
        </is>
      </c>
      <c r="B2404" s="1" t="n">
        <v>44866</v>
      </c>
      <c r="C2404" s="1" t="n">
        <v>45358</v>
      </c>
      <c r="D2404" t="inlineStr">
        <is>
          <t>HALLANDS LÄN</t>
        </is>
      </c>
      <c r="E2404" t="inlineStr">
        <is>
          <t>FALKENBERG</t>
        </is>
      </c>
      <c r="G2404" t="n">
        <v>0.7</v>
      </c>
      <c r="H2404" t="n">
        <v>0</v>
      </c>
      <c r="I2404" t="n">
        <v>0</v>
      </c>
      <c r="J2404" t="n">
        <v>0</v>
      </c>
      <c r="K2404" t="n">
        <v>0</v>
      </c>
      <c r="L2404" t="n">
        <v>0</v>
      </c>
      <c r="M2404" t="n">
        <v>0</v>
      </c>
      <c r="N2404" t="n">
        <v>0</v>
      </c>
      <c r="O2404" t="n">
        <v>0</v>
      </c>
      <c r="P2404" t="n">
        <v>0</v>
      </c>
      <c r="Q2404" t="n">
        <v>0</v>
      </c>
      <c r="R2404" s="2" t="inlineStr"/>
    </row>
    <row r="2405" ht="15" customHeight="1">
      <c r="A2405" t="inlineStr">
        <is>
          <t>A 50791-2022</t>
        </is>
      </c>
      <c r="B2405" s="1" t="n">
        <v>44867</v>
      </c>
      <c r="C2405" s="1" t="n">
        <v>45358</v>
      </c>
      <c r="D2405" t="inlineStr">
        <is>
          <t>HALLANDS LÄN</t>
        </is>
      </c>
      <c r="E2405" t="inlineStr">
        <is>
          <t>VARBERG</t>
        </is>
      </c>
      <c r="G2405" t="n">
        <v>2.2</v>
      </c>
      <c r="H2405" t="n">
        <v>0</v>
      </c>
      <c r="I2405" t="n">
        <v>0</v>
      </c>
      <c r="J2405" t="n">
        <v>0</v>
      </c>
      <c r="K2405" t="n">
        <v>0</v>
      </c>
      <c r="L2405" t="n">
        <v>0</v>
      </c>
      <c r="M2405" t="n">
        <v>0</v>
      </c>
      <c r="N2405" t="n">
        <v>0</v>
      </c>
      <c r="O2405" t="n">
        <v>0</v>
      </c>
      <c r="P2405" t="n">
        <v>0</v>
      </c>
      <c r="Q2405" t="n">
        <v>0</v>
      </c>
      <c r="R2405" s="2" t="inlineStr"/>
    </row>
    <row r="2406" ht="15" customHeight="1">
      <c r="A2406" t="inlineStr">
        <is>
          <t>A 50805-2022</t>
        </is>
      </c>
      <c r="B2406" s="1" t="n">
        <v>44867</v>
      </c>
      <c r="C2406" s="1" t="n">
        <v>45358</v>
      </c>
      <c r="D2406" t="inlineStr">
        <is>
          <t>HALLANDS LÄN</t>
        </is>
      </c>
      <c r="E2406" t="inlineStr">
        <is>
          <t>VARBERG</t>
        </is>
      </c>
      <c r="G2406" t="n">
        <v>1.5</v>
      </c>
      <c r="H2406" t="n">
        <v>0</v>
      </c>
      <c r="I2406" t="n">
        <v>0</v>
      </c>
      <c r="J2406" t="n">
        <v>0</v>
      </c>
      <c r="K2406" t="n">
        <v>0</v>
      </c>
      <c r="L2406" t="n">
        <v>0</v>
      </c>
      <c r="M2406" t="n">
        <v>0</v>
      </c>
      <c r="N2406" t="n">
        <v>0</v>
      </c>
      <c r="O2406" t="n">
        <v>0</v>
      </c>
      <c r="P2406" t="n">
        <v>0</v>
      </c>
      <c r="Q2406" t="n">
        <v>0</v>
      </c>
      <c r="R2406" s="2" t="inlineStr"/>
    </row>
    <row r="2407" ht="15" customHeight="1">
      <c r="A2407" t="inlineStr">
        <is>
          <t>A 50726-2022</t>
        </is>
      </c>
      <c r="B2407" s="1" t="n">
        <v>44867</v>
      </c>
      <c r="C2407" s="1" t="n">
        <v>45358</v>
      </c>
      <c r="D2407" t="inlineStr">
        <is>
          <t>HALLANDS LÄN</t>
        </is>
      </c>
      <c r="E2407" t="inlineStr">
        <is>
          <t>FALKENBERG</t>
        </is>
      </c>
      <c r="G2407" t="n">
        <v>0.4</v>
      </c>
      <c r="H2407" t="n">
        <v>0</v>
      </c>
      <c r="I2407" t="n">
        <v>0</v>
      </c>
      <c r="J2407" t="n">
        <v>0</v>
      </c>
      <c r="K2407" t="n">
        <v>0</v>
      </c>
      <c r="L2407" t="n">
        <v>0</v>
      </c>
      <c r="M2407" t="n">
        <v>0</v>
      </c>
      <c r="N2407" t="n">
        <v>0</v>
      </c>
      <c r="O2407" t="n">
        <v>0</v>
      </c>
      <c r="P2407" t="n">
        <v>0</v>
      </c>
      <c r="Q2407" t="n">
        <v>0</v>
      </c>
      <c r="R2407" s="2" t="inlineStr"/>
    </row>
    <row r="2408" ht="15" customHeight="1">
      <c r="A2408" t="inlineStr">
        <is>
          <t>A 50717-2022</t>
        </is>
      </c>
      <c r="B2408" s="1" t="n">
        <v>44867</v>
      </c>
      <c r="C2408" s="1" t="n">
        <v>45358</v>
      </c>
      <c r="D2408" t="inlineStr">
        <is>
          <t>HALLANDS LÄN</t>
        </is>
      </c>
      <c r="E2408" t="inlineStr">
        <is>
          <t>FALKENBERG</t>
        </is>
      </c>
      <c r="G2408" t="n">
        <v>0.7</v>
      </c>
      <c r="H2408" t="n">
        <v>0</v>
      </c>
      <c r="I2408" t="n">
        <v>0</v>
      </c>
      <c r="J2408" t="n">
        <v>0</v>
      </c>
      <c r="K2408" t="n">
        <v>0</v>
      </c>
      <c r="L2408" t="n">
        <v>0</v>
      </c>
      <c r="M2408" t="n">
        <v>0</v>
      </c>
      <c r="N2408" t="n">
        <v>0</v>
      </c>
      <c r="O2408" t="n">
        <v>0</v>
      </c>
      <c r="P2408" t="n">
        <v>0</v>
      </c>
      <c r="Q2408" t="n">
        <v>0</v>
      </c>
      <c r="R2408" s="2" t="inlineStr"/>
    </row>
    <row r="2409" ht="15" customHeight="1">
      <c r="A2409" t="inlineStr">
        <is>
          <t>A 50852-2022</t>
        </is>
      </c>
      <c r="B2409" s="1" t="n">
        <v>44867</v>
      </c>
      <c r="C2409" s="1" t="n">
        <v>45358</v>
      </c>
      <c r="D2409" t="inlineStr">
        <is>
          <t>HALLANDS LÄN</t>
        </is>
      </c>
      <c r="E2409" t="inlineStr">
        <is>
          <t>VARBERG</t>
        </is>
      </c>
      <c r="G2409" t="n">
        <v>4.8</v>
      </c>
      <c r="H2409" t="n">
        <v>0</v>
      </c>
      <c r="I2409" t="n">
        <v>0</v>
      </c>
      <c r="J2409" t="n">
        <v>0</v>
      </c>
      <c r="K2409" t="n">
        <v>0</v>
      </c>
      <c r="L2409" t="n">
        <v>0</v>
      </c>
      <c r="M2409" t="n">
        <v>0</v>
      </c>
      <c r="N2409" t="n">
        <v>0</v>
      </c>
      <c r="O2409" t="n">
        <v>0</v>
      </c>
      <c r="P2409" t="n">
        <v>0</v>
      </c>
      <c r="Q2409" t="n">
        <v>0</v>
      </c>
      <c r="R2409" s="2" t="inlineStr"/>
    </row>
    <row r="2410" ht="15" customHeight="1">
      <c r="A2410" t="inlineStr">
        <is>
          <t>A 50712-2022</t>
        </is>
      </c>
      <c r="B2410" s="1" t="n">
        <v>44867</v>
      </c>
      <c r="C2410" s="1" t="n">
        <v>45358</v>
      </c>
      <c r="D2410" t="inlineStr">
        <is>
          <t>HALLANDS LÄN</t>
        </is>
      </c>
      <c r="E2410" t="inlineStr">
        <is>
          <t>HYLTE</t>
        </is>
      </c>
      <c r="G2410" t="n">
        <v>2.5</v>
      </c>
      <c r="H2410" t="n">
        <v>0</v>
      </c>
      <c r="I2410" t="n">
        <v>0</v>
      </c>
      <c r="J2410" t="n">
        <v>0</v>
      </c>
      <c r="K2410" t="n">
        <v>0</v>
      </c>
      <c r="L2410" t="n">
        <v>0</v>
      </c>
      <c r="M2410" t="n">
        <v>0</v>
      </c>
      <c r="N2410" t="n">
        <v>0</v>
      </c>
      <c r="O2410" t="n">
        <v>0</v>
      </c>
      <c r="P2410" t="n">
        <v>0</v>
      </c>
      <c r="Q2410" t="n">
        <v>0</v>
      </c>
      <c r="R2410" s="2" t="inlineStr"/>
    </row>
    <row r="2411" ht="15" customHeight="1">
      <c r="A2411" t="inlineStr">
        <is>
          <t>A 50718-2022</t>
        </is>
      </c>
      <c r="B2411" s="1" t="n">
        <v>44867</v>
      </c>
      <c r="C2411" s="1" t="n">
        <v>45358</v>
      </c>
      <c r="D2411" t="inlineStr">
        <is>
          <t>HALLANDS LÄN</t>
        </is>
      </c>
      <c r="E2411" t="inlineStr">
        <is>
          <t>FALKENBERG</t>
        </is>
      </c>
      <c r="G2411" t="n">
        <v>0.9</v>
      </c>
      <c r="H2411" t="n">
        <v>0</v>
      </c>
      <c r="I2411" t="n">
        <v>0</v>
      </c>
      <c r="J2411" t="n">
        <v>0</v>
      </c>
      <c r="K2411" t="n">
        <v>0</v>
      </c>
      <c r="L2411" t="n">
        <v>0</v>
      </c>
      <c r="M2411" t="n">
        <v>0</v>
      </c>
      <c r="N2411" t="n">
        <v>0</v>
      </c>
      <c r="O2411" t="n">
        <v>0</v>
      </c>
      <c r="P2411" t="n">
        <v>0</v>
      </c>
      <c r="Q2411" t="n">
        <v>0</v>
      </c>
      <c r="R2411" s="2" t="inlineStr"/>
    </row>
    <row r="2412" ht="15" customHeight="1">
      <c r="A2412" t="inlineStr">
        <is>
          <t>A 50988-2022</t>
        </is>
      </c>
      <c r="B2412" s="1" t="n">
        <v>44867</v>
      </c>
      <c r="C2412" s="1" t="n">
        <v>45358</v>
      </c>
      <c r="D2412" t="inlineStr">
        <is>
          <t>HALLANDS LÄN</t>
        </is>
      </c>
      <c r="E2412" t="inlineStr">
        <is>
          <t>VARBERG</t>
        </is>
      </c>
      <c r="G2412" t="n">
        <v>4.7</v>
      </c>
      <c r="H2412" t="n">
        <v>0</v>
      </c>
      <c r="I2412" t="n">
        <v>0</v>
      </c>
      <c r="J2412" t="n">
        <v>0</v>
      </c>
      <c r="K2412" t="n">
        <v>0</v>
      </c>
      <c r="L2412" t="n">
        <v>0</v>
      </c>
      <c r="M2412" t="n">
        <v>0</v>
      </c>
      <c r="N2412" t="n">
        <v>0</v>
      </c>
      <c r="O2412" t="n">
        <v>0</v>
      </c>
      <c r="P2412" t="n">
        <v>0</v>
      </c>
      <c r="Q2412" t="n">
        <v>0</v>
      </c>
      <c r="R2412" s="2" t="inlineStr"/>
    </row>
    <row r="2413" ht="15" customHeight="1">
      <c r="A2413" t="inlineStr">
        <is>
          <t>A 51037-2022</t>
        </is>
      </c>
      <c r="B2413" s="1" t="n">
        <v>44868</v>
      </c>
      <c r="C2413" s="1" t="n">
        <v>45358</v>
      </c>
      <c r="D2413" t="inlineStr">
        <is>
          <t>HALLANDS LÄN</t>
        </is>
      </c>
      <c r="E2413" t="inlineStr">
        <is>
          <t>FALKENBERG</t>
        </is>
      </c>
      <c r="G2413" t="n">
        <v>9</v>
      </c>
      <c r="H2413" t="n">
        <v>0</v>
      </c>
      <c r="I2413" t="n">
        <v>0</v>
      </c>
      <c r="J2413" t="n">
        <v>0</v>
      </c>
      <c r="K2413" t="n">
        <v>0</v>
      </c>
      <c r="L2413" t="n">
        <v>0</v>
      </c>
      <c r="M2413" t="n">
        <v>0</v>
      </c>
      <c r="N2413" t="n">
        <v>0</v>
      </c>
      <c r="O2413" t="n">
        <v>0</v>
      </c>
      <c r="P2413" t="n">
        <v>0</v>
      </c>
      <c r="Q2413" t="n">
        <v>0</v>
      </c>
      <c r="R2413" s="2" t="inlineStr"/>
    </row>
    <row r="2414" ht="15" customHeight="1">
      <c r="A2414" t="inlineStr">
        <is>
          <t>A 51054-2022</t>
        </is>
      </c>
      <c r="B2414" s="1" t="n">
        <v>44868</v>
      </c>
      <c r="C2414" s="1" t="n">
        <v>45358</v>
      </c>
      <c r="D2414" t="inlineStr">
        <is>
          <t>HALLANDS LÄN</t>
        </is>
      </c>
      <c r="E2414" t="inlineStr">
        <is>
          <t>FALKENBERG</t>
        </is>
      </c>
      <c r="G2414" t="n">
        <v>8.199999999999999</v>
      </c>
      <c r="H2414" t="n">
        <v>0</v>
      </c>
      <c r="I2414" t="n">
        <v>0</v>
      </c>
      <c r="J2414" t="n">
        <v>0</v>
      </c>
      <c r="K2414" t="n">
        <v>0</v>
      </c>
      <c r="L2414" t="n">
        <v>0</v>
      </c>
      <c r="M2414" t="n">
        <v>0</v>
      </c>
      <c r="N2414" t="n">
        <v>0</v>
      </c>
      <c r="O2414" t="n">
        <v>0</v>
      </c>
      <c r="P2414" t="n">
        <v>0</v>
      </c>
      <c r="Q2414" t="n">
        <v>0</v>
      </c>
      <c r="R2414" s="2" t="inlineStr"/>
    </row>
    <row r="2415" ht="15" customHeight="1">
      <c r="A2415" t="inlineStr">
        <is>
          <t>A 51230-2022</t>
        </is>
      </c>
      <c r="B2415" s="1" t="n">
        <v>44868</v>
      </c>
      <c r="C2415" s="1" t="n">
        <v>45358</v>
      </c>
      <c r="D2415" t="inlineStr">
        <is>
          <t>HALLANDS LÄN</t>
        </is>
      </c>
      <c r="E2415" t="inlineStr">
        <is>
          <t>HYLTE</t>
        </is>
      </c>
      <c r="G2415" t="n">
        <v>1.3</v>
      </c>
      <c r="H2415" t="n">
        <v>0</v>
      </c>
      <c r="I2415" t="n">
        <v>0</v>
      </c>
      <c r="J2415" t="n">
        <v>0</v>
      </c>
      <c r="K2415" t="n">
        <v>0</v>
      </c>
      <c r="L2415" t="n">
        <v>0</v>
      </c>
      <c r="M2415" t="n">
        <v>0</v>
      </c>
      <c r="N2415" t="n">
        <v>0</v>
      </c>
      <c r="O2415" t="n">
        <v>0</v>
      </c>
      <c r="P2415" t="n">
        <v>0</v>
      </c>
      <c r="Q2415" t="n">
        <v>0</v>
      </c>
      <c r="R2415" s="2" t="inlineStr"/>
    </row>
    <row r="2416" ht="15" customHeight="1">
      <c r="A2416" t="inlineStr">
        <is>
          <t>A 51190-2022</t>
        </is>
      </c>
      <c r="B2416" s="1" t="n">
        <v>44868</v>
      </c>
      <c r="C2416" s="1" t="n">
        <v>45358</v>
      </c>
      <c r="D2416" t="inlineStr">
        <is>
          <t>HALLANDS LÄN</t>
        </is>
      </c>
      <c r="E2416" t="inlineStr">
        <is>
          <t>HALMSTAD</t>
        </is>
      </c>
      <c r="G2416" t="n">
        <v>1.7</v>
      </c>
      <c r="H2416" t="n">
        <v>0</v>
      </c>
      <c r="I2416" t="n">
        <v>0</v>
      </c>
      <c r="J2416" t="n">
        <v>0</v>
      </c>
      <c r="K2416" t="n">
        <v>0</v>
      </c>
      <c r="L2416" t="n">
        <v>0</v>
      </c>
      <c r="M2416" t="n">
        <v>0</v>
      </c>
      <c r="N2416" t="n">
        <v>0</v>
      </c>
      <c r="O2416" t="n">
        <v>0</v>
      </c>
      <c r="P2416" t="n">
        <v>0</v>
      </c>
      <c r="Q2416" t="n">
        <v>0</v>
      </c>
      <c r="R2416" s="2" t="inlineStr"/>
    </row>
    <row r="2417" ht="15" customHeight="1">
      <c r="A2417" t="inlineStr">
        <is>
          <t>A 51223-2022</t>
        </is>
      </c>
      <c r="B2417" s="1" t="n">
        <v>44868</v>
      </c>
      <c r="C2417" s="1" t="n">
        <v>45358</v>
      </c>
      <c r="D2417" t="inlineStr">
        <is>
          <t>HALLANDS LÄN</t>
        </is>
      </c>
      <c r="E2417" t="inlineStr">
        <is>
          <t>HYLTE</t>
        </is>
      </c>
      <c r="G2417" t="n">
        <v>1.8</v>
      </c>
      <c r="H2417" t="n">
        <v>0</v>
      </c>
      <c r="I2417" t="n">
        <v>0</v>
      </c>
      <c r="J2417" t="n">
        <v>0</v>
      </c>
      <c r="K2417" t="n">
        <v>0</v>
      </c>
      <c r="L2417" t="n">
        <v>0</v>
      </c>
      <c r="M2417" t="n">
        <v>0</v>
      </c>
      <c r="N2417" t="n">
        <v>0</v>
      </c>
      <c r="O2417" t="n">
        <v>0</v>
      </c>
      <c r="P2417" t="n">
        <v>0</v>
      </c>
      <c r="Q2417" t="n">
        <v>0</v>
      </c>
      <c r="R2417" s="2" t="inlineStr"/>
    </row>
    <row r="2418" ht="15" customHeight="1">
      <c r="A2418" t="inlineStr">
        <is>
          <t>A 51285-2022</t>
        </is>
      </c>
      <c r="B2418" s="1" t="n">
        <v>44868</v>
      </c>
      <c r="C2418" s="1" t="n">
        <v>45358</v>
      </c>
      <c r="D2418" t="inlineStr">
        <is>
          <t>HALLANDS LÄN</t>
        </is>
      </c>
      <c r="E2418" t="inlineStr">
        <is>
          <t>VARBERG</t>
        </is>
      </c>
      <c r="G2418" t="n">
        <v>4.1</v>
      </c>
      <c r="H2418" t="n">
        <v>0</v>
      </c>
      <c r="I2418" t="n">
        <v>0</v>
      </c>
      <c r="J2418" t="n">
        <v>0</v>
      </c>
      <c r="K2418" t="n">
        <v>0</v>
      </c>
      <c r="L2418" t="n">
        <v>0</v>
      </c>
      <c r="M2418" t="n">
        <v>0</v>
      </c>
      <c r="N2418" t="n">
        <v>0</v>
      </c>
      <c r="O2418" t="n">
        <v>0</v>
      </c>
      <c r="P2418" t="n">
        <v>0</v>
      </c>
      <c r="Q2418" t="n">
        <v>0</v>
      </c>
      <c r="R2418" s="2" t="inlineStr"/>
    </row>
    <row r="2419" ht="15" customHeight="1">
      <c r="A2419" t="inlineStr">
        <is>
          <t>A 51399-2022</t>
        </is>
      </c>
      <c r="B2419" s="1" t="n">
        <v>44869</v>
      </c>
      <c r="C2419" s="1" t="n">
        <v>45358</v>
      </c>
      <c r="D2419" t="inlineStr">
        <is>
          <t>HALLANDS LÄN</t>
        </is>
      </c>
      <c r="E2419" t="inlineStr">
        <is>
          <t>LAHOLM</t>
        </is>
      </c>
      <c r="G2419" t="n">
        <v>1</v>
      </c>
      <c r="H2419" t="n">
        <v>0</v>
      </c>
      <c r="I2419" t="n">
        <v>0</v>
      </c>
      <c r="J2419" t="n">
        <v>0</v>
      </c>
      <c r="K2419" t="n">
        <v>0</v>
      </c>
      <c r="L2419" t="n">
        <v>0</v>
      </c>
      <c r="M2419" t="n">
        <v>0</v>
      </c>
      <c r="N2419" t="n">
        <v>0</v>
      </c>
      <c r="O2419" t="n">
        <v>0</v>
      </c>
      <c r="P2419" t="n">
        <v>0</v>
      </c>
      <c r="Q2419" t="n">
        <v>0</v>
      </c>
      <c r="R2419" s="2" t="inlineStr"/>
    </row>
    <row r="2420" ht="15" customHeight="1">
      <c r="A2420" t="inlineStr">
        <is>
          <t>A 51331-2022</t>
        </is>
      </c>
      <c r="B2420" s="1" t="n">
        <v>44869</v>
      </c>
      <c r="C2420" s="1" t="n">
        <v>45358</v>
      </c>
      <c r="D2420" t="inlineStr">
        <is>
          <t>HALLANDS LÄN</t>
        </is>
      </c>
      <c r="E2420" t="inlineStr">
        <is>
          <t>KUNGSBACKA</t>
        </is>
      </c>
      <c r="G2420" t="n">
        <v>1.7</v>
      </c>
      <c r="H2420" t="n">
        <v>0</v>
      </c>
      <c r="I2420" t="n">
        <v>0</v>
      </c>
      <c r="J2420" t="n">
        <v>0</v>
      </c>
      <c r="K2420" t="n">
        <v>0</v>
      </c>
      <c r="L2420" t="n">
        <v>0</v>
      </c>
      <c r="M2420" t="n">
        <v>0</v>
      </c>
      <c r="N2420" t="n">
        <v>0</v>
      </c>
      <c r="O2420" t="n">
        <v>0</v>
      </c>
      <c r="P2420" t="n">
        <v>0</v>
      </c>
      <c r="Q2420" t="n">
        <v>0</v>
      </c>
      <c r="R2420" s="2" t="inlineStr"/>
    </row>
    <row r="2421" ht="15" customHeight="1">
      <c r="A2421" t="inlineStr">
        <is>
          <t>A 51332-2022</t>
        </is>
      </c>
      <c r="B2421" s="1" t="n">
        <v>44869</v>
      </c>
      <c r="C2421" s="1" t="n">
        <v>45358</v>
      </c>
      <c r="D2421" t="inlineStr">
        <is>
          <t>HALLANDS LÄN</t>
        </is>
      </c>
      <c r="E2421" t="inlineStr">
        <is>
          <t>KUNGSBACKA</t>
        </is>
      </c>
      <c r="G2421" t="n">
        <v>1.1</v>
      </c>
      <c r="H2421" t="n">
        <v>0</v>
      </c>
      <c r="I2421" t="n">
        <v>0</v>
      </c>
      <c r="J2421" t="n">
        <v>0</v>
      </c>
      <c r="K2421" t="n">
        <v>0</v>
      </c>
      <c r="L2421" t="n">
        <v>0</v>
      </c>
      <c r="M2421" t="n">
        <v>0</v>
      </c>
      <c r="N2421" t="n">
        <v>0</v>
      </c>
      <c r="O2421" t="n">
        <v>0</v>
      </c>
      <c r="P2421" t="n">
        <v>0</v>
      </c>
      <c r="Q2421" t="n">
        <v>0</v>
      </c>
      <c r="R2421" s="2" t="inlineStr"/>
    </row>
    <row r="2422" ht="15" customHeight="1">
      <c r="A2422" t="inlineStr">
        <is>
          <t>A 51517-2022</t>
        </is>
      </c>
      <c r="B2422" s="1" t="n">
        <v>44869</v>
      </c>
      <c r="C2422" s="1" t="n">
        <v>45358</v>
      </c>
      <c r="D2422" t="inlineStr">
        <is>
          <t>HALLANDS LÄN</t>
        </is>
      </c>
      <c r="E2422" t="inlineStr">
        <is>
          <t>LAHOLM</t>
        </is>
      </c>
      <c r="G2422" t="n">
        <v>0.5</v>
      </c>
      <c r="H2422" t="n">
        <v>0</v>
      </c>
      <c r="I2422" t="n">
        <v>0</v>
      </c>
      <c r="J2422" t="n">
        <v>0</v>
      </c>
      <c r="K2422" t="n">
        <v>0</v>
      </c>
      <c r="L2422" t="n">
        <v>0</v>
      </c>
      <c r="M2422" t="n">
        <v>0</v>
      </c>
      <c r="N2422" t="n">
        <v>0</v>
      </c>
      <c r="O2422" t="n">
        <v>0</v>
      </c>
      <c r="P2422" t="n">
        <v>0</v>
      </c>
      <c r="Q2422" t="n">
        <v>0</v>
      </c>
      <c r="R2422" s="2" t="inlineStr"/>
    </row>
    <row r="2423" ht="15" customHeight="1">
      <c r="A2423" t="inlineStr">
        <is>
          <t>A 51515-2022</t>
        </is>
      </c>
      <c r="B2423" s="1" t="n">
        <v>44869</v>
      </c>
      <c r="C2423" s="1" t="n">
        <v>45358</v>
      </c>
      <c r="D2423" t="inlineStr">
        <is>
          <t>HALLANDS LÄN</t>
        </is>
      </c>
      <c r="E2423" t="inlineStr">
        <is>
          <t>LAHOLM</t>
        </is>
      </c>
      <c r="G2423" t="n">
        <v>1</v>
      </c>
      <c r="H2423" t="n">
        <v>0</v>
      </c>
      <c r="I2423" t="n">
        <v>0</v>
      </c>
      <c r="J2423" t="n">
        <v>0</v>
      </c>
      <c r="K2423" t="n">
        <v>0</v>
      </c>
      <c r="L2423" t="n">
        <v>0</v>
      </c>
      <c r="M2423" t="n">
        <v>0</v>
      </c>
      <c r="N2423" t="n">
        <v>0</v>
      </c>
      <c r="O2423" t="n">
        <v>0</v>
      </c>
      <c r="P2423" t="n">
        <v>0</v>
      </c>
      <c r="Q2423" t="n">
        <v>0</v>
      </c>
      <c r="R2423" s="2" t="inlineStr"/>
    </row>
    <row r="2424" ht="15" customHeight="1">
      <c r="A2424" t="inlineStr">
        <is>
          <t>A 51512-2022</t>
        </is>
      </c>
      <c r="B2424" s="1" t="n">
        <v>44869</v>
      </c>
      <c r="C2424" s="1" t="n">
        <v>45358</v>
      </c>
      <c r="D2424" t="inlineStr">
        <is>
          <t>HALLANDS LÄN</t>
        </is>
      </c>
      <c r="E2424" t="inlineStr">
        <is>
          <t>HYLTE</t>
        </is>
      </c>
      <c r="G2424" t="n">
        <v>1.2</v>
      </c>
      <c r="H2424" t="n">
        <v>0</v>
      </c>
      <c r="I2424" t="n">
        <v>0</v>
      </c>
      <c r="J2424" t="n">
        <v>0</v>
      </c>
      <c r="K2424" t="n">
        <v>0</v>
      </c>
      <c r="L2424" t="n">
        <v>0</v>
      </c>
      <c r="M2424" t="n">
        <v>0</v>
      </c>
      <c r="N2424" t="n">
        <v>0</v>
      </c>
      <c r="O2424" t="n">
        <v>0</v>
      </c>
      <c r="P2424" t="n">
        <v>0</v>
      </c>
      <c r="Q2424" t="n">
        <v>0</v>
      </c>
      <c r="R2424" s="2" t="inlineStr"/>
    </row>
    <row r="2425" ht="15" customHeight="1">
      <c r="A2425" t="inlineStr">
        <is>
          <t>A 52596-2022</t>
        </is>
      </c>
      <c r="B2425" s="1" t="n">
        <v>44871</v>
      </c>
      <c r="C2425" s="1" t="n">
        <v>45358</v>
      </c>
      <c r="D2425" t="inlineStr">
        <is>
          <t>HALLANDS LÄN</t>
        </is>
      </c>
      <c r="E2425" t="inlineStr">
        <is>
          <t>FALKENBERG</t>
        </is>
      </c>
      <c r="G2425" t="n">
        <v>4.7</v>
      </c>
      <c r="H2425" t="n">
        <v>0</v>
      </c>
      <c r="I2425" t="n">
        <v>0</v>
      </c>
      <c r="J2425" t="n">
        <v>0</v>
      </c>
      <c r="K2425" t="n">
        <v>0</v>
      </c>
      <c r="L2425" t="n">
        <v>0</v>
      </c>
      <c r="M2425" t="n">
        <v>0</v>
      </c>
      <c r="N2425" t="n">
        <v>0</v>
      </c>
      <c r="O2425" t="n">
        <v>0</v>
      </c>
      <c r="P2425" t="n">
        <v>0</v>
      </c>
      <c r="Q2425" t="n">
        <v>0</v>
      </c>
      <c r="R2425" s="2" t="inlineStr"/>
    </row>
    <row r="2426" ht="15" customHeight="1">
      <c r="A2426" t="inlineStr">
        <is>
          <t>A 51706-2022</t>
        </is>
      </c>
      <c r="B2426" s="1" t="n">
        <v>44872</v>
      </c>
      <c r="C2426" s="1" t="n">
        <v>45358</v>
      </c>
      <c r="D2426" t="inlineStr">
        <is>
          <t>HALLANDS LÄN</t>
        </is>
      </c>
      <c r="E2426" t="inlineStr">
        <is>
          <t>HALMSTAD</t>
        </is>
      </c>
      <c r="G2426" t="n">
        <v>1.1</v>
      </c>
      <c r="H2426" t="n">
        <v>0</v>
      </c>
      <c r="I2426" t="n">
        <v>0</v>
      </c>
      <c r="J2426" t="n">
        <v>0</v>
      </c>
      <c r="K2426" t="n">
        <v>0</v>
      </c>
      <c r="L2426" t="n">
        <v>0</v>
      </c>
      <c r="M2426" t="n">
        <v>0</v>
      </c>
      <c r="N2426" t="n">
        <v>0</v>
      </c>
      <c r="O2426" t="n">
        <v>0</v>
      </c>
      <c r="P2426" t="n">
        <v>0</v>
      </c>
      <c r="Q2426" t="n">
        <v>0</v>
      </c>
      <c r="R2426" s="2" t="inlineStr"/>
    </row>
    <row r="2427" ht="15" customHeight="1">
      <c r="A2427" t="inlineStr">
        <is>
          <t>A 51708-2022</t>
        </is>
      </c>
      <c r="B2427" s="1" t="n">
        <v>44872</v>
      </c>
      <c r="C2427" s="1" t="n">
        <v>45358</v>
      </c>
      <c r="D2427" t="inlineStr">
        <is>
          <t>HALLANDS LÄN</t>
        </is>
      </c>
      <c r="E2427" t="inlineStr">
        <is>
          <t>HALMSTAD</t>
        </is>
      </c>
      <c r="G2427" t="n">
        <v>1.1</v>
      </c>
      <c r="H2427" t="n">
        <v>0</v>
      </c>
      <c r="I2427" t="n">
        <v>0</v>
      </c>
      <c r="J2427" t="n">
        <v>0</v>
      </c>
      <c r="K2427" t="n">
        <v>0</v>
      </c>
      <c r="L2427" t="n">
        <v>0</v>
      </c>
      <c r="M2427" t="n">
        <v>0</v>
      </c>
      <c r="N2427" t="n">
        <v>0</v>
      </c>
      <c r="O2427" t="n">
        <v>0</v>
      </c>
      <c r="P2427" t="n">
        <v>0</v>
      </c>
      <c r="Q2427" t="n">
        <v>0</v>
      </c>
      <c r="R2427" s="2" t="inlineStr"/>
    </row>
    <row r="2428" ht="15" customHeight="1">
      <c r="A2428" t="inlineStr">
        <is>
          <t>A 51743-2022</t>
        </is>
      </c>
      <c r="B2428" s="1" t="n">
        <v>44872</v>
      </c>
      <c r="C2428" s="1" t="n">
        <v>45358</v>
      </c>
      <c r="D2428" t="inlineStr">
        <is>
          <t>HALLANDS LÄN</t>
        </is>
      </c>
      <c r="E2428" t="inlineStr">
        <is>
          <t>FALKENBERG</t>
        </is>
      </c>
      <c r="G2428" t="n">
        <v>1.1</v>
      </c>
      <c r="H2428" t="n">
        <v>0</v>
      </c>
      <c r="I2428" t="n">
        <v>0</v>
      </c>
      <c r="J2428" t="n">
        <v>0</v>
      </c>
      <c r="K2428" t="n">
        <v>0</v>
      </c>
      <c r="L2428" t="n">
        <v>0</v>
      </c>
      <c r="M2428" t="n">
        <v>0</v>
      </c>
      <c r="N2428" t="n">
        <v>0</v>
      </c>
      <c r="O2428" t="n">
        <v>0</v>
      </c>
      <c r="P2428" t="n">
        <v>0</v>
      </c>
      <c r="Q2428" t="n">
        <v>0</v>
      </c>
      <c r="R2428" s="2" t="inlineStr"/>
    </row>
    <row r="2429" ht="15" customHeight="1">
      <c r="A2429" t="inlineStr">
        <is>
          <t>A 51802-2022</t>
        </is>
      </c>
      <c r="B2429" s="1" t="n">
        <v>44872</v>
      </c>
      <c r="C2429" s="1" t="n">
        <v>45358</v>
      </c>
      <c r="D2429" t="inlineStr">
        <is>
          <t>HALLANDS LÄN</t>
        </is>
      </c>
      <c r="E2429" t="inlineStr">
        <is>
          <t>LAHOLM</t>
        </is>
      </c>
      <c r="G2429" t="n">
        <v>0.6</v>
      </c>
      <c r="H2429" t="n">
        <v>0</v>
      </c>
      <c r="I2429" t="n">
        <v>0</v>
      </c>
      <c r="J2429" t="n">
        <v>0</v>
      </c>
      <c r="K2429" t="n">
        <v>0</v>
      </c>
      <c r="L2429" t="n">
        <v>0</v>
      </c>
      <c r="M2429" t="n">
        <v>0</v>
      </c>
      <c r="N2429" t="n">
        <v>0</v>
      </c>
      <c r="O2429" t="n">
        <v>0</v>
      </c>
      <c r="P2429" t="n">
        <v>0</v>
      </c>
      <c r="Q2429" t="n">
        <v>0</v>
      </c>
      <c r="R2429" s="2" t="inlineStr"/>
    </row>
    <row r="2430" ht="15" customHeight="1">
      <c r="A2430" t="inlineStr">
        <is>
          <t>A 51807-2022</t>
        </is>
      </c>
      <c r="B2430" s="1" t="n">
        <v>44872</v>
      </c>
      <c r="C2430" s="1" t="n">
        <v>45358</v>
      </c>
      <c r="D2430" t="inlineStr">
        <is>
          <t>HALLANDS LÄN</t>
        </is>
      </c>
      <c r="E2430" t="inlineStr">
        <is>
          <t>HALMSTAD</t>
        </is>
      </c>
      <c r="G2430" t="n">
        <v>2.1</v>
      </c>
      <c r="H2430" t="n">
        <v>0</v>
      </c>
      <c r="I2430" t="n">
        <v>0</v>
      </c>
      <c r="J2430" t="n">
        <v>0</v>
      </c>
      <c r="K2430" t="n">
        <v>0</v>
      </c>
      <c r="L2430" t="n">
        <v>0</v>
      </c>
      <c r="M2430" t="n">
        <v>0</v>
      </c>
      <c r="N2430" t="n">
        <v>0</v>
      </c>
      <c r="O2430" t="n">
        <v>0</v>
      </c>
      <c r="P2430" t="n">
        <v>0</v>
      </c>
      <c r="Q2430" t="n">
        <v>0</v>
      </c>
      <c r="R2430" s="2" t="inlineStr"/>
    </row>
    <row r="2431" ht="15" customHeight="1">
      <c r="A2431" t="inlineStr">
        <is>
          <t>A 51869-2022</t>
        </is>
      </c>
      <c r="B2431" s="1" t="n">
        <v>44872</v>
      </c>
      <c r="C2431" s="1" t="n">
        <v>45358</v>
      </c>
      <c r="D2431" t="inlineStr">
        <is>
          <t>HALLANDS LÄN</t>
        </is>
      </c>
      <c r="E2431" t="inlineStr">
        <is>
          <t>HYLTE</t>
        </is>
      </c>
      <c r="G2431" t="n">
        <v>0.8</v>
      </c>
      <c r="H2431" t="n">
        <v>0</v>
      </c>
      <c r="I2431" t="n">
        <v>0</v>
      </c>
      <c r="J2431" t="n">
        <v>0</v>
      </c>
      <c r="K2431" t="n">
        <v>0</v>
      </c>
      <c r="L2431" t="n">
        <v>0</v>
      </c>
      <c r="M2431" t="n">
        <v>0</v>
      </c>
      <c r="N2431" t="n">
        <v>0</v>
      </c>
      <c r="O2431" t="n">
        <v>0</v>
      </c>
      <c r="P2431" t="n">
        <v>0</v>
      </c>
      <c r="Q2431" t="n">
        <v>0</v>
      </c>
      <c r="R2431" s="2" t="inlineStr"/>
    </row>
    <row r="2432" ht="15" customHeight="1">
      <c r="A2432" t="inlineStr">
        <is>
          <t>A 51943-2022</t>
        </is>
      </c>
      <c r="B2432" s="1" t="n">
        <v>44872</v>
      </c>
      <c r="C2432" s="1" t="n">
        <v>45358</v>
      </c>
      <c r="D2432" t="inlineStr">
        <is>
          <t>HALLANDS LÄN</t>
        </is>
      </c>
      <c r="E2432" t="inlineStr">
        <is>
          <t>HYLTE</t>
        </is>
      </c>
      <c r="G2432" t="n">
        <v>1.9</v>
      </c>
      <c r="H2432" t="n">
        <v>0</v>
      </c>
      <c r="I2432" t="n">
        <v>0</v>
      </c>
      <c r="J2432" t="n">
        <v>0</v>
      </c>
      <c r="K2432" t="n">
        <v>0</v>
      </c>
      <c r="L2432" t="n">
        <v>0</v>
      </c>
      <c r="M2432" t="n">
        <v>0</v>
      </c>
      <c r="N2432" t="n">
        <v>0</v>
      </c>
      <c r="O2432" t="n">
        <v>0</v>
      </c>
      <c r="P2432" t="n">
        <v>0</v>
      </c>
      <c r="Q2432" t="n">
        <v>0</v>
      </c>
      <c r="R2432" s="2" t="inlineStr"/>
    </row>
    <row r="2433" ht="15" customHeight="1">
      <c r="A2433" t="inlineStr">
        <is>
          <t>A 51938-2022</t>
        </is>
      </c>
      <c r="B2433" s="1" t="n">
        <v>44872</v>
      </c>
      <c r="C2433" s="1" t="n">
        <v>45358</v>
      </c>
      <c r="D2433" t="inlineStr">
        <is>
          <t>HALLANDS LÄN</t>
        </is>
      </c>
      <c r="E2433" t="inlineStr">
        <is>
          <t>HYLTE</t>
        </is>
      </c>
      <c r="G2433" t="n">
        <v>2.1</v>
      </c>
      <c r="H2433" t="n">
        <v>0</v>
      </c>
      <c r="I2433" t="n">
        <v>0</v>
      </c>
      <c r="J2433" t="n">
        <v>0</v>
      </c>
      <c r="K2433" t="n">
        <v>0</v>
      </c>
      <c r="L2433" t="n">
        <v>0</v>
      </c>
      <c r="M2433" t="n">
        <v>0</v>
      </c>
      <c r="N2433" t="n">
        <v>0</v>
      </c>
      <c r="O2433" t="n">
        <v>0</v>
      </c>
      <c r="P2433" t="n">
        <v>0</v>
      </c>
      <c r="Q2433" t="n">
        <v>0</v>
      </c>
      <c r="R2433" s="2" t="inlineStr"/>
    </row>
    <row r="2434" ht="15" customHeight="1">
      <c r="A2434" t="inlineStr">
        <is>
          <t>A 52011-2022</t>
        </is>
      </c>
      <c r="B2434" s="1" t="n">
        <v>44872</v>
      </c>
      <c r="C2434" s="1" t="n">
        <v>45358</v>
      </c>
      <c r="D2434" t="inlineStr">
        <is>
          <t>HALLANDS LÄN</t>
        </is>
      </c>
      <c r="E2434" t="inlineStr">
        <is>
          <t>HYLTE</t>
        </is>
      </c>
      <c r="G2434" t="n">
        <v>0.8</v>
      </c>
      <c r="H2434" t="n">
        <v>0</v>
      </c>
      <c r="I2434" t="n">
        <v>0</v>
      </c>
      <c r="J2434" t="n">
        <v>0</v>
      </c>
      <c r="K2434" t="n">
        <v>0</v>
      </c>
      <c r="L2434" t="n">
        <v>0</v>
      </c>
      <c r="M2434" t="n">
        <v>0</v>
      </c>
      <c r="N2434" t="n">
        <v>0</v>
      </c>
      <c r="O2434" t="n">
        <v>0</v>
      </c>
      <c r="P2434" t="n">
        <v>0</v>
      </c>
      <c r="Q2434" t="n">
        <v>0</v>
      </c>
      <c r="R2434" s="2" t="inlineStr"/>
    </row>
    <row r="2435" ht="15" customHeight="1">
      <c r="A2435" t="inlineStr">
        <is>
          <t>A 52056-2022</t>
        </is>
      </c>
      <c r="B2435" s="1" t="n">
        <v>44873</v>
      </c>
      <c r="C2435" s="1" t="n">
        <v>45358</v>
      </c>
      <c r="D2435" t="inlineStr">
        <is>
          <t>HALLANDS LÄN</t>
        </is>
      </c>
      <c r="E2435" t="inlineStr">
        <is>
          <t>LAHOLM</t>
        </is>
      </c>
      <c r="F2435" t="inlineStr">
        <is>
          <t>Sveaskog</t>
        </is>
      </c>
      <c r="G2435" t="n">
        <v>2.9</v>
      </c>
      <c r="H2435" t="n">
        <v>0</v>
      </c>
      <c r="I2435" t="n">
        <v>0</v>
      </c>
      <c r="J2435" t="n">
        <v>0</v>
      </c>
      <c r="K2435" t="n">
        <v>0</v>
      </c>
      <c r="L2435" t="n">
        <v>0</v>
      </c>
      <c r="M2435" t="n">
        <v>0</v>
      </c>
      <c r="N2435" t="n">
        <v>0</v>
      </c>
      <c r="O2435" t="n">
        <v>0</v>
      </c>
      <c r="P2435" t="n">
        <v>0</v>
      </c>
      <c r="Q2435" t="n">
        <v>0</v>
      </c>
      <c r="R2435" s="2" t="inlineStr"/>
    </row>
    <row r="2436" ht="15" customHeight="1">
      <c r="A2436" t="inlineStr">
        <is>
          <t>A 52102-2022</t>
        </is>
      </c>
      <c r="B2436" s="1" t="n">
        <v>44873</v>
      </c>
      <c r="C2436" s="1" t="n">
        <v>45358</v>
      </c>
      <c r="D2436" t="inlineStr">
        <is>
          <t>HALLANDS LÄN</t>
        </is>
      </c>
      <c r="E2436" t="inlineStr">
        <is>
          <t>HALMSTAD</t>
        </is>
      </c>
      <c r="G2436" t="n">
        <v>0.6</v>
      </c>
      <c r="H2436" t="n">
        <v>0</v>
      </c>
      <c r="I2436" t="n">
        <v>0</v>
      </c>
      <c r="J2436" t="n">
        <v>0</v>
      </c>
      <c r="K2436" t="n">
        <v>0</v>
      </c>
      <c r="L2436" t="n">
        <v>0</v>
      </c>
      <c r="M2436" t="n">
        <v>0</v>
      </c>
      <c r="N2436" t="n">
        <v>0</v>
      </c>
      <c r="O2436" t="n">
        <v>0</v>
      </c>
      <c r="P2436" t="n">
        <v>0</v>
      </c>
      <c r="Q2436" t="n">
        <v>0</v>
      </c>
      <c r="R2436" s="2" t="inlineStr"/>
    </row>
    <row r="2437" ht="15" customHeight="1">
      <c r="A2437" t="inlineStr">
        <is>
          <t>A 52110-2022</t>
        </is>
      </c>
      <c r="B2437" s="1" t="n">
        <v>44873</v>
      </c>
      <c r="C2437" s="1" t="n">
        <v>45358</v>
      </c>
      <c r="D2437" t="inlineStr">
        <is>
          <t>HALLANDS LÄN</t>
        </is>
      </c>
      <c r="E2437" t="inlineStr">
        <is>
          <t>LAHOLM</t>
        </is>
      </c>
      <c r="G2437" t="n">
        <v>0.3</v>
      </c>
      <c r="H2437" t="n">
        <v>0</v>
      </c>
      <c r="I2437" t="n">
        <v>0</v>
      </c>
      <c r="J2437" t="n">
        <v>0</v>
      </c>
      <c r="K2437" t="n">
        <v>0</v>
      </c>
      <c r="L2437" t="n">
        <v>0</v>
      </c>
      <c r="M2437" t="n">
        <v>0</v>
      </c>
      <c r="N2437" t="n">
        <v>0</v>
      </c>
      <c r="O2437" t="n">
        <v>0</v>
      </c>
      <c r="P2437" t="n">
        <v>0</v>
      </c>
      <c r="Q2437" t="n">
        <v>0</v>
      </c>
      <c r="R2437" s="2" t="inlineStr"/>
    </row>
    <row r="2438" ht="15" customHeight="1">
      <c r="A2438" t="inlineStr">
        <is>
          <t>A 52055-2022</t>
        </is>
      </c>
      <c r="B2438" s="1" t="n">
        <v>44873</v>
      </c>
      <c r="C2438" s="1" t="n">
        <v>45358</v>
      </c>
      <c r="D2438" t="inlineStr">
        <is>
          <t>HALLANDS LÄN</t>
        </is>
      </c>
      <c r="E2438" t="inlineStr">
        <is>
          <t>LAHOLM</t>
        </is>
      </c>
      <c r="F2438" t="inlineStr">
        <is>
          <t>Sveaskog</t>
        </is>
      </c>
      <c r="G2438" t="n">
        <v>6</v>
      </c>
      <c r="H2438" t="n">
        <v>0</v>
      </c>
      <c r="I2438" t="n">
        <v>0</v>
      </c>
      <c r="J2438" t="n">
        <v>0</v>
      </c>
      <c r="K2438" t="n">
        <v>0</v>
      </c>
      <c r="L2438" t="n">
        <v>0</v>
      </c>
      <c r="M2438" t="n">
        <v>0</v>
      </c>
      <c r="N2438" t="n">
        <v>0</v>
      </c>
      <c r="O2438" t="n">
        <v>0</v>
      </c>
      <c r="P2438" t="n">
        <v>0</v>
      </c>
      <c r="Q2438" t="n">
        <v>0</v>
      </c>
      <c r="R2438" s="2" t="inlineStr"/>
    </row>
    <row r="2439" ht="15" customHeight="1">
      <c r="A2439" t="inlineStr">
        <is>
          <t>A 52106-2022</t>
        </is>
      </c>
      <c r="B2439" s="1" t="n">
        <v>44873</v>
      </c>
      <c r="C2439" s="1" t="n">
        <v>45358</v>
      </c>
      <c r="D2439" t="inlineStr">
        <is>
          <t>HALLANDS LÄN</t>
        </is>
      </c>
      <c r="E2439" t="inlineStr">
        <is>
          <t>LAHOLM</t>
        </is>
      </c>
      <c r="G2439" t="n">
        <v>1.4</v>
      </c>
      <c r="H2439" t="n">
        <v>0</v>
      </c>
      <c r="I2439" t="n">
        <v>0</v>
      </c>
      <c r="J2439" t="n">
        <v>0</v>
      </c>
      <c r="K2439" t="n">
        <v>0</v>
      </c>
      <c r="L2439" t="n">
        <v>0</v>
      </c>
      <c r="M2439" t="n">
        <v>0</v>
      </c>
      <c r="N2439" t="n">
        <v>0</v>
      </c>
      <c r="O2439" t="n">
        <v>0</v>
      </c>
      <c r="P2439" t="n">
        <v>0</v>
      </c>
      <c r="Q2439" t="n">
        <v>0</v>
      </c>
      <c r="R2439" s="2" t="inlineStr"/>
    </row>
    <row r="2440" ht="15" customHeight="1">
      <c r="A2440" t="inlineStr">
        <is>
          <t>A 52113-2022</t>
        </is>
      </c>
      <c r="B2440" s="1" t="n">
        <v>44873</v>
      </c>
      <c r="C2440" s="1" t="n">
        <v>45358</v>
      </c>
      <c r="D2440" t="inlineStr">
        <is>
          <t>HALLANDS LÄN</t>
        </is>
      </c>
      <c r="E2440" t="inlineStr">
        <is>
          <t>LAHOLM</t>
        </is>
      </c>
      <c r="G2440" t="n">
        <v>1.2</v>
      </c>
      <c r="H2440" t="n">
        <v>0</v>
      </c>
      <c r="I2440" t="n">
        <v>0</v>
      </c>
      <c r="J2440" t="n">
        <v>0</v>
      </c>
      <c r="K2440" t="n">
        <v>0</v>
      </c>
      <c r="L2440" t="n">
        <v>0</v>
      </c>
      <c r="M2440" t="n">
        <v>0</v>
      </c>
      <c r="N2440" t="n">
        <v>0</v>
      </c>
      <c r="O2440" t="n">
        <v>0</v>
      </c>
      <c r="P2440" t="n">
        <v>0</v>
      </c>
      <c r="Q2440" t="n">
        <v>0</v>
      </c>
      <c r="R2440" s="2" t="inlineStr"/>
    </row>
    <row r="2441" ht="15" customHeight="1">
      <c r="A2441" t="inlineStr">
        <is>
          <t>A 52131-2022</t>
        </is>
      </c>
      <c r="B2441" s="1" t="n">
        <v>44873</v>
      </c>
      <c r="C2441" s="1" t="n">
        <v>45358</v>
      </c>
      <c r="D2441" t="inlineStr">
        <is>
          <t>HALLANDS LÄN</t>
        </is>
      </c>
      <c r="E2441" t="inlineStr">
        <is>
          <t>LAHOLM</t>
        </is>
      </c>
      <c r="G2441" t="n">
        <v>3.1</v>
      </c>
      <c r="H2441" t="n">
        <v>0</v>
      </c>
      <c r="I2441" t="n">
        <v>0</v>
      </c>
      <c r="J2441" t="n">
        <v>0</v>
      </c>
      <c r="K2441" t="n">
        <v>0</v>
      </c>
      <c r="L2441" t="n">
        <v>0</v>
      </c>
      <c r="M2441" t="n">
        <v>0</v>
      </c>
      <c r="N2441" t="n">
        <v>0</v>
      </c>
      <c r="O2441" t="n">
        <v>0</v>
      </c>
      <c r="P2441" t="n">
        <v>0</v>
      </c>
      <c r="Q2441" t="n">
        <v>0</v>
      </c>
      <c r="R2441" s="2" t="inlineStr"/>
    </row>
    <row r="2442" ht="15" customHeight="1">
      <c r="A2442" t="inlineStr">
        <is>
          <t>A 52317-2022</t>
        </is>
      </c>
      <c r="B2442" s="1" t="n">
        <v>44873</v>
      </c>
      <c r="C2442" s="1" t="n">
        <v>45358</v>
      </c>
      <c r="D2442" t="inlineStr">
        <is>
          <t>HALLANDS LÄN</t>
        </is>
      </c>
      <c r="E2442" t="inlineStr">
        <is>
          <t>KUNGSBACKA</t>
        </is>
      </c>
      <c r="G2442" t="n">
        <v>1.4</v>
      </c>
      <c r="H2442" t="n">
        <v>0</v>
      </c>
      <c r="I2442" t="n">
        <v>0</v>
      </c>
      <c r="J2442" t="n">
        <v>0</v>
      </c>
      <c r="K2442" t="n">
        <v>0</v>
      </c>
      <c r="L2442" t="n">
        <v>0</v>
      </c>
      <c r="M2442" t="n">
        <v>0</v>
      </c>
      <c r="N2442" t="n">
        <v>0</v>
      </c>
      <c r="O2442" t="n">
        <v>0</v>
      </c>
      <c r="P2442" t="n">
        <v>0</v>
      </c>
      <c r="Q2442" t="n">
        <v>0</v>
      </c>
      <c r="R2442" s="2" t="inlineStr"/>
    </row>
    <row r="2443" ht="15" customHeight="1">
      <c r="A2443" t="inlineStr">
        <is>
          <t>A 52248-2022</t>
        </is>
      </c>
      <c r="B2443" s="1" t="n">
        <v>44873</v>
      </c>
      <c r="C2443" s="1" t="n">
        <v>45358</v>
      </c>
      <c r="D2443" t="inlineStr">
        <is>
          <t>HALLANDS LÄN</t>
        </is>
      </c>
      <c r="E2443" t="inlineStr">
        <is>
          <t>HYLTE</t>
        </is>
      </c>
      <c r="G2443" t="n">
        <v>1.3</v>
      </c>
      <c r="H2443" t="n">
        <v>0</v>
      </c>
      <c r="I2443" t="n">
        <v>0</v>
      </c>
      <c r="J2443" t="n">
        <v>0</v>
      </c>
      <c r="K2443" t="n">
        <v>0</v>
      </c>
      <c r="L2443" t="n">
        <v>0</v>
      </c>
      <c r="M2443" t="n">
        <v>0</v>
      </c>
      <c r="N2443" t="n">
        <v>0</v>
      </c>
      <c r="O2443" t="n">
        <v>0</v>
      </c>
      <c r="P2443" t="n">
        <v>0</v>
      </c>
      <c r="Q2443" t="n">
        <v>0</v>
      </c>
      <c r="R2443" s="2" t="inlineStr"/>
    </row>
    <row r="2444" ht="15" customHeight="1">
      <c r="A2444" t="inlineStr">
        <is>
          <t>A 52358-2022</t>
        </is>
      </c>
      <c r="B2444" s="1" t="n">
        <v>44874</v>
      </c>
      <c r="C2444" s="1" t="n">
        <v>45358</v>
      </c>
      <c r="D2444" t="inlineStr">
        <is>
          <t>HALLANDS LÄN</t>
        </is>
      </c>
      <c r="E2444" t="inlineStr">
        <is>
          <t>VARBERG</t>
        </is>
      </c>
      <c r="G2444" t="n">
        <v>1.7</v>
      </c>
      <c r="H2444" t="n">
        <v>0</v>
      </c>
      <c r="I2444" t="n">
        <v>0</v>
      </c>
      <c r="J2444" t="n">
        <v>0</v>
      </c>
      <c r="K2444" t="n">
        <v>0</v>
      </c>
      <c r="L2444" t="n">
        <v>0</v>
      </c>
      <c r="M2444" t="n">
        <v>0</v>
      </c>
      <c r="N2444" t="n">
        <v>0</v>
      </c>
      <c r="O2444" t="n">
        <v>0</v>
      </c>
      <c r="P2444" t="n">
        <v>0</v>
      </c>
      <c r="Q2444" t="n">
        <v>0</v>
      </c>
      <c r="R2444" s="2" t="inlineStr"/>
    </row>
    <row r="2445" ht="15" customHeight="1">
      <c r="A2445" t="inlineStr">
        <is>
          <t>A 52507-2022</t>
        </is>
      </c>
      <c r="B2445" s="1" t="n">
        <v>44874</v>
      </c>
      <c r="C2445" s="1" t="n">
        <v>45358</v>
      </c>
      <c r="D2445" t="inlineStr">
        <is>
          <t>HALLANDS LÄN</t>
        </is>
      </c>
      <c r="E2445" t="inlineStr">
        <is>
          <t>VARBERG</t>
        </is>
      </c>
      <c r="G2445" t="n">
        <v>3.8</v>
      </c>
      <c r="H2445" t="n">
        <v>0</v>
      </c>
      <c r="I2445" t="n">
        <v>0</v>
      </c>
      <c r="J2445" t="n">
        <v>0</v>
      </c>
      <c r="K2445" t="n">
        <v>0</v>
      </c>
      <c r="L2445" t="n">
        <v>0</v>
      </c>
      <c r="M2445" t="n">
        <v>0</v>
      </c>
      <c r="N2445" t="n">
        <v>0</v>
      </c>
      <c r="O2445" t="n">
        <v>0</v>
      </c>
      <c r="P2445" t="n">
        <v>0</v>
      </c>
      <c r="Q2445" t="n">
        <v>0</v>
      </c>
      <c r="R2445" s="2" t="inlineStr"/>
    </row>
    <row r="2446" ht="15" customHeight="1">
      <c r="A2446" t="inlineStr">
        <is>
          <t>A 52640-2022</t>
        </is>
      </c>
      <c r="B2446" s="1" t="n">
        <v>44874</v>
      </c>
      <c r="C2446" s="1" t="n">
        <v>45358</v>
      </c>
      <c r="D2446" t="inlineStr">
        <is>
          <t>HALLANDS LÄN</t>
        </is>
      </c>
      <c r="E2446" t="inlineStr">
        <is>
          <t>VARBERG</t>
        </is>
      </c>
      <c r="G2446" t="n">
        <v>1.1</v>
      </c>
      <c r="H2446" t="n">
        <v>0</v>
      </c>
      <c r="I2446" t="n">
        <v>0</v>
      </c>
      <c r="J2446" t="n">
        <v>0</v>
      </c>
      <c r="K2446" t="n">
        <v>0</v>
      </c>
      <c r="L2446" t="n">
        <v>0</v>
      </c>
      <c r="M2446" t="n">
        <v>0</v>
      </c>
      <c r="N2446" t="n">
        <v>0</v>
      </c>
      <c r="O2446" t="n">
        <v>0</v>
      </c>
      <c r="P2446" t="n">
        <v>0</v>
      </c>
      <c r="Q2446" t="n">
        <v>0</v>
      </c>
      <c r="R2446" s="2" t="inlineStr"/>
    </row>
    <row r="2447" ht="15" customHeight="1">
      <c r="A2447" t="inlineStr">
        <is>
          <t>A 52779-2022</t>
        </is>
      </c>
      <c r="B2447" s="1" t="n">
        <v>44875</v>
      </c>
      <c r="C2447" s="1" t="n">
        <v>45358</v>
      </c>
      <c r="D2447" t="inlineStr">
        <is>
          <t>HALLANDS LÄN</t>
        </is>
      </c>
      <c r="E2447" t="inlineStr">
        <is>
          <t>LAHOLM</t>
        </is>
      </c>
      <c r="G2447" t="n">
        <v>2.2</v>
      </c>
      <c r="H2447" t="n">
        <v>0</v>
      </c>
      <c r="I2447" t="n">
        <v>0</v>
      </c>
      <c r="J2447" t="n">
        <v>0</v>
      </c>
      <c r="K2447" t="n">
        <v>0</v>
      </c>
      <c r="L2447" t="n">
        <v>0</v>
      </c>
      <c r="M2447" t="n">
        <v>0</v>
      </c>
      <c r="N2447" t="n">
        <v>0</v>
      </c>
      <c r="O2447" t="n">
        <v>0</v>
      </c>
      <c r="P2447" t="n">
        <v>0</v>
      </c>
      <c r="Q2447" t="n">
        <v>0</v>
      </c>
      <c r="R2447" s="2" t="inlineStr"/>
    </row>
    <row r="2448" ht="15" customHeight="1">
      <c r="A2448" t="inlineStr">
        <is>
          <t>A 52975-2022</t>
        </is>
      </c>
      <c r="B2448" s="1" t="n">
        <v>44875</v>
      </c>
      <c r="C2448" s="1" t="n">
        <v>45358</v>
      </c>
      <c r="D2448" t="inlineStr">
        <is>
          <t>HALLANDS LÄN</t>
        </is>
      </c>
      <c r="E2448" t="inlineStr">
        <is>
          <t>VARBERG</t>
        </is>
      </c>
      <c r="G2448" t="n">
        <v>4.2</v>
      </c>
      <c r="H2448" t="n">
        <v>0</v>
      </c>
      <c r="I2448" t="n">
        <v>0</v>
      </c>
      <c r="J2448" t="n">
        <v>0</v>
      </c>
      <c r="K2448" t="n">
        <v>0</v>
      </c>
      <c r="L2448" t="n">
        <v>0</v>
      </c>
      <c r="M2448" t="n">
        <v>0</v>
      </c>
      <c r="N2448" t="n">
        <v>0</v>
      </c>
      <c r="O2448" t="n">
        <v>0</v>
      </c>
      <c r="P2448" t="n">
        <v>0</v>
      </c>
      <c r="Q2448" t="n">
        <v>0</v>
      </c>
      <c r="R2448" s="2" t="inlineStr"/>
    </row>
    <row r="2449" ht="15" customHeight="1">
      <c r="A2449" t="inlineStr">
        <is>
          <t>A 53763-2022</t>
        </is>
      </c>
      <c r="B2449" s="1" t="n">
        <v>44875</v>
      </c>
      <c r="C2449" s="1" t="n">
        <v>45358</v>
      </c>
      <c r="D2449" t="inlineStr">
        <is>
          <t>HALLANDS LÄN</t>
        </is>
      </c>
      <c r="E2449" t="inlineStr">
        <is>
          <t>HALMSTAD</t>
        </is>
      </c>
      <c r="G2449" t="n">
        <v>0.9</v>
      </c>
      <c r="H2449" t="n">
        <v>0</v>
      </c>
      <c r="I2449" t="n">
        <v>0</v>
      </c>
      <c r="J2449" t="n">
        <v>0</v>
      </c>
      <c r="K2449" t="n">
        <v>0</v>
      </c>
      <c r="L2449" t="n">
        <v>0</v>
      </c>
      <c r="M2449" t="n">
        <v>0</v>
      </c>
      <c r="N2449" t="n">
        <v>0</v>
      </c>
      <c r="O2449" t="n">
        <v>0</v>
      </c>
      <c r="P2449" t="n">
        <v>0</v>
      </c>
      <c r="Q2449" t="n">
        <v>0</v>
      </c>
      <c r="R2449" s="2" t="inlineStr"/>
    </row>
    <row r="2450" ht="15" customHeight="1">
      <c r="A2450" t="inlineStr">
        <is>
          <t>A 53039-2022</t>
        </is>
      </c>
      <c r="B2450" s="1" t="n">
        <v>44876</v>
      </c>
      <c r="C2450" s="1" t="n">
        <v>45358</v>
      </c>
      <c r="D2450" t="inlineStr">
        <is>
          <t>HALLANDS LÄN</t>
        </is>
      </c>
      <c r="E2450" t="inlineStr">
        <is>
          <t>VARBERG</t>
        </is>
      </c>
      <c r="G2450" t="n">
        <v>1.7</v>
      </c>
      <c r="H2450" t="n">
        <v>0</v>
      </c>
      <c r="I2450" t="n">
        <v>0</v>
      </c>
      <c r="J2450" t="n">
        <v>0</v>
      </c>
      <c r="K2450" t="n">
        <v>0</v>
      </c>
      <c r="L2450" t="n">
        <v>0</v>
      </c>
      <c r="M2450" t="n">
        <v>0</v>
      </c>
      <c r="N2450" t="n">
        <v>0</v>
      </c>
      <c r="O2450" t="n">
        <v>0</v>
      </c>
      <c r="P2450" t="n">
        <v>0</v>
      </c>
      <c r="Q2450" t="n">
        <v>0</v>
      </c>
      <c r="R2450" s="2" t="inlineStr"/>
    </row>
    <row r="2451" ht="15" customHeight="1">
      <c r="A2451" t="inlineStr">
        <is>
          <t>A 53041-2022</t>
        </is>
      </c>
      <c r="B2451" s="1" t="n">
        <v>44876</v>
      </c>
      <c r="C2451" s="1" t="n">
        <v>45358</v>
      </c>
      <c r="D2451" t="inlineStr">
        <is>
          <t>HALLANDS LÄN</t>
        </is>
      </c>
      <c r="E2451" t="inlineStr">
        <is>
          <t>VARBERG</t>
        </is>
      </c>
      <c r="G2451" t="n">
        <v>0.6</v>
      </c>
      <c r="H2451" t="n">
        <v>0</v>
      </c>
      <c r="I2451" t="n">
        <v>0</v>
      </c>
      <c r="J2451" t="n">
        <v>0</v>
      </c>
      <c r="K2451" t="n">
        <v>0</v>
      </c>
      <c r="L2451" t="n">
        <v>0</v>
      </c>
      <c r="M2451" t="n">
        <v>0</v>
      </c>
      <c r="N2451" t="n">
        <v>0</v>
      </c>
      <c r="O2451" t="n">
        <v>0</v>
      </c>
      <c r="P2451" t="n">
        <v>0</v>
      </c>
      <c r="Q2451" t="n">
        <v>0</v>
      </c>
      <c r="R2451" s="2" t="inlineStr"/>
    </row>
    <row r="2452" ht="15" customHeight="1">
      <c r="A2452" t="inlineStr">
        <is>
          <t>A 53268-2022</t>
        </is>
      </c>
      <c r="B2452" s="1" t="n">
        <v>44876</v>
      </c>
      <c r="C2452" s="1" t="n">
        <v>45358</v>
      </c>
      <c r="D2452" t="inlineStr">
        <is>
          <t>HALLANDS LÄN</t>
        </is>
      </c>
      <c r="E2452" t="inlineStr">
        <is>
          <t>HYLTE</t>
        </is>
      </c>
      <c r="G2452" t="n">
        <v>2.3</v>
      </c>
      <c r="H2452" t="n">
        <v>0</v>
      </c>
      <c r="I2452" t="n">
        <v>0</v>
      </c>
      <c r="J2452" t="n">
        <v>0</v>
      </c>
      <c r="K2452" t="n">
        <v>0</v>
      </c>
      <c r="L2452" t="n">
        <v>0</v>
      </c>
      <c r="M2452" t="n">
        <v>0</v>
      </c>
      <c r="N2452" t="n">
        <v>0</v>
      </c>
      <c r="O2452" t="n">
        <v>0</v>
      </c>
      <c r="P2452" t="n">
        <v>0</v>
      </c>
      <c r="Q2452" t="n">
        <v>0</v>
      </c>
      <c r="R2452" s="2" t="inlineStr"/>
    </row>
    <row r="2453" ht="15" customHeight="1">
      <c r="A2453" t="inlineStr">
        <is>
          <t>A 53267-2022</t>
        </is>
      </c>
      <c r="B2453" s="1" t="n">
        <v>44876</v>
      </c>
      <c r="C2453" s="1" t="n">
        <v>45358</v>
      </c>
      <c r="D2453" t="inlineStr">
        <is>
          <t>HALLANDS LÄN</t>
        </is>
      </c>
      <c r="E2453" t="inlineStr">
        <is>
          <t>HYLTE</t>
        </is>
      </c>
      <c r="G2453" t="n">
        <v>4.2</v>
      </c>
      <c r="H2453" t="n">
        <v>0</v>
      </c>
      <c r="I2453" t="n">
        <v>0</v>
      </c>
      <c r="J2453" t="n">
        <v>0</v>
      </c>
      <c r="K2453" t="n">
        <v>0</v>
      </c>
      <c r="L2453" t="n">
        <v>0</v>
      </c>
      <c r="M2453" t="n">
        <v>0</v>
      </c>
      <c r="N2453" t="n">
        <v>0</v>
      </c>
      <c r="O2453" t="n">
        <v>0</v>
      </c>
      <c r="P2453" t="n">
        <v>0</v>
      </c>
      <c r="Q2453" t="n">
        <v>0</v>
      </c>
      <c r="R2453" s="2" t="inlineStr"/>
    </row>
    <row r="2454" ht="15" customHeight="1">
      <c r="A2454" t="inlineStr">
        <is>
          <t>A 53465-2022</t>
        </is>
      </c>
      <c r="B2454" s="1" t="n">
        <v>44879</v>
      </c>
      <c r="C2454" s="1" t="n">
        <v>45358</v>
      </c>
      <c r="D2454" t="inlineStr">
        <is>
          <t>HALLANDS LÄN</t>
        </is>
      </c>
      <c r="E2454" t="inlineStr">
        <is>
          <t>HALMSTAD</t>
        </is>
      </c>
      <c r="G2454" t="n">
        <v>1.2</v>
      </c>
      <c r="H2454" t="n">
        <v>0</v>
      </c>
      <c r="I2454" t="n">
        <v>0</v>
      </c>
      <c r="J2454" t="n">
        <v>0</v>
      </c>
      <c r="K2454" t="n">
        <v>0</v>
      </c>
      <c r="L2454" t="n">
        <v>0</v>
      </c>
      <c r="M2454" t="n">
        <v>0</v>
      </c>
      <c r="N2454" t="n">
        <v>0</v>
      </c>
      <c r="O2454" t="n">
        <v>0</v>
      </c>
      <c r="P2454" t="n">
        <v>0</v>
      </c>
      <c r="Q2454" t="n">
        <v>0</v>
      </c>
      <c r="R2454" s="2" t="inlineStr"/>
    </row>
    <row r="2455" ht="15" customHeight="1">
      <c r="A2455" t="inlineStr">
        <is>
          <t>A 53550-2022</t>
        </is>
      </c>
      <c r="B2455" s="1" t="n">
        <v>44879</v>
      </c>
      <c r="C2455" s="1" t="n">
        <v>45358</v>
      </c>
      <c r="D2455" t="inlineStr">
        <is>
          <t>HALLANDS LÄN</t>
        </is>
      </c>
      <c r="E2455" t="inlineStr">
        <is>
          <t>HALMSTAD</t>
        </is>
      </c>
      <c r="G2455" t="n">
        <v>0.6</v>
      </c>
      <c r="H2455" t="n">
        <v>0</v>
      </c>
      <c r="I2455" t="n">
        <v>0</v>
      </c>
      <c r="J2455" t="n">
        <v>0</v>
      </c>
      <c r="K2455" t="n">
        <v>0</v>
      </c>
      <c r="L2455" t="n">
        <v>0</v>
      </c>
      <c r="M2455" t="n">
        <v>0</v>
      </c>
      <c r="N2455" t="n">
        <v>0</v>
      </c>
      <c r="O2455" t="n">
        <v>0</v>
      </c>
      <c r="P2455" t="n">
        <v>0</v>
      </c>
      <c r="Q2455" t="n">
        <v>0</v>
      </c>
      <c r="R2455" s="2" t="inlineStr"/>
    </row>
    <row r="2456" ht="15" customHeight="1">
      <c r="A2456" t="inlineStr">
        <is>
          <t>A 53584-2022</t>
        </is>
      </c>
      <c r="B2456" s="1" t="n">
        <v>44879</v>
      </c>
      <c r="C2456" s="1" t="n">
        <v>45358</v>
      </c>
      <c r="D2456" t="inlineStr">
        <is>
          <t>HALLANDS LÄN</t>
        </is>
      </c>
      <c r="E2456" t="inlineStr">
        <is>
          <t>LAHOLM</t>
        </is>
      </c>
      <c r="G2456" t="n">
        <v>1.4</v>
      </c>
      <c r="H2456" t="n">
        <v>0</v>
      </c>
      <c r="I2456" t="n">
        <v>0</v>
      </c>
      <c r="J2456" t="n">
        <v>0</v>
      </c>
      <c r="K2456" t="n">
        <v>0</v>
      </c>
      <c r="L2456" t="n">
        <v>0</v>
      </c>
      <c r="M2456" t="n">
        <v>0</v>
      </c>
      <c r="N2456" t="n">
        <v>0</v>
      </c>
      <c r="O2456" t="n">
        <v>0</v>
      </c>
      <c r="P2456" t="n">
        <v>0</v>
      </c>
      <c r="Q2456" t="n">
        <v>0</v>
      </c>
      <c r="R2456" s="2" t="inlineStr"/>
    </row>
    <row r="2457" ht="15" customHeight="1">
      <c r="A2457" t="inlineStr">
        <is>
          <t>A 53449-2022</t>
        </is>
      </c>
      <c r="B2457" s="1" t="n">
        <v>44879</v>
      </c>
      <c r="C2457" s="1" t="n">
        <v>45358</v>
      </c>
      <c r="D2457" t="inlineStr">
        <is>
          <t>HALLANDS LÄN</t>
        </is>
      </c>
      <c r="E2457" t="inlineStr">
        <is>
          <t>FALKENBERG</t>
        </is>
      </c>
      <c r="G2457" t="n">
        <v>0.8</v>
      </c>
      <c r="H2457" t="n">
        <v>0</v>
      </c>
      <c r="I2457" t="n">
        <v>0</v>
      </c>
      <c r="J2457" t="n">
        <v>0</v>
      </c>
      <c r="K2457" t="n">
        <v>0</v>
      </c>
      <c r="L2457" t="n">
        <v>0</v>
      </c>
      <c r="M2457" t="n">
        <v>0</v>
      </c>
      <c r="N2457" t="n">
        <v>0</v>
      </c>
      <c r="O2457" t="n">
        <v>0</v>
      </c>
      <c r="P2457" t="n">
        <v>0</v>
      </c>
      <c r="Q2457" t="n">
        <v>0</v>
      </c>
      <c r="R2457" s="2" t="inlineStr"/>
    </row>
    <row r="2458" ht="15" customHeight="1">
      <c r="A2458" t="inlineStr">
        <is>
          <t>A 53499-2022</t>
        </is>
      </c>
      <c r="B2458" s="1" t="n">
        <v>44879</v>
      </c>
      <c r="C2458" s="1" t="n">
        <v>45358</v>
      </c>
      <c r="D2458" t="inlineStr">
        <is>
          <t>HALLANDS LÄN</t>
        </is>
      </c>
      <c r="E2458" t="inlineStr">
        <is>
          <t>HALMSTAD</t>
        </is>
      </c>
      <c r="G2458" t="n">
        <v>6.1</v>
      </c>
      <c r="H2458" t="n">
        <v>0</v>
      </c>
      <c r="I2458" t="n">
        <v>0</v>
      </c>
      <c r="J2458" t="n">
        <v>0</v>
      </c>
      <c r="K2458" t="n">
        <v>0</v>
      </c>
      <c r="L2458" t="n">
        <v>0</v>
      </c>
      <c r="M2458" t="n">
        <v>0</v>
      </c>
      <c r="N2458" t="n">
        <v>0</v>
      </c>
      <c r="O2458" t="n">
        <v>0</v>
      </c>
      <c r="P2458" t="n">
        <v>0</v>
      </c>
      <c r="Q2458" t="n">
        <v>0</v>
      </c>
      <c r="R2458" s="2" t="inlineStr"/>
    </row>
    <row r="2459" ht="15" customHeight="1">
      <c r="A2459" t="inlineStr">
        <is>
          <t>A 53539-2022</t>
        </is>
      </c>
      <c r="B2459" s="1" t="n">
        <v>44879</v>
      </c>
      <c r="C2459" s="1" t="n">
        <v>45358</v>
      </c>
      <c r="D2459" t="inlineStr">
        <is>
          <t>HALLANDS LÄN</t>
        </is>
      </c>
      <c r="E2459" t="inlineStr">
        <is>
          <t>HALMSTAD</t>
        </is>
      </c>
      <c r="G2459" t="n">
        <v>0.7</v>
      </c>
      <c r="H2459" t="n">
        <v>0</v>
      </c>
      <c r="I2459" t="n">
        <v>0</v>
      </c>
      <c r="J2459" t="n">
        <v>0</v>
      </c>
      <c r="K2459" t="n">
        <v>0</v>
      </c>
      <c r="L2459" t="n">
        <v>0</v>
      </c>
      <c r="M2459" t="n">
        <v>0</v>
      </c>
      <c r="N2459" t="n">
        <v>0</v>
      </c>
      <c r="O2459" t="n">
        <v>0</v>
      </c>
      <c r="P2459" t="n">
        <v>0</v>
      </c>
      <c r="Q2459" t="n">
        <v>0</v>
      </c>
      <c r="R2459" s="2" t="inlineStr"/>
    </row>
    <row r="2460" ht="15" customHeight="1">
      <c r="A2460" t="inlineStr">
        <is>
          <t>A 53462-2022</t>
        </is>
      </c>
      <c r="B2460" s="1" t="n">
        <v>44879</v>
      </c>
      <c r="C2460" s="1" t="n">
        <v>45358</v>
      </c>
      <c r="D2460" t="inlineStr">
        <is>
          <t>HALLANDS LÄN</t>
        </is>
      </c>
      <c r="E2460" t="inlineStr">
        <is>
          <t>LAHOLM</t>
        </is>
      </c>
      <c r="F2460" t="inlineStr">
        <is>
          <t>Sveaskog</t>
        </is>
      </c>
      <c r="G2460" t="n">
        <v>11</v>
      </c>
      <c r="H2460" t="n">
        <v>0</v>
      </c>
      <c r="I2460" t="n">
        <v>0</v>
      </c>
      <c r="J2460" t="n">
        <v>0</v>
      </c>
      <c r="K2460" t="n">
        <v>0</v>
      </c>
      <c r="L2460" t="n">
        <v>0</v>
      </c>
      <c r="M2460" t="n">
        <v>0</v>
      </c>
      <c r="N2460" t="n">
        <v>0</v>
      </c>
      <c r="O2460" t="n">
        <v>0</v>
      </c>
      <c r="P2460" t="n">
        <v>0</v>
      </c>
      <c r="Q2460" t="n">
        <v>0</v>
      </c>
      <c r="R2460" s="2" t="inlineStr"/>
    </row>
    <row r="2461" ht="15" customHeight="1">
      <c r="A2461" t="inlineStr">
        <is>
          <t>A 53882-2022</t>
        </is>
      </c>
      <c r="B2461" s="1" t="n">
        <v>44880</v>
      </c>
      <c r="C2461" s="1" t="n">
        <v>45358</v>
      </c>
      <c r="D2461" t="inlineStr">
        <is>
          <t>HALLANDS LÄN</t>
        </is>
      </c>
      <c r="E2461" t="inlineStr">
        <is>
          <t>KUNGSBACKA</t>
        </is>
      </c>
      <c r="G2461" t="n">
        <v>0.9</v>
      </c>
      <c r="H2461" t="n">
        <v>0</v>
      </c>
      <c r="I2461" t="n">
        <v>0</v>
      </c>
      <c r="J2461" t="n">
        <v>0</v>
      </c>
      <c r="K2461" t="n">
        <v>0</v>
      </c>
      <c r="L2461" t="n">
        <v>0</v>
      </c>
      <c r="M2461" t="n">
        <v>0</v>
      </c>
      <c r="N2461" t="n">
        <v>0</v>
      </c>
      <c r="O2461" t="n">
        <v>0</v>
      </c>
      <c r="P2461" t="n">
        <v>0</v>
      </c>
      <c r="Q2461" t="n">
        <v>0</v>
      </c>
      <c r="R2461" s="2" t="inlineStr"/>
    </row>
    <row r="2462" ht="15" customHeight="1">
      <c r="A2462" t="inlineStr">
        <is>
          <t>A 53909-2022</t>
        </is>
      </c>
      <c r="B2462" s="1" t="n">
        <v>44880</v>
      </c>
      <c r="C2462" s="1" t="n">
        <v>45358</v>
      </c>
      <c r="D2462" t="inlineStr">
        <is>
          <t>HALLANDS LÄN</t>
        </is>
      </c>
      <c r="E2462" t="inlineStr">
        <is>
          <t>LAHOLM</t>
        </is>
      </c>
      <c r="G2462" t="n">
        <v>2.1</v>
      </c>
      <c r="H2462" t="n">
        <v>0</v>
      </c>
      <c r="I2462" t="n">
        <v>0</v>
      </c>
      <c r="J2462" t="n">
        <v>0</v>
      </c>
      <c r="K2462" t="n">
        <v>0</v>
      </c>
      <c r="L2462" t="n">
        <v>0</v>
      </c>
      <c r="M2462" t="n">
        <v>0</v>
      </c>
      <c r="N2462" t="n">
        <v>0</v>
      </c>
      <c r="O2462" t="n">
        <v>0</v>
      </c>
      <c r="P2462" t="n">
        <v>0</v>
      </c>
      <c r="Q2462" t="n">
        <v>0</v>
      </c>
      <c r="R2462" s="2" t="inlineStr"/>
    </row>
    <row r="2463" ht="15" customHeight="1">
      <c r="A2463" t="inlineStr">
        <is>
          <t>A 53809-2022</t>
        </is>
      </c>
      <c r="B2463" s="1" t="n">
        <v>44880</v>
      </c>
      <c r="C2463" s="1" t="n">
        <v>45358</v>
      </c>
      <c r="D2463" t="inlineStr">
        <is>
          <t>HALLANDS LÄN</t>
        </is>
      </c>
      <c r="E2463" t="inlineStr">
        <is>
          <t>FALKENBERG</t>
        </is>
      </c>
      <c r="G2463" t="n">
        <v>1.8</v>
      </c>
      <c r="H2463" t="n">
        <v>0</v>
      </c>
      <c r="I2463" t="n">
        <v>0</v>
      </c>
      <c r="J2463" t="n">
        <v>0</v>
      </c>
      <c r="K2463" t="n">
        <v>0</v>
      </c>
      <c r="L2463" t="n">
        <v>0</v>
      </c>
      <c r="M2463" t="n">
        <v>0</v>
      </c>
      <c r="N2463" t="n">
        <v>0</v>
      </c>
      <c r="O2463" t="n">
        <v>0</v>
      </c>
      <c r="P2463" t="n">
        <v>0</v>
      </c>
      <c r="Q2463" t="n">
        <v>0</v>
      </c>
      <c r="R2463" s="2" t="inlineStr"/>
    </row>
    <row r="2464" ht="15" customHeight="1">
      <c r="A2464" t="inlineStr">
        <is>
          <t>A 53901-2022</t>
        </is>
      </c>
      <c r="B2464" s="1" t="n">
        <v>44880</v>
      </c>
      <c r="C2464" s="1" t="n">
        <v>45358</v>
      </c>
      <c r="D2464" t="inlineStr">
        <is>
          <t>HALLANDS LÄN</t>
        </is>
      </c>
      <c r="E2464" t="inlineStr">
        <is>
          <t>LAHOLM</t>
        </is>
      </c>
      <c r="G2464" t="n">
        <v>0.6</v>
      </c>
      <c r="H2464" t="n">
        <v>0</v>
      </c>
      <c r="I2464" t="n">
        <v>0</v>
      </c>
      <c r="J2464" t="n">
        <v>0</v>
      </c>
      <c r="K2464" t="n">
        <v>0</v>
      </c>
      <c r="L2464" t="n">
        <v>0</v>
      </c>
      <c r="M2464" t="n">
        <v>0</v>
      </c>
      <c r="N2464" t="n">
        <v>0</v>
      </c>
      <c r="O2464" t="n">
        <v>0</v>
      </c>
      <c r="P2464" t="n">
        <v>0</v>
      </c>
      <c r="Q2464" t="n">
        <v>0</v>
      </c>
      <c r="R2464" s="2" t="inlineStr"/>
    </row>
    <row r="2465" ht="15" customHeight="1">
      <c r="A2465" t="inlineStr">
        <is>
          <t>A 53911-2022</t>
        </is>
      </c>
      <c r="B2465" s="1" t="n">
        <v>44880</v>
      </c>
      <c r="C2465" s="1" t="n">
        <v>45358</v>
      </c>
      <c r="D2465" t="inlineStr">
        <is>
          <t>HALLANDS LÄN</t>
        </is>
      </c>
      <c r="E2465" t="inlineStr">
        <is>
          <t>LAHOLM</t>
        </is>
      </c>
      <c r="G2465" t="n">
        <v>1.4</v>
      </c>
      <c r="H2465" t="n">
        <v>0</v>
      </c>
      <c r="I2465" t="n">
        <v>0</v>
      </c>
      <c r="J2465" t="n">
        <v>0</v>
      </c>
      <c r="K2465" t="n">
        <v>0</v>
      </c>
      <c r="L2465" t="n">
        <v>0</v>
      </c>
      <c r="M2465" t="n">
        <v>0</v>
      </c>
      <c r="N2465" t="n">
        <v>0</v>
      </c>
      <c r="O2465" t="n">
        <v>0</v>
      </c>
      <c r="P2465" t="n">
        <v>0</v>
      </c>
      <c r="Q2465" t="n">
        <v>0</v>
      </c>
      <c r="R2465" s="2" t="inlineStr"/>
    </row>
    <row r="2466" ht="15" customHeight="1">
      <c r="A2466" t="inlineStr">
        <is>
          <t>A 53873-2022</t>
        </is>
      </c>
      <c r="B2466" s="1" t="n">
        <v>44880</v>
      </c>
      <c r="C2466" s="1" t="n">
        <v>45358</v>
      </c>
      <c r="D2466" t="inlineStr">
        <is>
          <t>HALLANDS LÄN</t>
        </is>
      </c>
      <c r="E2466" t="inlineStr">
        <is>
          <t>HALMSTAD</t>
        </is>
      </c>
      <c r="G2466" t="n">
        <v>1.4</v>
      </c>
      <c r="H2466" t="n">
        <v>0</v>
      </c>
      <c r="I2466" t="n">
        <v>0</v>
      </c>
      <c r="J2466" t="n">
        <v>0</v>
      </c>
      <c r="K2466" t="n">
        <v>0</v>
      </c>
      <c r="L2466" t="n">
        <v>0</v>
      </c>
      <c r="M2466" t="n">
        <v>0</v>
      </c>
      <c r="N2466" t="n">
        <v>0</v>
      </c>
      <c r="O2466" t="n">
        <v>0</v>
      </c>
      <c r="P2466" t="n">
        <v>0</v>
      </c>
      <c r="Q2466" t="n">
        <v>0</v>
      </c>
      <c r="R2466" s="2" t="inlineStr"/>
    </row>
    <row r="2467" ht="15" customHeight="1">
      <c r="A2467" t="inlineStr">
        <is>
          <t>A 54121-2022</t>
        </is>
      </c>
      <c r="B2467" s="1" t="n">
        <v>44881</v>
      </c>
      <c r="C2467" s="1" t="n">
        <v>45358</v>
      </c>
      <c r="D2467" t="inlineStr">
        <is>
          <t>HALLANDS LÄN</t>
        </is>
      </c>
      <c r="E2467" t="inlineStr">
        <is>
          <t>FALKENBERG</t>
        </is>
      </c>
      <c r="G2467" t="n">
        <v>1.6</v>
      </c>
      <c r="H2467" t="n">
        <v>0</v>
      </c>
      <c r="I2467" t="n">
        <v>0</v>
      </c>
      <c r="J2467" t="n">
        <v>0</v>
      </c>
      <c r="K2467" t="n">
        <v>0</v>
      </c>
      <c r="L2467" t="n">
        <v>0</v>
      </c>
      <c r="M2467" t="n">
        <v>0</v>
      </c>
      <c r="N2467" t="n">
        <v>0</v>
      </c>
      <c r="O2467" t="n">
        <v>0</v>
      </c>
      <c r="P2467" t="n">
        <v>0</v>
      </c>
      <c r="Q2467" t="n">
        <v>0</v>
      </c>
      <c r="R2467" s="2" t="inlineStr"/>
    </row>
    <row r="2468" ht="15" customHeight="1">
      <c r="A2468" t="inlineStr">
        <is>
          <t>A 54115-2022</t>
        </is>
      </c>
      <c r="B2468" s="1" t="n">
        <v>44881</v>
      </c>
      <c r="C2468" s="1" t="n">
        <v>45358</v>
      </c>
      <c r="D2468" t="inlineStr">
        <is>
          <t>HALLANDS LÄN</t>
        </is>
      </c>
      <c r="E2468" t="inlineStr">
        <is>
          <t>FALKENBERG</t>
        </is>
      </c>
      <c r="G2468" t="n">
        <v>0.8</v>
      </c>
      <c r="H2468" t="n">
        <v>0</v>
      </c>
      <c r="I2468" t="n">
        <v>0</v>
      </c>
      <c r="J2468" t="n">
        <v>0</v>
      </c>
      <c r="K2468" t="n">
        <v>0</v>
      </c>
      <c r="L2468" t="n">
        <v>0</v>
      </c>
      <c r="M2468" t="n">
        <v>0</v>
      </c>
      <c r="N2468" t="n">
        <v>0</v>
      </c>
      <c r="O2468" t="n">
        <v>0</v>
      </c>
      <c r="P2468" t="n">
        <v>0</v>
      </c>
      <c r="Q2468" t="n">
        <v>0</v>
      </c>
      <c r="R2468" s="2" t="inlineStr"/>
    </row>
    <row r="2469" ht="15" customHeight="1">
      <c r="A2469" t="inlineStr">
        <is>
          <t>A 54385-2022</t>
        </is>
      </c>
      <c r="B2469" s="1" t="n">
        <v>44882</v>
      </c>
      <c r="C2469" s="1" t="n">
        <v>45358</v>
      </c>
      <c r="D2469" t="inlineStr">
        <is>
          <t>HALLANDS LÄN</t>
        </is>
      </c>
      <c r="E2469" t="inlineStr">
        <is>
          <t>LAHOLM</t>
        </is>
      </c>
      <c r="G2469" t="n">
        <v>2</v>
      </c>
      <c r="H2469" t="n">
        <v>0</v>
      </c>
      <c r="I2469" t="n">
        <v>0</v>
      </c>
      <c r="J2469" t="n">
        <v>0</v>
      </c>
      <c r="K2469" t="n">
        <v>0</v>
      </c>
      <c r="L2469" t="n">
        <v>0</v>
      </c>
      <c r="M2469" t="n">
        <v>0</v>
      </c>
      <c r="N2469" t="n">
        <v>0</v>
      </c>
      <c r="O2469" t="n">
        <v>0</v>
      </c>
      <c r="P2469" t="n">
        <v>0</v>
      </c>
      <c r="Q2469" t="n">
        <v>0</v>
      </c>
      <c r="R2469" s="2" t="inlineStr"/>
    </row>
    <row r="2470" ht="15" customHeight="1">
      <c r="A2470" t="inlineStr">
        <is>
          <t>A 55257-2022</t>
        </is>
      </c>
      <c r="B2470" s="1" t="n">
        <v>44882</v>
      </c>
      <c r="C2470" s="1" t="n">
        <v>45358</v>
      </c>
      <c r="D2470" t="inlineStr">
        <is>
          <t>HALLANDS LÄN</t>
        </is>
      </c>
      <c r="E2470" t="inlineStr">
        <is>
          <t>FALKENBERG</t>
        </is>
      </c>
      <c r="G2470" t="n">
        <v>0.7</v>
      </c>
      <c r="H2470" t="n">
        <v>0</v>
      </c>
      <c r="I2470" t="n">
        <v>0</v>
      </c>
      <c r="J2470" t="n">
        <v>0</v>
      </c>
      <c r="K2470" t="n">
        <v>0</v>
      </c>
      <c r="L2470" t="n">
        <v>0</v>
      </c>
      <c r="M2470" t="n">
        <v>0</v>
      </c>
      <c r="N2470" t="n">
        <v>0</v>
      </c>
      <c r="O2470" t="n">
        <v>0</v>
      </c>
      <c r="P2470" t="n">
        <v>0</v>
      </c>
      <c r="Q2470" t="n">
        <v>0</v>
      </c>
      <c r="R2470" s="2" t="inlineStr"/>
    </row>
    <row r="2471" ht="15" customHeight="1">
      <c r="A2471" t="inlineStr">
        <is>
          <t>A 54802-2022</t>
        </is>
      </c>
      <c r="B2471" s="1" t="n">
        <v>44883</v>
      </c>
      <c r="C2471" s="1" t="n">
        <v>45358</v>
      </c>
      <c r="D2471" t="inlineStr">
        <is>
          <t>HALLANDS LÄN</t>
        </is>
      </c>
      <c r="E2471" t="inlineStr">
        <is>
          <t>LAHOLM</t>
        </is>
      </c>
      <c r="F2471" t="inlineStr">
        <is>
          <t>Kommuner</t>
        </is>
      </c>
      <c r="G2471" t="n">
        <v>4.4</v>
      </c>
      <c r="H2471" t="n">
        <v>0</v>
      </c>
      <c r="I2471" t="n">
        <v>0</v>
      </c>
      <c r="J2471" t="n">
        <v>0</v>
      </c>
      <c r="K2471" t="n">
        <v>0</v>
      </c>
      <c r="L2471" t="n">
        <v>0</v>
      </c>
      <c r="M2471" t="n">
        <v>0</v>
      </c>
      <c r="N2471" t="n">
        <v>0</v>
      </c>
      <c r="O2471" t="n">
        <v>0</v>
      </c>
      <c r="P2471" t="n">
        <v>0</v>
      </c>
      <c r="Q2471" t="n">
        <v>0</v>
      </c>
      <c r="R2471" s="2" t="inlineStr"/>
    </row>
    <row r="2472" ht="15" customHeight="1">
      <c r="A2472" t="inlineStr">
        <is>
          <t>A 54723-2022</t>
        </is>
      </c>
      <c r="B2472" s="1" t="n">
        <v>44883</v>
      </c>
      <c r="C2472" s="1" t="n">
        <v>45358</v>
      </c>
      <c r="D2472" t="inlineStr">
        <is>
          <t>HALLANDS LÄN</t>
        </is>
      </c>
      <c r="E2472" t="inlineStr">
        <is>
          <t>HYLTE</t>
        </is>
      </c>
      <c r="G2472" t="n">
        <v>1.5</v>
      </c>
      <c r="H2472" t="n">
        <v>0</v>
      </c>
      <c r="I2472" t="n">
        <v>0</v>
      </c>
      <c r="J2472" t="n">
        <v>0</v>
      </c>
      <c r="K2472" t="n">
        <v>0</v>
      </c>
      <c r="L2472" t="n">
        <v>0</v>
      </c>
      <c r="M2472" t="n">
        <v>0</v>
      </c>
      <c r="N2472" t="n">
        <v>0</v>
      </c>
      <c r="O2472" t="n">
        <v>0</v>
      </c>
      <c r="P2472" t="n">
        <v>0</v>
      </c>
      <c r="Q2472" t="n">
        <v>0</v>
      </c>
      <c r="R2472" s="2" t="inlineStr"/>
    </row>
    <row r="2473" ht="15" customHeight="1">
      <c r="A2473" t="inlineStr">
        <is>
          <t>A 54795-2022</t>
        </is>
      </c>
      <c r="B2473" s="1" t="n">
        <v>44883</v>
      </c>
      <c r="C2473" s="1" t="n">
        <v>45358</v>
      </c>
      <c r="D2473" t="inlineStr">
        <is>
          <t>HALLANDS LÄN</t>
        </is>
      </c>
      <c r="E2473" t="inlineStr">
        <is>
          <t>LAHOLM</t>
        </is>
      </c>
      <c r="F2473" t="inlineStr">
        <is>
          <t>Kommuner</t>
        </is>
      </c>
      <c r="G2473" t="n">
        <v>20.3</v>
      </c>
      <c r="H2473" t="n">
        <v>0</v>
      </c>
      <c r="I2473" t="n">
        <v>0</v>
      </c>
      <c r="J2473" t="n">
        <v>0</v>
      </c>
      <c r="K2473" t="n">
        <v>0</v>
      </c>
      <c r="L2473" t="n">
        <v>0</v>
      </c>
      <c r="M2473" t="n">
        <v>0</v>
      </c>
      <c r="N2473" t="n">
        <v>0</v>
      </c>
      <c r="O2473" t="n">
        <v>0</v>
      </c>
      <c r="P2473" t="n">
        <v>0</v>
      </c>
      <c r="Q2473" t="n">
        <v>0</v>
      </c>
      <c r="R2473" s="2" t="inlineStr"/>
    </row>
    <row r="2474" ht="15" customHeight="1">
      <c r="A2474" t="inlineStr">
        <is>
          <t>A 54869-2022</t>
        </is>
      </c>
      <c r="B2474" s="1" t="n">
        <v>44885</v>
      </c>
      <c r="C2474" s="1" t="n">
        <v>45358</v>
      </c>
      <c r="D2474" t="inlineStr">
        <is>
          <t>HALLANDS LÄN</t>
        </is>
      </c>
      <c r="E2474" t="inlineStr">
        <is>
          <t>HALMSTAD</t>
        </is>
      </c>
      <c r="G2474" t="n">
        <v>1.3</v>
      </c>
      <c r="H2474" t="n">
        <v>0</v>
      </c>
      <c r="I2474" t="n">
        <v>0</v>
      </c>
      <c r="J2474" t="n">
        <v>0</v>
      </c>
      <c r="K2474" t="n">
        <v>0</v>
      </c>
      <c r="L2474" t="n">
        <v>0</v>
      </c>
      <c r="M2474" t="n">
        <v>0</v>
      </c>
      <c r="N2474" t="n">
        <v>0</v>
      </c>
      <c r="O2474" t="n">
        <v>0</v>
      </c>
      <c r="P2474" t="n">
        <v>0</v>
      </c>
      <c r="Q2474" t="n">
        <v>0</v>
      </c>
      <c r="R2474" s="2" t="inlineStr"/>
    </row>
    <row r="2475" ht="15" customHeight="1">
      <c r="A2475" t="inlineStr">
        <is>
          <t>A 54870-2022</t>
        </is>
      </c>
      <c r="B2475" s="1" t="n">
        <v>44885</v>
      </c>
      <c r="C2475" s="1" t="n">
        <v>45358</v>
      </c>
      <c r="D2475" t="inlineStr">
        <is>
          <t>HALLANDS LÄN</t>
        </is>
      </c>
      <c r="E2475" t="inlineStr">
        <is>
          <t>HALMSTAD</t>
        </is>
      </c>
      <c r="G2475" t="n">
        <v>1.5</v>
      </c>
      <c r="H2475" t="n">
        <v>0</v>
      </c>
      <c r="I2475" t="n">
        <v>0</v>
      </c>
      <c r="J2475" t="n">
        <v>0</v>
      </c>
      <c r="K2475" t="n">
        <v>0</v>
      </c>
      <c r="L2475" t="n">
        <v>0</v>
      </c>
      <c r="M2475" t="n">
        <v>0</v>
      </c>
      <c r="N2475" t="n">
        <v>0</v>
      </c>
      <c r="O2475" t="n">
        <v>0</v>
      </c>
      <c r="P2475" t="n">
        <v>0</v>
      </c>
      <c r="Q2475" t="n">
        <v>0</v>
      </c>
      <c r="R2475" s="2" t="inlineStr"/>
    </row>
    <row r="2476" ht="15" customHeight="1">
      <c r="A2476" t="inlineStr">
        <is>
          <t>A 55006-2022</t>
        </is>
      </c>
      <c r="B2476" s="1" t="n">
        <v>44886</v>
      </c>
      <c r="C2476" s="1" t="n">
        <v>45358</v>
      </c>
      <c r="D2476" t="inlineStr">
        <is>
          <t>HALLANDS LÄN</t>
        </is>
      </c>
      <c r="E2476" t="inlineStr">
        <is>
          <t>HALMSTAD</t>
        </is>
      </c>
      <c r="G2476" t="n">
        <v>1</v>
      </c>
      <c r="H2476" t="n">
        <v>0</v>
      </c>
      <c r="I2476" t="n">
        <v>0</v>
      </c>
      <c r="J2476" t="n">
        <v>0</v>
      </c>
      <c r="K2476" t="n">
        <v>0</v>
      </c>
      <c r="L2476" t="n">
        <v>0</v>
      </c>
      <c r="M2476" t="n">
        <v>0</v>
      </c>
      <c r="N2476" t="n">
        <v>0</v>
      </c>
      <c r="O2476" t="n">
        <v>0</v>
      </c>
      <c r="P2476" t="n">
        <v>0</v>
      </c>
      <c r="Q2476" t="n">
        <v>0</v>
      </c>
      <c r="R2476" s="2" t="inlineStr"/>
    </row>
    <row r="2477" ht="15" customHeight="1">
      <c r="A2477" t="inlineStr">
        <is>
          <t>A 55033-2022</t>
        </is>
      </c>
      <c r="B2477" s="1" t="n">
        <v>44886</v>
      </c>
      <c r="C2477" s="1" t="n">
        <v>45358</v>
      </c>
      <c r="D2477" t="inlineStr">
        <is>
          <t>HALLANDS LÄN</t>
        </is>
      </c>
      <c r="E2477" t="inlineStr">
        <is>
          <t>LAHOLM</t>
        </is>
      </c>
      <c r="G2477" t="n">
        <v>1.7</v>
      </c>
      <c r="H2477" t="n">
        <v>0</v>
      </c>
      <c r="I2477" t="n">
        <v>0</v>
      </c>
      <c r="J2477" t="n">
        <v>0</v>
      </c>
      <c r="K2477" t="n">
        <v>0</v>
      </c>
      <c r="L2477" t="n">
        <v>0</v>
      </c>
      <c r="M2477" t="n">
        <v>0</v>
      </c>
      <c r="N2477" t="n">
        <v>0</v>
      </c>
      <c r="O2477" t="n">
        <v>0</v>
      </c>
      <c r="P2477" t="n">
        <v>0</v>
      </c>
      <c r="Q2477" t="n">
        <v>0</v>
      </c>
      <c r="R2477" s="2" t="inlineStr"/>
    </row>
    <row r="2478" ht="15" customHeight="1">
      <c r="A2478" t="inlineStr">
        <is>
          <t>A 55038-2022</t>
        </is>
      </c>
      <c r="B2478" s="1" t="n">
        <v>44886</v>
      </c>
      <c r="C2478" s="1" t="n">
        <v>45358</v>
      </c>
      <c r="D2478" t="inlineStr">
        <is>
          <t>HALLANDS LÄN</t>
        </is>
      </c>
      <c r="E2478" t="inlineStr">
        <is>
          <t>VARBERG</t>
        </is>
      </c>
      <c r="G2478" t="n">
        <v>1.5</v>
      </c>
      <c r="H2478" t="n">
        <v>0</v>
      </c>
      <c r="I2478" t="n">
        <v>0</v>
      </c>
      <c r="J2478" t="n">
        <v>0</v>
      </c>
      <c r="K2478" t="n">
        <v>0</v>
      </c>
      <c r="L2478" t="n">
        <v>0</v>
      </c>
      <c r="M2478" t="n">
        <v>0</v>
      </c>
      <c r="N2478" t="n">
        <v>0</v>
      </c>
      <c r="O2478" t="n">
        <v>0</v>
      </c>
      <c r="P2478" t="n">
        <v>0</v>
      </c>
      <c r="Q2478" t="n">
        <v>0</v>
      </c>
      <c r="R2478" s="2" t="inlineStr"/>
    </row>
    <row r="2479" ht="15" customHeight="1">
      <c r="A2479" t="inlineStr">
        <is>
          <t>A 55064-2022</t>
        </is>
      </c>
      <c r="B2479" s="1" t="n">
        <v>44886</v>
      </c>
      <c r="C2479" s="1" t="n">
        <v>45358</v>
      </c>
      <c r="D2479" t="inlineStr">
        <is>
          <t>HALLANDS LÄN</t>
        </is>
      </c>
      <c r="E2479" t="inlineStr">
        <is>
          <t>VARBERG</t>
        </is>
      </c>
      <c r="G2479" t="n">
        <v>1</v>
      </c>
      <c r="H2479" t="n">
        <v>0</v>
      </c>
      <c r="I2479" t="n">
        <v>0</v>
      </c>
      <c r="J2479" t="n">
        <v>0</v>
      </c>
      <c r="K2479" t="n">
        <v>0</v>
      </c>
      <c r="L2479" t="n">
        <v>0</v>
      </c>
      <c r="M2479" t="n">
        <v>0</v>
      </c>
      <c r="N2479" t="n">
        <v>0</v>
      </c>
      <c r="O2479" t="n">
        <v>0</v>
      </c>
      <c r="P2479" t="n">
        <v>0</v>
      </c>
      <c r="Q2479" t="n">
        <v>0</v>
      </c>
      <c r="R2479" s="2" t="inlineStr"/>
    </row>
    <row r="2480" ht="15" customHeight="1">
      <c r="A2480" t="inlineStr">
        <is>
          <t>A 55107-2022</t>
        </is>
      </c>
      <c r="B2480" s="1" t="n">
        <v>44886</v>
      </c>
      <c r="C2480" s="1" t="n">
        <v>45358</v>
      </c>
      <c r="D2480" t="inlineStr">
        <is>
          <t>HALLANDS LÄN</t>
        </is>
      </c>
      <c r="E2480" t="inlineStr">
        <is>
          <t>LAHOLM</t>
        </is>
      </c>
      <c r="F2480" t="inlineStr">
        <is>
          <t>Sveaskog</t>
        </is>
      </c>
      <c r="G2480" t="n">
        <v>1.5</v>
      </c>
      <c r="H2480" t="n">
        <v>0</v>
      </c>
      <c r="I2480" t="n">
        <v>0</v>
      </c>
      <c r="J2480" t="n">
        <v>0</v>
      </c>
      <c r="K2480" t="n">
        <v>0</v>
      </c>
      <c r="L2480" t="n">
        <v>0</v>
      </c>
      <c r="M2480" t="n">
        <v>0</v>
      </c>
      <c r="N2480" t="n">
        <v>0</v>
      </c>
      <c r="O2480" t="n">
        <v>0</v>
      </c>
      <c r="P2480" t="n">
        <v>0</v>
      </c>
      <c r="Q2480" t="n">
        <v>0</v>
      </c>
      <c r="R2480" s="2" t="inlineStr"/>
    </row>
    <row r="2481" ht="15" customHeight="1">
      <c r="A2481" t="inlineStr">
        <is>
          <t>A 55417-2022</t>
        </is>
      </c>
      <c r="B2481" s="1" t="n">
        <v>44887</v>
      </c>
      <c r="C2481" s="1" t="n">
        <v>45358</v>
      </c>
      <c r="D2481" t="inlineStr">
        <is>
          <t>HALLANDS LÄN</t>
        </is>
      </c>
      <c r="E2481" t="inlineStr">
        <is>
          <t>HYLTE</t>
        </is>
      </c>
      <c r="G2481" t="n">
        <v>4.1</v>
      </c>
      <c r="H2481" t="n">
        <v>0</v>
      </c>
      <c r="I2481" t="n">
        <v>0</v>
      </c>
      <c r="J2481" t="n">
        <v>0</v>
      </c>
      <c r="K2481" t="n">
        <v>0</v>
      </c>
      <c r="L2481" t="n">
        <v>0</v>
      </c>
      <c r="M2481" t="n">
        <v>0</v>
      </c>
      <c r="N2481" t="n">
        <v>0</v>
      </c>
      <c r="O2481" t="n">
        <v>0</v>
      </c>
      <c r="P2481" t="n">
        <v>0</v>
      </c>
      <c r="Q2481" t="n">
        <v>0</v>
      </c>
      <c r="R2481" s="2" t="inlineStr"/>
    </row>
    <row r="2482" ht="15" customHeight="1">
      <c r="A2482" t="inlineStr">
        <is>
          <t>A 55270-2022</t>
        </is>
      </c>
      <c r="B2482" s="1" t="n">
        <v>44887</v>
      </c>
      <c r="C2482" s="1" t="n">
        <v>45358</v>
      </c>
      <c r="D2482" t="inlineStr">
        <is>
          <t>HALLANDS LÄN</t>
        </is>
      </c>
      <c r="E2482" t="inlineStr">
        <is>
          <t>FALKENBERG</t>
        </is>
      </c>
      <c r="G2482" t="n">
        <v>1.1</v>
      </c>
      <c r="H2482" t="n">
        <v>0</v>
      </c>
      <c r="I2482" t="n">
        <v>0</v>
      </c>
      <c r="J2482" t="n">
        <v>0</v>
      </c>
      <c r="K2482" t="n">
        <v>0</v>
      </c>
      <c r="L2482" t="n">
        <v>0</v>
      </c>
      <c r="M2482" t="n">
        <v>0</v>
      </c>
      <c r="N2482" t="n">
        <v>0</v>
      </c>
      <c r="O2482" t="n">
        <v>0</v>
      </c>
      <c r="P2482" t="n">
        <v>0</v>
      </c>
      <c r="Q2482" t="n">
        <v>0</v>
      </c>
      <c r="R2482" s="2" t="inlineStr"/>
    </row>
    <row r="2483" ht="15" customHeight="1">
      <c r="A2483" t="inlineStr">
        <is>
          <t>A 57211-2022</t>
        </is>
      </c>
      <c r="B2483" s="1" t="n">
        <v>44889</v>
      </c>
      <c r="C2483" s="1" t="n">
        <v>45358</v>
      </c>
      <c r="D2483" t="inlineStr">
        <is>
          <t>HALLANDS LÄN</t>
        </is>
      </c>
      <c r="E2483" t="inlineStr">
        <is>
          <t>HYLTE</t>
        </is>
      </c>
      <c r="G2483" t="n">
        <v>2.6</v>
      </c>
      <c r="H2483" t="n">
        <v>0</v>
      </c>
      <c r="I2483" t="n">
        <v>0</v>
      </c>
      <c r="J2483" t="n">
        <v>0</v>
      </c>
      <c r="K2483" t="n">
        <v>0</v>
      </c>
      <c r="L2483" t="n">
        <v>0</v>
      </c>
      <c r="M2483" t="n">
        <v>0</v>
      </c>
      <c r="N2483" t="n">
        <v>0</v>
      </c>
      <c r="O2483" t="n">
        <v>0</v>
      </c>
      <c r="P2483" t="n">
        <v>0</v>
      </c>
      <c r="Q2483" t="n">
        <v>0</v>
      </c>
      <c r="R2483" s="2" t="inlineStr"/>
    </row>
    <row r="2484" ht="15" customHeight="1">
      <c r="A2484" t="inlineStr">
        <is>
          <t>A 56320-2022</t>
        </is>
      </c>
      <c r="B2484" s="1" t="n">
        <v>44890</v>
      </c>
      <c r="C2484" s="1" t="n">
        <v>45358</v>
      </c>
      <c r="D2484" t="inlineStr">
        <is>
          <t>HALLANDS LÄN</t>
        </is>
      </c>
      <c r="E2484" t="inlineStr">
        <is>
          <t>VARBERG</t>
        </is>
      </c>
      <c r="G2484" t="n">
        <v>5.5</v>
      </c>
      <c r="H2484" t="n">
        <v>0</v>
      </c>
      <c r="I2484" t="n">
        <v>0</v>
      </c>
      <c r="J2484" t="n">
        <v>0</v>
      </c>
      <c r="K2484" t="n">
        <v>0</v>
      </c>
      <c r="L2484" t="n">
        <v>0</v>
      </c>
      <c r="M2484" t="n">
        <v>0</v>
      </c>
      <c r="N2484" t="n">
        <v>0</v>
      </c>
      <c r="O2484" t="n">
        <v>0</v>
      </c>
      <c r="P2484" t="n">
        <v>0</v>
      </c>
      <c r="Q2484" t="n">
        <v>0</v>
      </c>
      <c r="R2484" s="2" t="inlineStr"/>
    </row>
    <row r="2485" ht="15" customHeight="1">
      <c r="A2485" t="inlineStr">
        <is>
          <t>A 56496-2022</t>
        </is>
      </c>
      <c r="B2485" s="1" t="n">
        <v>44893</v>
      </c>
      <c r="C2485" s="1" t="n">
        <v>45358</v>
      </c>
      <c r="D2485" t="inlineStr">
        <is>
          <t>HALLANDS LÄN</t>
        </is>
      </c>
      <c r="E2485" t="inlineStr">
        <is>
          <t>HYLTE</t>
        </is>
      </c>
      <c r="G2485" t="n">
        <v>0.6</v>
      </c>
      <c r="H2485" t="n">
        <v>0</v>
      </c>
      <c r="I2485" t="n">
        <v>0</v>
      </c>
      <c r="J2485" t="n">
        <v>0</v>
      </c>
      <c r="K2485" t="n">
        <v>0</v>
      </c>
      <c r="L2485" t="n">
        <v>0</v>
      </c>
      <c r="M2485" t="n">
        <v>0</v>
      </c>
      <c r="N2485" t="n">
        <v>0</v>
      </c>
      <c r="O2485" t="n">
        <v>0</v>
      </c>
      <c r="P2485" t="n">
        <v>0</v>
      </c>
      <c r="Q2485" t="n">
        <v>0</v>
      </c>
      <c r="R2485" s="2" t="inlineStr"/>
    </row>
    <row r="2486" ht="15" customHeight="1">
      <c r="A2486" t="inlineStr">
        <is>
          <t>A 56580-2022</t>
        </is>
      </c>
      <c r="B2486" s="1" t="n">
        <v>44893</v>
      </c>
      <c r="C2486" s="1" t="n">
        <v>45358</v>
      </c>
      <c r="D2486" t="inlineStr">
        <is>
          <t>HALLANDS LÄN</t>
        </is>
      </c>
      <c r="E2486" t="inlineStr">
        <is>
          <t>HYLTE</t>
        </is>
      </c>
      <c r="G2486" t="n">
        <v>1.9</v>
      </c>
      <c r="H2486" t="n">
        <v>0</v>
      </c>
      <c r="I2486" t="n">
        <v>0</v>
      </c>
      <c r="J2486" t="n">
        <v>0</v>
      </c>
      <c r="K2486" t="n">
        <v>0</v>
      </c>
      <c r="L2486" t="n">
        <v>0</v>
      </c>
      <c r="M2486" t="n">
        <v>0</v>
      </c>
      <c r="N2486" t="n">
        <v>0</v>
      </c>
      <c r="O2486" t="n">
        <v>0</v>
      </c>
      <c r="P2486" t="n">
        <v>0</v>
      </c>
      <c r="Q2486" t="n">
        <v>0</v>
      </c>
      <c r="R2486" s="2" t="inlineStr"/>
    </row>
    <row r="2487" ht="15" customHeight="1">
      <c r="A2487" t="inlineStr">
        <is>
          <t>A 56453-2022</t>
        </is>
      </c>
      <c r="B2487" s="1" t="n">
        <v>44893</v>
      </c>
      <c r="C2487" s="1" t="n">
        <v>45358</v>
      </c>
      <c r="D2487" t="inlineStr">
        <is>
          <t>HALLANDS LÄN</t>
        </is>
      </c>
      <c r="E2487" t="inlineStr">
        <is>
          <t>LAHOLM</t>
        </is>
      </c>
      <c r="G2487" t="n">
        <v>0.7</v>
      </c>
      <c r="H2487" t="n">
        <v>0</v>
      </c>
      <c r="I2487" t="n">
        <v>0</v>
      </c>
      <c r="J2487" t="n">
        <v>0</v>
      </c>
      <c r="K2487" t="n">
        <v>0</v>
      </c>
      <c r="L2487" t="n">
        <v>0</v>
      </c>
      <c r="M2487" t="n">
        <v>0</v>
      </c>
      <c r="N2487" t="n">
        <v>0</v>
      </c>
      <c r="O2487" t="n">
        <v>0</v>
      </c>
      <c r="P2487" t="n">
        <v>0</v>
      </c>
      <c r="Q2487" t="n">
        <v>0</v>
      </c>
      <c r="R2487" s="2" t="inlineStr"/>
    </row>
    <row r="2488" ht="15" customHeight="1">
      <c r="A2488" t="inlineStr">
        <is>
          <t>A 56451-2022</t>
        </is>
      </c>
      <c r="B2488" s="1" t="n">
        <v>44893</v>
      </c>
      <c r="C2488" s="1" t="n">
        <v>45358</v>
      </c>
      <c r="D2488" t="inlineStr">
        <is>
          <t>HALLANDS LÄN</t>
        </is>
      </c>
      <c r="E2488" t="inlineStr">
        <is>
          <t>FALKENBERG</t>
        </is>
      </c>
      <c r="G2488" t="n">
        <v>1.1</v>
      </c>
      <c r="H2488" t="n">
        <v>0</v>
      </c>
      <c r="I2488" t="n">
        <v>0</v>
      </c>
      <c r="J2488" t="n">
        <v>0</v>
      </c>
      <c r="K2488" t="n">
        <v>0</v>
      </c>
      <c r="L2488" t="n">
        <v>0</v>
      </c>
      <c r="M2488" t="n">
        <v>0</v>
      </c>
      <c r="N2488" t="n">
        <v>0</v>
      </c>
      <c r="O2488" t="n">
        <v>0</v>
      </c>
      <c r="P2488" t="n">
        <v>0</v>
      </c>
      <c r="Q2488" t="n">
        <v>0</v>
      </c>
      <c r="R2488" s="2" t="inlineStr"/>
    </row>
    <row r="2489" ht="15" customHeight="1">
      <c r="A2489" t="inlineStr">
        <is>
          <t>A 56845-2022</t>
        </is>
      </c>
      <c r="B2489" s="1" t="n">
        <v>44894</v>
      </c>
      <c r="C2489" s="1" t="n">
        <v>45358</v>
      </c>
      <c r="D2489" t="inlineStr">
        <is>
          <t>HALLANDS LÄN</t>
        </is>
      </c>
      <c r="E2489" t="inlineStr">
        <is>
          <t>FALKENBERG</t>
        </is>
      </c>
      <c r="G2489" t="n">
        <v>3</v>
      </c>
      <c r="H2489" t="n">
        <v>0</v>
      </c>
      <c r="I2489" t="n">
        <v>0</v>
      </c>
      <c r="J2489" t="n">
        <v>0</v>
      </c>
      <c r="K2489" t="n">
        <v>0</v>
      </c>
      <c r="L2489" t="n">
        <v>0</v>
      </c>
      <c r="M2489" t="n">
        <v>0</v>
      </c>
      <c r="N2489" t="n">
        <v>0</v>
      </c>
      <c r="O2489" t="n">
        <v>0</v>
      </c>
      <c r="P2489" t="n">
        <v>0</v>
      </c>
      <c r="Q2489" t="n">
        <v>0</v>
      </c>
      <c r="R2489" s="2" t="inlineStr"/>
    </row>
    <row r="2490" ht="15" customHeight="1">
      <c r="A2490" t="inlineStr">
        <is>
          <t>A 56967-2022</t>
        </is>
      </c>
      <c r="B2490" s="1" t="n">
        <v>44894</v>
      </c>
      <c r="C2490" s="1" t="n">
        <v>45358</v>
      </c>
      <c r="D2490" t="inlineStr">
        <is>
          <t>HALLANDS LÄN</t>
        </is>
      </c>
      <c r="E2490" t="inlineStr">
        <is>
          <t>VARBERG</t>
        </is>
      </c>
      <c r="G2490" t="n">
        <v>1.1</v>
      </c>
      <c r="H2490" t="n">
        <v>0</v>
      </c>
      <c r="I2490" t="n">
        <v>0</v>
      </c>
      <c r="J2490" t="n">
        <v>0</v>
      </c>
      <c r="K2490" t="n">
        <v>0</v>
      </c>
      <c r="L2490" t="n">
        <v>0</v>
      </c>
      <c r="M2490" t="n">
        <v>0</v>
      </c>
      <c r="N2490" t="n">
        <v>0</v>
      </c>
      <c r="O2490" t="n">
        <v>0</v>
      </c>
      <c r="P2490" t="n">
        <v>0</v>
      </c>
      <c r="Q2490" t="n">
        <v>0</v>
      </c>
      <c r="R2490" s="2" t="inlineStr"/>
    </row>
    <row r="2491" ht="15" customHeight="1">
      <c r="A2491" t="inlineStr">
        <is>
          <t>A 57056-2022</t>
        </is>
      </c>
      <c r="B2491" s="1" t="n">
        <v>44895</v>
      </c>
      <c r="C2491" s="1" t="n">
        <v>45358</v>
      </c>
      <c r="D2491" t="inlineStr">
        <is>
          <t>HALLANDS LÄN</t>
        </is>
      </c>
      <c r="E2491" t="inlineStr">
        <is>
          <t>KUNGSBACKA</t>
        </is>
      </c>
      <c r="G2491" t="n">
        <v>4</v>
      </c>
      <c r="H2491" t="n">
        <v>0</v>
      </c>
      <c r="I2491" t="n">
        <v>0</v>
      </c>
      <c r="J2491" t="n">
        <v>0</v>
      </c>
      <c r="K2491" t="n">
        <v>0</v>
      </c>
      <c r="L2491" t="n">
        <v>0</v>
      </c>
      <c r="M2491" t="n">
        <v>0</v>
      </c>
      <c r="N2491" t="n">
        <v>0</v>
      </c>
      <c r="O2491" t="n">
        <v>0</v>
      </c>
      <c r="P2491" t="n">
        <v>0</v>
      </c>
      <c r="Q2491" t="n">
        <v>0</v>
      </c>
      <c r="R2491" s="2" t="inlineStr"/>
    </row>
    <row r="2492" ht="15" customHeight="1">
      <c r="A2492" t="inlineStr">
        <is>
          <t>A 57135-2022</t>
        </is>
      </c>
      <c r="B2492" s="1" t="n">
        <v>44895</v>
      </c>
      <c r="C2492" s="1" t="n">
        <v>45358</v>
      </c>
      <c r="D2492" t="inlineStr">
        <is>
          <t>HALLANDS LÄN</t>
        </is>
      </c>
      <c r="E2492" t="inlineStr">
        <is>
          <t>LAHOLM</t>
        </is>
      </c>
      <c r="G2492" t="n">
        <v>4</v>
      </c>
      <c r="H2492" t="n">
        <v>0</v>
      </c>
      <c r="I2492" t="n">
        <v>0</v>
      </c>
      <c r="J2492" t="n">
        <v>0</v>
      </c>
      <c r="K2492" t="n">
        <v>0</v>
      </c>
      <c r="L2492" t="n">
        <v>0</v>
      </c>
      <c r="M2492" t="n">
        <v>0</v>
      </c>
      <c r="N2492" t="n">
        <v>0</v>
      </c>
      <c r="O2492" t="n">
        <v>0</v>
      </c>
      <c r="P2492" t="n">
        <v>0</v>
      </c>
      <c r="Q2492" t="n">
        <v>0</v>
      </c>
      <c r="R2492" s="2" t="inlineStr"/>
    </row>
    <row r="2493" ht="15" customHeight="1">
      <c r="A2493" t="inlineStr">
        <is>
          <t>A 57422-2022</t>
        </is>
      </c>
      <c r="B2493" s="1" t="n">
        <v>44896</v>
      </c>
      <c r="C2493" s="1" t="n">
        <v>45358</v>
      </c>
      <c r="D2493" t="inlineStr">
        <is>
          <t>HALLANDS LÄN</t>
        </is>
      </c>
      <c r="E2493" t="inlineStr">
        <is>
          <t>HYLTE</t>
        </is>
      </c>
      <c r="G2493" t="n">
        <v>0</v>
      </c>
      <c r="H2493" t="n">
        <v>0</v>
      </c>
      <c r="I2493" t="n">
        <v>0</v>
      </c>
      <c r="J2493" t="n">
        <v>0</v>
      </c>
      <c r="K2493" t="n">
        <v>0</v>
      </c>
      <c r="L2493" t="n">
        <v>0</v>
      </c>
      <c r="M2493" t="n">
        <v>0</v>
      </c>
      <c r="N2493" t="n">
        <v>0</v>
      </c>
      <c r="O2493" t="n">
        <v>0</v>
      </c>
      <c r="P2493" t="n">
        <v>0</v>
      </c>
      <c r="Q2493" t="n">
        <v>0</v>
      </c>
      <c r="R2493" s="2" t="inlineStr"/>
    </row>
    <row r="2494" ht="15" customHeight="1">
      <c r="A2494" t="inlineStr">
        <is>
          <t>A 57557-2022</t>
        </is>
      </c>
      <c r="B2494" s="1" t="n">
        <v>44896</v>
      </c>
      <c r="C2494" s="1" t="n">
        <v>45358</v>
      </c>
      <c r="D2494" t="inlineStr">
        <is>
          <t>HALLANDS LÄN</t>
        </is>
      </c>
      <c r="E2494" t="inlineStr">
        <is>
          <t>VARBERG</t>
        </is>
      </c>
      <c r="G2494" t="n">
        <v>5.6</v>
      </c>
      <c r="H2494" t="n">
        <v>0</v>
      </c>
      <c r="I2494" t="n">
        <v>0</v>
      </c>
      <c r="J2494" t="n">
        <v>0</v>
      </c>
      <c r="K2494" t="n">
        <v>0</v>
      </c>
      <c r="L2494" t="n">
        <v>0</v>
      </c>
      <c r="M2494" t="n">
        <v>0</v>
      </c>
      <c r="N2494" t="n">
        <v>0</v>
      </c>
      <c r="O2494" t="n">
        <v>0</v>
      </c>
      <c r="P2494" t="n">
        <v>0</v>
      </c>
      <c r="Q2494" t="n">
        <v>0</v>
      </c>
      <c r="R2494" s="2" t="inlineStr"/>
    </row>
    <row r="2495" ht="15" customHeight="1">
      <c r="A2495" t="inlineStr">
        <is>
          <t>A 57562-2022</t>
        </is>
      </c>
      <c r="B2495" s="1" t="n">
        <v>44896</v>
      </c>
      <c r="C2495" s="1" t="n">
        <v>45358</v>
      </c>
      <c r="D2495" t="inlineStr">
        <is>
          <t>HALLANDS LÄN</t>
        </is>
      </c>
      <c r="E2495" t="inlineStr">
        <is>
          <t>VARBERG</t>
        </is>
      </c>
      <c r="G2495" t="n">
        <v>4.5</v>
      </c>
      <c r="H2495" t="n">
        <v>0</v>
      </c>
      <c r="I2495" t="n">
        <v>0</v>
      </c>
      <c r="J2495" t="n">
        <v>0</v>
      </c>
      <c r="K2495" t="n">
        <v>0</v>
      </c>
      <c r="L2495" t="n">
        <v>0</v>
      </c>
      <c r="M2495" t="n">
        <v>0</v>
      </c>
      <c r="N2495" t="n">
        <v>0</v>
      </c>
      <c r="O2495" t="n">
        <v>0</v>
      </c>
      <c r="P2495" t="n">
        <v>0</v>
      </c>
      <c r="Q2495" t="n">
        <v>0</v>
      </c>
      <c r="R2495" s="2" t="inlineStr"/>
    </row>
    <row r="2496" ht="15" customHeight="1">
      <c r="A2496" t="inlineStr">
        <is>
          <t>A 57420-2022</t>
        </is>
      </c>
      <c r="B2496" s="1" t="n">
        <v>44896</v>
      </c>
      <c r="C2496" s="1" t="n">
        <v>45358</v>
      </c>
      <c r="D2496" t="inlineStr">
        <is>
          <t>HALLANDS LÄN</t>
        </is>
      </c>
      <c r="E2496" t="inlineStr">
        <is>
          <t>HYLTE</t>
        </is>
      </c>
      <c r="G2496" t="n">
        <v>1.5</v>
      </c>
      <c r="H2496" t="n">
        <v>0</v>
      </c>
      <c r="I2496" t="n">
        <v>0</v>
      </c>
      <c r="J2496" t="n">
        <v>0</v>
      </c>
      <c r="K2496" t="n">
        <v>0</v>
      </c>
      <c r="L2496" t="n">
        <v>0</v>
      </c>
      <c r="M2496" t="n">
        <v>0</v>
      </c>
      <c r="N2496" t="n">
        <v>0</v>
      </c>
      <c r="O2496" t="n">
        <v>0</v>
      </c>
      <c r="P2496" t="n">
        <v>0</v>
      </c>
      <c r="Q2496" t="n">
        <v>0</v>
      </c>
      <c r="R2496" s="2" t="inlineStr"/>
    </row>
    <row r="2497" ht="15" customHeight="1">
      <c r="A2497" t="inlineStr">
        <is>
          <t>A 57660-2022</t>
        </is>
      </c>
      <c r="B2497" s="1" t="n">
        <v>44897</v>
      </c>
      <c r="C2497" s="1" t="n">
        <v>45358</v>
      </c>
      <c r="D2497" t="inlineStr">
        <is>
          <t>HALLANDS LÄN</t>
        </is>
      </c>
      <c r="E2497" t="inlineStr">
        <is>
          <t>FALKENBERG</t>
        </is>
      </c>
      <c r="G2497" t="n">
        <v>5.2</v>
      </c>
      <c r="H2497" t="n">
        <v>0</v>
      </c>
      <c r="I2497" t="n">
        <v>0</v>
      </c>
      <c r="J2497" t="n">
        <v>0</v>
      </c>
      <c r="K2497" t="n">
        <v>0</v>
      </c>
      <c r="L2497" t="n">
        <v>0</v>
      </c>
      <c r="M2497" t="n">
        <v>0</v>
      </c>
      <c r="N2497" t="n">
        <v>0</v>
      </c>
      <c r="O2497" t="n">
        <v>0</v>
      </c>
      <c r="P2497" t="n">
        <v>0</v>
      </c>
      <c r="Q2497" t="n">
        <v>0</v>
      </c>
      <c r="R2497" s="2" t="inlineStr"/>
    </row>
    <row r="2498" ht="15" customHeight="1">
      <c r="A2498" t="inlineStr">
        <is>
          <t>A 57790-2022</t>
        </is>
      </c>
      <c r="B2498" s="1" t="n">
        <v>44897</v>
      </c>
      <c r="C2498" s="1" t="n">
        <v>45358</v>
      </c>
      <c r="D2498" t="inlineStr">
        <is>
          <t>HALLANDS LÄN</t>
        </is>
      </c>
      <c r="E2498" t="inlineStr">
        <is>
          <t>KUNGSBACKA</t>
        </is>
      </c>
      <c r="G2498" t="n">
        <v>18.8</v>
      </c>
      <c r="H2498" t="n">
        <v>0</v>
      </c>
      <c r="I2498" t="n">
        <v>0</v>
      </c>
      <c r="J2498" t="n">
        <v>0</v>
      </c>
      <c r="K2498" t="n">
        <v>0</v>
      </c>
      <c r="L2498" t="n">
        <v>0</v>
      </c>
      <c r="M2498" t="n">
        <v>0</v>
      </c>
      <c r="N2498" t="n">
        <v>0</v>
      </c>
      <c r="O2498" t="n">
        <v>0</v>
      </c>
      <c r="P2498" t="n">
        <v>0</v>
      </c>
      <c r="Q2498" t="n">
        <v>0</v>
      </c>
      <c r="R2498" s="2" t="inlineStr"/>
    </row>
    <row r="2499" ht="15" customHeight="1">
      <c r="A2499" t="inlineStr">
        <is>
          <t>A 59260-2022</t>
        </is>
      </c>
      <c r="B2499" s="1" t="n">
        <v>44897</v>
      </c>
      <c r="C2499" s="1" t="n">
        <v>45358</v>
      </c>
      <c r="D2499" t="inlineStr">
        <is>
          <t>HALLANDS LÄN</t>
        </is>
      </c>
      <c r="E2499" t="inlineStr">
        <is>
          <t>HALMSTAD</t>
        </is>
      </c>
      <c r="F2499" t="inlineStr">
        <is>
          <t>Bergvik skog väst AB</t>
        </is>
      </c>
      <c r="G2499" t="n">
        <v>9.800000000000001</v>
      </c>
      <c r="H2499" t="n">
        <v>0</v>
      </c>
      <c r="I2499" t="n">
        <v>0</v>
      </c>
      <c r="J2499" t="n">
        <v>0</v>
      </c>
      <c r="K2499" t="n">
        <v>0</v>
      </c>
      <c r="L2499" t="n">
        <v>0</v>
      </c>
      <c r="M2499" t="n">
        <v>0</v>
      </c>
      <c r="N2499" t="n">
        <v>0</v>
      </c>
      <c r="O2499" t="n">
        <v>0</v>
      </c>
      <c r="P2499" t="n">
        <v>0</v>
      </c>
      <c r="Q2499" t="n">
        <v>0</v>
      </c>
      <c r="R2499" s="2" t="inlineStr"/>
    </row>
    <row r="2500" ht="15" customHeight="1">
      <c r="A2500" t="inlineStr">
        <is>
          <t>A 59254-2022</t>
        </is>
      </c>
      <c r="B2500" s="1" t="n">
        <v>44897</v>
      </c>
      <c r="C2500" s="1" t="n">
        <v>45358</v>
      </c>
      <c r="D2500" t="inlineStr">
        <is>
          <t>HALLANDS LÄN</t>
        </is>
      </c>
      <c r="E2500" t="inlineStr">
        <is>
          <t>HALMSTAD</t>
        </is>
      </c>
      <c r="F2500" t="inlineStr">
        <is>
          <t>Bergvik skog väst AB</t>
        </is>
      </c>
      <c r="G2500" t="n">
        <v>1</v>
      </c>
      <c r="H2500" t="n">
        <v>0</v>
      </c>
      <c r="I2500" t="n">
        <v>0</v>
      </c>
      <c r="J2500" t="n">
        <v>0</v>
      </c>
      <c r="K2500" t="n">
        <v>0</v>
      </c>
      <c r="L2500" t="n">
        <v>0</v>
      </c>
      <c r="M2500" t="n">
        <v>0</v>
      </c>
      <c r="N2500" t="n">
        <v>0</v>
      </c>
      <c r="O2500" t="n">
        <v>0</v>
      </c>
      <c r="P2500" t="n">
        <v>0</v>
      </c>
      <c r="Q2500" t="n">
        <v>0</v>
      </c>
      <c r="R2500" s="2" t="inlineStr"/>
    </row>
    <row r="2501" ht="15" customHeight="1">
      <c r="A2501" t="inlineStr">
        <is>
          <t>A 57852-2022</t>
        </is>
      </c>
      <c r="B2501" s="1" t="n">
        <v>44898</v>
      </c>
      <c r="C2501" s="1" t="n">
        <v>45358</v>
      </c>
      <c r="D2501" t="inlineStr">
        <is>
          <t>HALLANDS LÄN</t>
        </is>
      </c>
      <c r="E2501" t="inlineStr">
        <is>
          <t>FALKENBERG</t>
        </is>
      </c>
      <c r="G2501" t="n">
        <v>1.8</v>
      </c>
      <c r="H2501" t="n">
        <v>0</v>
      </c>
      <c r="I2501" t="n">
        <v>0</v>
      </c>
      <c r="J2501" t="n">
        <v>0</v>
      </c>
      <c r="K2501" t="n">
        <v>0</v>
      </c>
      <c r="L2501" t="n">
        <v>0</v>
      </c>
      <c r="M2501" t="n">
        <v>0</v>
      </c>
      <c r="N2501" t="n">
        <v>0</v>
      </c>
      <c r="O2501" t="n">
        <v>0</v>
      </c>
      <c r="P2501" t="n">
        <v>0</v>
      </c>
      <c r="Q2501" t="n">
        <v>0</v>
      </c>
      <c r="R2501" s="2" t="inlineStr"/>
    </row>
    <row r="2502" ht="15" customHeight="1">
      <c r="A2502" t="inlineStr">
        <is>
          <t>A 57871-2022</t>
        </is>
      </c>
      <c r="B2502" s="1" t="n">
        <v>44899</v>
      </c>
      <c r="C2502" s="1" t="n">
        <v>45358</v>
      </c>
      <c r="D2502" t="inlineStr">
        <is>
          <t>HALLANDS LÄN</t>
        </is>
      </c>
      <c r="E2502" t="inlineStr">
        <is>
          <t>HYLTE</t>
        </is>
      </c>
      <c r="G2502" t="n">
        <v>1.1</v>
      </c>
      <c r="H2502" t="n">
        <v>0</v>
      </c>
      <c r="I2502" t="n">
        <v>0</v>
      </c>
      <c r="J2502" t="n">
        <v>0</v>
      </c>
      <c r="K2502" t="n">
        <v>0</v>
      </c>
      <c r="L2502" t="n">
        <v>0</v>
      </c>
      <c r="M2502" t="n">
        <v>0</v>
      </c>
      <c r="N2502" t="n">
        <v>0</v>
      </c>
      <c r="O2502" t="n">
        <v>0</v>
      </c>
      <c r="P2502" t="n">
        <v>0</v>
      </c>
      <c r="Q2502" t="n">
        <v>0</v>
      </c>
      <c r="R2502" s="2" t="inlineStr"/>
    </row>
    <row r="2503" ht="15" customHeight="1">
      <c r="A2503" t="inlineStr">
        <is>
          <t>A 57930-2022</t>
        </is>
      </c>
      <c r="B2503" s="1" t="n">
        <v>44900</v>
      </c>
      <c r="C2503" s="1" t="n">
        <v>45358</v>
      </c>
      <c r="D2503" t="inlineStr">
        <is>
          <t>HALLANDS LÄN</t>
        </is>
      </c>
      <c r="E2503" t="inlineStr">
        <is>
          <t>FALKENBERG</t>
        </is>
      </c>
      <c r="G2503" t="n">
        <v>2.1</v>
      </c>
      <c r="H2503" t="n">
        <v>0</v>
      </c>
      <c r="I2503" t="n">
        <v>0</v>
      </c>
      <c r="J2503" t="n">
        <v>0</v>
      </c>
      <c r="K2503" t="n">
        <v>0</v>
      </c>
      <c r="L2503" t="n">
        <v>0</v>
      </c>
      <c r="M2503" t="n">
        <v>0</v>
      </c>
      <c r="N2503" t="n">
        <v>0</v>
      </c>
      <c r="O2503" t="n">
        <v>0</v>
      </c>
      <c r="P2503" t="n">
        <v>0</v>
      </c>
      <c r="Q2503" t="n">
        <v>0</v>
      </c>
      <c r="R2503" s="2" t="inlineStr"/>
    </row>
    <row r="2504" ht="15" customHeight="1">
      <c r="A2504" t="inlineStr">
        <is>
          <t>A 57941-2022</t>
        </is>
      </c>
      <c r="B2504" s="1" t="n">
        <v>44900</v>
      </c>
      <c r="C2504" s="1" t="n">
        <v>45358</v>
      </c>
      <c r="D2504" t="inlineStr">
        <is>
          <t>HALLANDS LÄN</t>
        </is>
      </c>
      <c r="E2504" t="inlineStr">
        <is>
          <t>HYLTE</t>
        </is>
      </c>
      <c r="G2504" t="n">
        <v>4.1</v>
      </c>
      <c r="H2504" t="n">
        <v>0</v>
      </c>
      <c r="I2504" t="n">
        <v>0</v>
      </c>
      <c r="J2504" t="n">
        <v>0</v>
      </c>
      <c r="K2504" t="n">
        <v>0</v>
      </c>
      <c r="L2504" t="n">
        <v>0</v>
      </c>
      <c r="M2504" t="n">
        <v>0</v>
      </c>
      <c r="N2504" t="n">
        <v>0</v>
      </c>
      <c r="O2504" t="n">
        <v>0</v>
      </c>
      <c r="P2504" t="n">
        <v>0</v>
      </c>
      <c r="Q2504" t="n">
        <v>0</v>
      </c>
      <c r="R2504" s="2" t="inlineStr"/>
    </row>
    <row r="2505" ht="15" customHeight="1">
      <c r="A2505" t="inlineStr">
        <is>
          <t>A 57948-2022</t>
        </is>
      </c>
      <c r="B2505" s="1" t="n">
        <v>44900</v>
      </c>
      <c r="C2505" s="1" t="n">
        <v>45358</v>
      </c>
      <c r="D2505" t="inlineStr">
        <is>
          <t>HALLANDS LÄN</t>
        </is>
      </c>
      <c r="E2505" t="inlineStr">
        <is>
          <t>HYLTE</t>
        </is>
      </c>
      <c r="G2505" t="n">
        <v>1.4</v>
      </c>
      <c r="H2505" t="n">
        <v>0</v>
      </c>
      <c r="I2505" t="n">
        <v>0</v>
      </c>
      <c r="J2505" t="n">
        <v>0</v>
      </c>
      <c r="K2505" t="n">
        <v>0</v>
      </c>
      <c r="L2505" t="n">
        <v>0</v>
      </c>
      <c r="M2505" t="n">
        <v>0</v>
      </c>
      <c r="N2505" t="n">
        <v>0</v>
      </c>
      <c r="O2505" t="n">
        <v>0</v>
      </c>
      <c r="P2505" t="n">
        <v>0</v>
      </c>
      <c r="Q2505" t="n">
        <v>0</v>
      </c>
      <c r="R2505" s="2" t="inlineStr"/>
    </row>
    <row r="2506" ht="15" customHeight="1">
      <c r="A2506" t="inlineStr">
        <is>
          <t>A 57938-2022</t>
        </is>
      </c>
      <c r="B2506" s="1" t="n">
        <v>44900</v>
      </c>
      <c r="C2506" s="1" t="n">
        <v>45358</v>
      </c>
      <c r="D2506" t="inlineStr">
        <is>
          <t>HALLANDS LÄN</t>
        </is>
      </c>
      <c r="E2506" t="inlineStr">
        <is>
          <t>HYLTE</t>
        </is>
      </c>
      <c r="G2506" t="n">
        <v>11.6</v>
      </c>
      <c r="H2506" t="n">
        <v>0</v>
      </c>
      <c r="I2506" t="n">
        <v>0</v>
      </c>
      <c r="J2506" t="n">
        <v>0</v>
      </c>
      <c r="K2506" t="n">
        <v>0</v>
      </c>
      <c r="L2506" t="n">
        <v>0</v>
      </c>
      <c r="M2506" t="n">
        <v>0</v>
      </c>
      <c r="N2506" t="n">
        <v>0</v>
      </c>
      <c r="O2506" t="n">
        <v>0</v>
      </c>
      <c r="P2506" t="n">
        <v>0</v>
      </c>
      <c r="Q2506" t="n">
        <v>0</v>
      </c>
      <c r="R2506" s="2" t="inlineStr"/>
    </row>
    <row r="2507" ht="15" customHeight="1">
      <c r="A2507" t="inlineStr">
        <is>
          <t>A 57966-2022</t>
        </is>
      </c>
      <c r="B2507" s="1" t="n">
        <v>44900</v>
      </c>
      <c r="C2507" s="1" t="n">
        <v>45358</v>
      </c>
      <c r="D2507" t="inlineStr">
        <is>
          <t>HALLANDS LÄN</t>
        </is>
      </c>
      <c r="E2507" t="inlineStr">
        <is>
          <t>HYLTE</t>
        </is>
      </c>
      <c r="G2507" t="n">
        <v>3.5</v>
      </c>
      <c r="H2507" t="n">
        <v>0</v>
      </c>
      <c r="I2507" t="n">
        <v>0</v>
      </c>
      <c r="J2507" t="n">
        <v>0</v>
      </c>
      <c r="K2507" t="n">
        <v>0</v>
      </c>
      <c r="L2507" t="n">
        <v>0</v>
      </c>
      <c r="M2507" t="n">
        <v>0</v>
      </c>
      <c r="N2507" t="n">
        <v>0</v>
      </c>
      <c r="O2507" t="n">
        <v>0</v>
      </c>
      <c r="P2507" t="n">
        <v>0</v>
      </c>
      <c r="Q2507" t="n">
        <v>0</v>
      </c>
      <c r="R2507" s="2" t="inlineStr"/>
    </row>
    <row r="2508" ht="15" customHeight="1">
      <c r="A2508" t="inlineStr">
        <is>
          <t>A 57946-2022</t>
        </is>
      </c>
      <c r="B2508" s="1" t="n">
        <v>44900</v>
      </c>
      <c r="C2508" s="1" t="n">
        <v>45358</v>
      </c>
      <c r="D2508" t="inlineStr">
        <is>
          <t>HALLANDS LÄN</t>
        </is>
      </c>
      <c r="E2508" t="inlineStr">
        <is>
          <t>HYLTE</t>
        </is>
      </c>
      <c r="G2508" t="n">
        <v>2.1</v>
      </c>
      <c r="H2508" t="n">
        <v>0</v>
      </c>
      <c r="I2508" t="n">
        <v>0</v>
      </c>
      <c r="J2508" t="n">
        <v>0</v>
      </c>
      <c r="K2508" t="n">
        <v>0</v>
      </c>
      <c r="L2508" t="n">
        <v>0</v>
      </c>
      <c r="M2508" t="n">
        <v>0</v>
      </c>
      <c r="N2508" t="n">
        <v>0</v>
      </c>
      <c r="O2508" t="n">
        <v>0</v>
      </c>
      <c r="P2508" t="n">
        <v>0</v>
      </c>
      <c r="Q2508" t="n">
        <v>0</v>
      </c>
      <c r="R2508" s="2" t="inlineStr"/>
    </row>
    <row r="2509" ht="15" customHeight="1">
      <c r="A2509" t="inlineStr">
        <is>
          <t>A 57950-2022</t>
        </is>
      </c>
      <c r="B2509" s="1" t="n">
        <v>44900</v>
      </c>
      <c r="C2509" s="1" t="n">
        <v>45358</v>
      </c>
      <c r="D2509" t="inlineStr">
        <is>
          <t>HALLANDS LÄN</t>
        </is>
      </c>
      <c r="E2509" t="inlineStr">
        <is>
          <t>HYLTE</t>
        </is>
      </c>
      <c r="G2509" t="n">
        <v>1.9</v>
      </c>
      <c r="H2509" t="n">
        <v>0</v>
      </c>
      <c r="I2509" t="n">
        <v>0</v>
      </c>
      <c r="J2509" t="n">
        <v>0</v>
      </c>
      <c r="K2509" t="n">
        <v>0</v>
      </c>
      <c r="L2509" t="n">
        <v>0</v>
      </c>
      <c r="M2509" t="n">
        <v>0</v>
      </c>
      <c r="N2509" t="n">
        <v>0</v>
      </c>
      <c r="O2509" t="n">
        <v>0</v>
      </c>
      <c r="P2509" t="n">
        <v>0</v>
      </c>
      <c r="Q2509" t="n">
        <v>0</v>
      </c>
      <c r="R2509" s="2" t="inlineStr"/>
    </row>
    <row r="2510" ht="15" customHeight="1">
      <c r="A2510" t="inlineStr">
        <is>
          <t>A 58061-2022</t>
        </is>
      </c>
      <c r="B2510" s="1" t="n">
        <v>44900</v>
      </c>
      <c r="C2510" s="1" t="n">
        <v>45358</v>
      </c>
      <c r="D2510" t="inlineStr">
        <is>
          <t>HALLANDS LÄN</t>
        </is>
      </c>
      <c r="E2510" t="inlineStr">
        <is>
          <t>HYLTE</t>
        </is>
      </c>
      <c r="F2510" t="inlineStr">
        <is>
          <t>Bergvik skog väst AB</t>
        </is>
      </c>
      <c r="G2510" t="n">
        <v>10.7</v>
      </c>
      <c r="H2510" t="n">
        <v>0</v>
      </c>
      <c r="I2510" t="n">
        <v>0</v>
      </c>
      <c r="J2510" t="n">
        <v>0</v>
      </c>
      <c r="K2510" t="n">
        <v>0</v>
      </c>
      <c r="L2510" t="n">
        <v>0</v>
      </c>
      <c r="M2510" t="n">
        <v>0</v>
      </c>
      <c r="N2510" t="n">
        <v>0</v>
      </c>
      <c r="O2510" t="n">
        <v>0</v>
      </c>
      <c r="P2510" t="n">
        <v>0</v>
      </c>
      <c r="Q2510" t="n">
        <v>0</v>
      </c>
      <c r="R2510" s="2" t="inlineStr"/>
    </row>
    <row r="2511" ht="15" customHeight="1">
      <c r="A2511" t="inlineStr">
        <is>
          <t>A 58006-2022</t>
        </is>
      </c>
      <c r="B2511" s="1" t="n">
        <v>44900</v>
      </c>
      <c r="C2511" s="1" t="n">
        <v>45358</v>
      </c>
      <c r="D2511" t="inlineStr">
        <is>
          <t>HALLANDS LÄN</t>
        </is>
      </c>
      <c r="E2511" t="inlineStr">
        <is>
          <t>FALKENBERG</t>
        </is>
      </c>
      <c r="G2511" t="n">
        <v>0.9</v>
      </c>
      <c r="H2511" t="n">
        <v>0</v>
      </c>
      <c r="I2511" t="n">
        <v>0</v>
      </c>
      <c r="J2511" t="n">
        <v>0</v>
      </c>
      <c r="K2511" t="n">
        <v>0</v>
      </c>
      <c r="L2511" t="n">
        <v>0</v>
      </c>
      <c r="M2511" t="n">
        <v>0</v>
      </c>
      <c r="N2511" t="n">
        <v>0</v>
      </c>
      <c r="O2511" t="n">
        <v>0</v>
      </c>
      <c r="P2511" t="n">
        <v>0</v>
      </c>
      <c r="Q2511" t="n">
        <v>0</v>
      </c>
      <c r="R2511" s="2" t="inlineStr"/>
    </row>
    <row r="2512" ht="15" customHeight="1">
      <c r="A2512" t="inlineStr">
        <is>
          <t>A 58072-2022</t>
        </is>
      </c>
      <c r="B2512" s="1" t="n">
        <v>44900</v>
      </c>
      <c r="C2512" s="1" t="n">
        <v>45358</v>
      </c>
      <c r="D2512" t="inlineStr">
        <is>
          <t>HALLANDS LÄN</t>
        </is>
      </c>
      <c r="E2512" t="inlineStr">
        <is>
          <t>FALKENBERG</t>
        </is>
      </c>
      <c r="G2512" t="n">
        <v>4</v>
      </c>
      <c r="H2512" t="n">
        <v>0</v>
      </c>
      <c r="I2512" t="n">
        <v>0</v>
      </c>
      <c r="J2512" t="n">
        <v>0</v>
      </c>
      <c r="K2512" t="n">
        <v>0</v>
      </c>
      <c r="L2512" t="n">
        <v>0</v>
      </c>
      <c r="M2512" t="n">
        <v>0</v>
      </c>
      <c r="N2512" t="n">
        <v>0</v>
      </c>
      <c r="O2512" t="n">
        <v>0</v>
      </c>
      <c r="P2512" t="n">
        <v>0</v>
      </c>
      <c r="Q2512" t="n">
        <v>0</v>
      </c>
      <c r="R2512" s="2" t="inlineStr"/>
    </row>
    <row r="2513" ht="15" customHeight="1">
      <c r="A2513" t="inlineStr">
        <is>
          <t>A 59494-2022</t>
        </is>
      </c>
      <c r="B2513" s="1" t="n">
        <v>44900</v>
      </c>
      <c r="C2513" s="1" t="n">
        <v>45358</v>
      </c>
      <c r="D2513" t="inlineStr">
        <is>
          <t>HALLANDS LÄN</t>
        </is>
      </c>
      <c r="E2513" t="inlineStr">
        <is>
          <t>HYLTE</t>
        </is>
      </c>
      <c r="G2513" t="n">
        <v>0.8</v>
      </c>
      <c r="H2513" t="n">
        <v>0</v>
      </c>
      <c r="I2513" t="n">
        <v>0</v>
      </c>
      <c r="J2513" t="n">
        <v>0</v>
      </c>
      <c r="K2513" t="n">
        <v>0</v>
      </c>
      <c r="L2513" t="n">
        <v>0</v>
      </c>
      <c r="M2513" t="n">
        <v>0</v>
      </c>
      <c r="N2513" t="n">
        <v>0</v>
      </c>
      <c r="O2513" t="n">
        <v>0</v>
      </c>
      <c r="P2513" t="n">
        <v>0</v>
      </c>
      <c r="Q2513" t="n">
        <v>0</v>
      </c>
      <c r="R2513" s="2" t="inlineStr"/>
    </row>
    <row r="2514" ht="15" customHeight="1">
      <c r="A2514" t="inlineStr">
        <is>
          <t>A 58221-2022</t>
        </is>
      </c>
      <c r="B2514" s="1" t="n">
        <v>44901</v>
      </c>
      <c r="C2514" s="1" t="n">
        <v>45358</v>
      </c>
      <c r="D2514" t="inlineStr">
        <is>
          <t>HALLANDS LÄN</t>
        </is>
      </c>
      <c r="E2514" t="inlineStr">
        <is>
          <t>HYLTE</t>
        </is>
      </c>
      <c r="G2514" t="n">
        <v>0.8</v>
      </c>
      <c r="H2514" t="n">
        <v>0</v>
      </c>
      <c r="I2514" t="n">
        <v>0</v>
      </c>
      <c r="J2514" t="n">
        <v>0</v>
      </c>
      <c r="K2514" t="n">
        <v>0</v>
      </c>
      <c r="L2514" t="n">
        <v>0</v>
      </c>
      <c r="M2514" t="n">
        <v>0</v>
      </c>
      <c r="N2514" t="n">
        <v>0</v>
      </c>
      <c r="O2514" t="n">
        <v>0</v>
      </c>
      <c r="P2514" t="n">
        <v>0</v>
      </c>
      <c r="Q2514" t="n">
        <v>0</v>
      </c>
      <c r="R2514" s="2" t="inlineStr"/>
    </row>
    <row r="2515" ht="15" customHeight="1">
      <c r="A2515" t="inlineStr">
        <is>
          <t>A 58361-2022</t>
        </is>
      </c>
      <c r="B2515" s="1" t="n">
        <v>44901</v>
      </c>
      <c r="C2515" s="1" t="n">
        <v>45358</v>
      </c>
      <c r="D2515" t="inlineStr">
        <is>
          <t>HALLANDS LÄN</t>
        </is>
      </c>
      <c r="E2515" t="inlineStr">
        <is>
          <t>LAHOLM</t>
        </is>
      </c>
      <c r="G2515" t="n">
        <v>2.4</v>
      </c>
      <c r="H2515" t="n">
        <v>0</v>
      </c>
      <c r="I2515" t="n">
        <v>0</v>
      </c>
      <c r="J2515" t="n">
        <v>0</v>
      </c>
      <c r="K2515" t="n">
        <v>0</v>
      </c>
      <c r="L2515" t="n">
        <v>0</v>
      </c>
      <c r="M2515" t="n">
        <v>0</v>
      </c>
      <c r="N2515" t="n">
        <v>0</v>
      </c>
      <c r="O2515" t="n">
        <v>0</v>
      </c>
      <c r="P2515" t="n">
        <v>0</v>
      </c>
      <c r="Q2515" t="n">
        <v>0</v>
      </c>
      <c r="R2515" s="2" t="inlineStr"/>
    </row>
    <row r="2516" ht="15" customHeight="1">
      <c r="A2516" t="inlineStr">
        <is>
          <t>A 58427-2022</t>
        </is>
      </c>
      <c r="B2516" s="1" t="n">
        <v>44901</v>
      </c>
      <c r="C2516" s="1" t="n">
        <v>45358</v>
      </c>
      <c r="D2516" t="inlineStr">
        <is>
          <t>HALLANDS LÄN</t>
        </is>
      </c>
      <c r="E2516" t="inlineStr">
        <is>
          <t>LAHOLM</t>
        </is>
      </c>
      <c r="G2516" t="n">
        <v>8.1</v>
      </c>
      <c r="H2516" t="n">
        <v>0</v>
      </c>
      <c r="I2516" t="n">
        <v>0</v>
      </c>
      <c r="J2516" t="n">
        <v>0</v>
      </c>
      <c r="K2516" t="n">
        <v>0</v>
      </c>
      <c r="L2516" t="n">
        <v>0</v>
      </c>
      <c r="M2516" t="n">
        <v>0</v>
      </c>
      <c r="N2516" t="n">
        <v>0</v>
      </c>
      <c r="O2516" t="n">
        <v>0</v>
      </c>
      <c r="P2516" t="n">
        <v>0</v>
      </c>
      <c r="Q2516" t="n">
        <v>0</v>
      </c>
      <c r="R2516" s="2" t="inlineStr"/>
    </row>
    <row r="2517" ht="15" customHeight="1">
      <c r="A2517" t="inlineStr">
        <is>
          <t>A 58557-2022</t>
        </is>
      </c>
      <c r="B2517" s="1" t="n">
        <v>44902</v>
      </c>
      <c r="C2517" s="1" t="n">
        <v>45358</v>
      </c>
      <c r="D2517" t="inlineStr">
        <is>
          <t>HALLANDS LÄN</t>
        </is>
      </c>
      <c r="E2517" t="inlineStr">
        <is>
          <t>LAHOLM</t>
        </is>
      </c>
      <c r="G2517" t="n">
        <v>1.2</v>
      </c>
      <c r="H2517" t="n">
        <v>0</v>
      </c>
      <c r="I2517" t="n">
        <v>0</v>
      </c>
      <c r="J2517" t="n">
        <v>0</v>
      </c>
      <c r="K2517" t="n">
        <v>0</v>
      </c>
      <c r="L2517" t="n">
        <v>0</v>
      </c>
      <c r="M2517" t="n">
        <v>0</v>
      </c>
      <c r="N2517" t="n">
        <v>0</v>
      </c>
      <c r="O2517" t="n">
        <v>0</v>
      </c>
      <c r="P2517" t="n">
        <v>0</v>
      </c>
      <c r="Q2517" t="n">
        <v>0</v>
      </c>
      <c r="R2517" s="2" t="inlineStr"/>
    </row>
    <row r="2518" ht="15" customHeight="1">
      <c r="A2518" t="inlineStr">
        <is>
          <t>A 58558-2022</t>
        </is>
      </c>
      <c r="B2518" s="1" t="n">
        <v>44902</v>
      </c>
      <c r="C2518" s="1" t="n">
        <v>45358</v>
      </c>
      <c r="D2518" t="inlineStr">
        <is>
          <t>HALLANDS LÄN</t>
        </is>
      </c>
      <c r="E2518" t="inlineStr">
        <is>
          <t>LAHOLM</t>
        </is>
      </c>
      <c r="G2518" t="n">
        <v>1.1</v>
      </c>
      <c r="H2518" t="n">
        <v>0</v>
      </c>
      <c r="I2518" t="n">
        <v>0</v>
      </c>
      <c r="J2518" t="n">
        <v>0</v>
      </c>
      <c r="K2518" t="n">
        <v>0</v>
      </c>
      <c r="L2518" t="n">
        <v>0</v>
      </c>
      <c r="M2518" t="n">
        <v>0</v>
      </c>
      <c r="N2518" t="n">
        <v>0</v>
      </c>
      <c r="O2518" t="n">
        <v>0</v>
      </c>
      <c r="P2518" t="n">
        <v>0</v>
      </c>
      <c r="Q2518" t="n">
        <v>0</v>
      </c>
      <c r="R2518" s="2" t="inlineStr"/>
    </row>
    <row r="2519" ht="15" customHeight="1">
      <c r="A2519" t="inlineStr">
        <is>
          <t>A 58534-2022</t>
        </is>
      </c>
      <c r="B2519" s="1" t="n">
        <v>44902</v>
      </c>
      <c r="C2519" s="1" t="n">
        <v>45358</v>
      </c>
      <c r="D2519" t="inlineStr">
        <is>
          <t>HALLANDS LÄN</t>
        </is>
      </c>
      <c r="E2519" t="inlineStr">
        <is>
          <t>FALKENBERG</t>
        </is>
      </c>
      <c r="G2519" t="n">
        <v>1.4</v>
      </c>
      <c r="H2519" t="n">
        <v>0</v>
      </c>
      <c r="I2519" t="n">
        <v>0</v>
      </c>
      <c r="J2519" t="n">
        <v>0</v>
      </c>
      <c r="K2519" t="n">
        <v>0</v>
      </c>
      <c r="L2519" t="n">
        <v>0</v>
      </c>
      <c r="M2519" t="n">
        <v>0</v>
      </c>
      <c r="N2519" t="n">
        <v>0</v>
      </c>
      <c r="O2519" t="n">
        <v>0</v>
      </c>
      <c r="P2519" t="n">
        <v>0</v>
      </c>
      <c r="Q2519" t="n">
        <v>0</v>
      </c>
      <c r="R2519" s="2" t="inlineStr"/>
    </row>
    <row r="2520" ht="15" customHeight="1">
      <c r="A2520" t="inlineStr">
        <is>
          <t>A 60149-2022</t>
        </is>
      </c>
      <c r="B2520" s="1" t="n">
        <v>44902</v>
      </c>
      <c r="C2520" s="1" t="n">
        <v>45358</v>
      </c>
      <c r="D2520" t="inlineStr">
        <is>
          <t>HALLANDS LÄN</t>
        </is>
      </c>
      <c r="E2520" t="inlineStr">
        <is>
          <t>LAHOLM</t>
        </is>
      </c>
      <c r="G2520" t="n">
        <v>2.8</v>
      </c>
      <c r="H2520" t="n">
        <v>0</v>
      </c>
      <c r="I2520" t="n">
        <v>0</v>
      </c>
      <c r="J2520" t="n">
        <v>0</v>
      </c>
      <c r="K2520" t="n">
        <v>0</v>
      </c>
      <c r="L2520" t="n">
        <v>0</v>
      </c>
      <c r="M2520" t="n">
        <v>0</v>
      </c>
      <c r="N2520" t="n">
        <v>0</v>
      </c>
      <c r="O2520" t="n">
        <v>0</v>
      </c>
      <c r="P2520" t="n">
        <v>0</v>
      </c>
      <c r="Q2520" t="n">
        <v>0</v>
      </c>
      <c r="R2520" s="2" t="inlineStr"/>
    </row>
    <row r="2521" ht="15" customHeight="1">
      <c r="A2521" t="inlineStr">
        <is>
          <t>A 60152-2022</t>
        </is>
      </c>
      <c r="B2521" s="1" t="n">
        <v>44902</v>
      </c>
      <c r="C2521" s="1" t="n">
        <v>45358</v>
      </c>
      <c r="D2521" t="inlineStr">
        <is>
          <t>HALLANDS LÄN</t>
        </is>
      </c>
      <c r="E2521" t="inlineStr">
        <is>
          <t>LAHOLM</t>
        </is>
      </c>
      <c r="G2521" t="n">
        <v>7.8</v>
      </c>
      <c r="H2521" t="n">
        <v>0</v>
      </c>
      <c r="I2521" t="n">
        <v>0</v>
      </c>
      <c r="J2521" t="n">
        <v>0</v>
      </c>
      <c r="K2521" t="n">
        <v>0</v>
      </c>
      <c r="L2521" t="n">
        <v>0</v>
      </c>
      <c r="M2521" t="n">
        <v>0</v>
      </c>
      <c r="N2521" t="n">
        <v>0</v>
      </c>
      <c r="O2521" t="n">
        <v>0</v>
      </c>
      <c r="P2521" t="n">
        <v>0</v>
      </c>
      <c r="Q2521" t="n">
        <v>0</v>
      </c>
      <c r="R2521" s="2" t="inlineStr"/>
    </row>
    <row r="2522" ht="15" customHeight="1">
      <c r="A2522" t="inlineStr">
        <is>
          <t>A 58683-2022</t>
        </is>
      </c>
      <c r="B2522" s="1" t="n">
        <v>44902</v>
      </c>
      <c r="C2522" s="1" t="n">
        <v>45358</v>
      </c>
      <c r="D2522" t="inlineStr">
        <is>
          <t>HALLANDS LÄN</t>
        </is>
      </c>
      <c r="E2522" t="inlineStr">
        <is>
          <t>VARBERG</t>
        </is>
      </c>
      <c r="G2522" t="n">
        <v>2.4</v>
      </c>
      <c r="H2522" t="n">
        <v>0</v>
      </c>
      <c r="I2522" t="n">
        <v>0</v>
      </c>
      <c r="J2522" t="n">
        <v>0</v>
      </c>
      <c r="K2522" t="n">
        <v>0</v>
      </c>
      <c r="L2522" t="n">
        <v>0</v>
      </c>
      <c r="M2522" t="n">
        <v>0</v>
      </c>
      <c r="N2522" t="n">
        <v>0</v>
      </c>
      <c r="O2522" t="n">
        <v>0</v>
      </c>
      <c r="P2522" t="n">
        <v>0</v>
      </c>
      <c r="Q2522" t="n">
        <v>0</v>
      </c>
      <c r="R2522" s="2" t="inlineStr"/>
    </row>
    <row r="2523" ht="15" customHeight="1">
      <c r="A2523" t="inlineStr">
        <is>
          <t>A 58817-2022</t>
        </is>
      </c>
      <c r="B2523" s="1" t="n">
        <v>44903</v>
      </c>
      <c r="C2523" s="1" t="n">
        <v>45358</v>
      </c>
      <c r="D2523" t="inlineStr">
        <is>
          <t>HALLANDS LÄN</t>
        </is>
      </c>
      <c r="E2523" t="inlineStr">
        <is>
          <t>HYLTE</t>
        </is>
      </c>
      <c r="G2523" t="n">
        <v>2.1</v>
      </c>
      <c r="H2523" t="n">
        <v>0</v>
      </c>
      <c r="I2523" t="n">
        <v>0</v>
      </c>
      <c r="J2523" t="n">
        <v>0</v>
      </c>
      <c r="K2523" t="n">
        <v>0</v>
      </c>
      <c r="L2523" t="n">
        <v>0</v>
      </c>
      <c r="M2523" t="n">
        <v>0</v>
      </c>
      <c r="N2523" t="n">
        <v>0</v>
      </c>
      <c r="O2523" t="n">
        <v>0</v>
      </c>
      <c r="P2523" t="n">
        <v>0</v>
      </c>
      <c r="Q2523" t="n">
        <v>0</v>
      </c>
      <c r="R2523" s="2" t="inlineStr"/>
    </row>
    <row r="2524" ht="15" customHeight="1">
      <c r="A2524" t="inlineStr">
        <is>
          <t>A 58939-2022</t>
        </is>
      </c>
      <c r="B2524" s="1" t="n">
        <v>44903</v>
      </c>
      <c r="C2524" s="1" t="n">
        <v>45358</v>
      </c>
      <c r="D2524" t="inlineStr">
        <is>
          <t>HALLANDS LÄN</t>
        </is>
      </c>
      <c r="E2524" t="inlineStr">
        <is>
          <t>FALKENBERG</t>
        </is>
      </c>
      <c r="G2524" t="n">
        <v>1.6</v>
      </c>
      <c r="H2524" t="n">
        <v>0</v>
      </c>
      <c r="I2524" t="n">
        <v>0</v>
      </c>
      <c r="J2524" t="n">
        <v>0</v>
      </c>
      <c r="K2524" t="n">
        <v>0</v>
      </c>
      <c r="L2524" t="n">
        <v>0</v>
      </c>
      <c r="M2524" t="n">
        <v>0</v>
      </c>
      <c r="N2524" t="n">
        <v>0</v>
      </c>
      <c r="O2524" t="n">
        <v>0</v>
      </c>
      <c r="P2524" t="n">
        <v>0</v>
      </c>
      <c r="Q2524" t="n">
        <v>0</v>
      </c>
      <c r="R2524" s="2" t="inlineStr"/>
    </row>
    <row r="2525" ht="15" customHeight="1">
      <c r="A2525" t="inlineStr">
        <is>
          <t>A 58813-2022</t>
        </is>
      </c>
      <c r="B2525" s="1" t="n">
        <v>44903</v>
      </c>
      <c r="C2525" s="1" t="n">
        <v>45358</v>
      </c>
      <c r="D2525" t="inlineStr">
        <is>
          <t>HALLANDS LÄN</t>
        </is>
      </c>
      <c r="E2525" t="inlineStr">
        <is>
          <t>HYLTE</t>
        </is>
      </c>
      <c r="G2525" t="n">
        <v>2.8</v>
      </c>
      <c r="H2525" t="n">
        <v>0</v>
      </c>
      <c r="I2525" t="n">
        <v>0</v>
      </c>
      <c r="J2525" t="n">
        <v>0</v>
      </c>
      <c r="K2525" t="n">
        <v>0</v>
      </c>
      <c r="L2525" t="n">
        <v>0</v>
      </c>
      <c r="M2525" t="n">
        <v>0</v>
      </c>
      <c r="N2525" t="n">
        <v>0</v>
      </c>
      <c r="O2525" t="n">
        <v>0</v>
      </c>
      <c r="P2525" t="n">
        <v>0</v>
      </c>
      <c r="Q2525" t="n">
        <v>0</v>
      </c>
      <c r="R2525" s="2" t="inlineStr"/>
    </row>
    <row r="2526" ht="15" customHeight="1">
      <c r="A2526" t="inlineStr">
        <is>
          <t>A 58931-2022</t>
        </is>
      </c>
      <c r="B2526" s="1" t="n">
        <v>44903</v>
      </c>
      <c r="C2526" s="1" t="n">
        <v>45358</v>
      </c>
      <c r="D2526" t="inlineStr">
        <is>
          <t>HALLANDS LÄN</t>
        </is>
      </c>
      <c r="E2526" t="inlineStr">
        <is>
          <t>FALKENBERG</t>
        </is>
      </c>
      <c r="G2526" t="n">
        <v>4.6</v>
      </c>
      <c r="H2526" t="n">
        <v>0</v>
      </c>
      <c r="I2526" t="n">
        <v>0</v>
      </c>
      <c r="J2526" t="n">
        <v>0</v>
      </c>
      <c r="K2526" t="n">
        <v>0</v>
      </c>
      <c r="L2526" t="n">
        <v>0</v>
      </c>
      <c r="M2526" t="n">
        <v>0</v>
      </c>
      <c r="N2526" t="n">
        <v>0</v>
      </c>
      <c r="O2526" t="n">
        <v>0</v>
      </c>
      <c r="P2526" t="n">
        <v>0</v>
      </c>
      <c r="Q2526" t="n">
        <v>0</v>
      </c>
      <c r="R2526" s="2" t="inlineStr"/>
    </row>
    <row r="2527" ht="15" customHeight="1">
      <c r="A2527" t="inlineStr">
        <is>
          <t>A 59576-2022</t>
        </is>
      </c>
      <c r="B2527" s="1" t="n">
        <v>44907</v>
      </c>
      <c r="C2527" s="1" t="n">
        <v>45358</v>
      </c>
      <c r="D2527" t="inlineStr">
        <is>
          <t>HALLANDS LÄN</t>
        </is>
      </c>
      <c r="E2527" t="inlineStr">
        <is>
          <t>HYLTE</t>
        </is>
      </c>
      <c r="F2527" t="inlineStr">
        <is>
          <t>Bergvik skog väst AB</t>
        </is>
      </c>
      <c r="G2527" t="n">
        <v>2.6</v>
      </c>
      <c r="H2527" t="n">
        <v>0</v>
      </c>
      <c r="I2527" t="n">
        <v>0</v>
      </c>
      <c r="J2527" t="n">
        <v>0</v>
      </c>
      <c r="K2527" t="n">
        <v>0</v>
      </c>
      <c r="L2527" t="n">
        <v>0</v>
      </c>
      <c r="M2527" t="n">
        <v>0</v>
      </c>
      <c r="N2527" t="n">
        <v>0</v>
      </c>
      <c r="O2527" t="n">
        <v>0</v>
      </c>
      <c r="P2527" t="n">
        <v>0</v>
      </c>
      <c r="Q2527" t="n">
        <v>0</v>
      </c>
      <c r="R2527" s="2" t="inlineStr"/>
    </row>
    <row r="2528" ht="15" customHeight="1">
      <c r="A2528" t="inlineStr">
        <is>
          <t>A 59701-2022</t>
        </is>
      </c>
      <c r="B2528" s="1" t="n">
        <v>44908</v>
      </c>
      <c r="C2528" s="1" t="n">
        <v>45358</v>
      </c>
      <c r="D2528" t="inlineStr">
        <is>
          <t>HALLANDS LÄN</t>
        </is>
      </c>
      <c r="E2528" t="inlineStr">
        <is>
          <t>LAHOLM</t>
        </is>
      </c>
      <c r="G2528" t="n">
        <v>0.5</v>
      </c>
      <c r="H2528" t="n">
        <v>0</v>
      </c>
      <c r="I2528" t="n">
        <v>0</v>
      </c>
      <c r="J2528" t="n">
        <v>0</v>
      </c>
      <c r="K2528" t="n">
        <v>0</v>
      </c>
      <c r="L2528" t="n">
        <v>0</v>
      </c>
      <c r="M2528" t="n">
        <v>0</v>
      </c>
      <c r="N2528" t="n">
        <v>0</v>
      </c>
      <c r="O2528" t="n">
        <v>0</v>
      </c>
      <c r="P2528" t="n">
        <v>0</v>
      </c>
      <c r="Q2528" t="n">
        <v>0</v>
      </c>
      <c r="R2528" s="2" t="inlineStr"/>
    </row>
    <row r="2529" ht="15" customHeight="1">
      <c r="A2529" t="inlineStr">
        <is>
          <t>A 60909-2022</t>
        </is>
      </c>
      <c r="B2529" s="1" t="n">
        <v>44908</v>
      </c>
      <c r="C2529" s="1" t="n">
        <v>45358</v>
      </c>
      <c r="D2529" t="inlineStr">
        <is>
          <t>HALLANDS LÄN</t>
        </is>
      </c>
      <c r="E2529" t="inlineStr">
        <is>
          <t>FALKENBERG</t>
        </is>
      </c>
      <c r="G2529" t="n">
        <v>0.6</v>
      </c>
      <c r="H2529" t="n">
        <v>0</v>
      </c>
      <c r="I2529" t="n">
        <v>0</v>
      </c>
      <c r="J2529" t="n">
        <v>0</v>
      </c>
      <c r="K2529" t="n">
        <v>0</v>
      </c>
      <c r="L2529" t="n">
        <v>0</v>
      </c>
      <c r="M2529" t="n">
        <v>0</v>
      </c>
      <c r="N2529" t="n">
        <v>0</v>
      </c>
      <c r="O2529" t="n">
        <v>0</v>
      </c>
      <c r="P2529" t="n">
        <v>0</v>
      </c>
      <c r="Q2529" t="n">
        <v>0</v>
      </c>
      <c r="R2529" s="2" t="inlineStr"/>
    </row>
    <row r="2530" ht="15" customHeight="1">
      <c r="A2530" t="inlineStr">
        <is>
          <t>A 60035-2022</t>
        </is>
      </c>
      <c r="B2530" s="1" t="n">
        <v>44909</v>
      </c>
      <c r="C2530" s="1" t="n">
        <v>45358</v>
      </c>
      <c r="D2530" t="inlineStr">
        <is>
          <t>HALLANDS LÄN</t>
        </is>
      </c>
      <c r="E2530" t="inlineStr">
        <is>
          <t>LAHOLM</t>
        </is>
      </c>
      <c r="G2530" t="n">
        <v>3.3</v>
      </c>
      <c r="H2530" t="n">
        <v>0</v>
      </c>
      <c r="I2530" t="n">
        <v>0</v>
      </c>
      <c r="J2530" t="n">
        <v>0</v>
      </c>
      <c r="K2530" t="n">
        <v>0</v>
      </c>
      <c r="L2530" t="n">
        <v>0</v>
      </c>
      <c r="M2530" t="n">
        <v>0</v>
      </c>
      <c r="N2530" t="n">
        <v>0</v>
      </c>
      <c r="O2530" t="n">
        <v>0</v>
      </c>
      <c r="P2530" t="n">
        <v>0</v>
      </c>
      <c r="Q2530" t="n">
        <v>0</v>
      </c>
      <c r="R2530" s="2" t="inlineStr"/>
    </row>
    <row r="2531" ht="15" customHeight="1">
      <c r="A2531" t="inlineStr">
        <is>
          <t>A 59921-2022</t>
        </is>
      </c>
      <c r="B2531" s="1" t="n">
        <v>44909</v>
      </c>
      <c r="C2531" s="1" t="n">
        <v>45358</v>
      </c>
      <c r="D2531" t="inlineStr">
        <is>
          <t>HALLANDS LÄN</t>
        </is>
      </c>
      <c r="E2531" t="inlineStr">
        <is>
          <t>LAHOLM</t>
        </is>
      </c>
      <c r="G2531" t="n">
        <v>1.3</v>
      </c>
      <c r="H2531" t="n">
        <v>0</v>
      </c>
      <c r="I2531" t="n">
        <v>0</v>
      </c>
      <c r="J2531" t="n">
        <v>0</v>
      </c>
      <c r="K2531" t="n">
        <v>0</v>
      </c>
      <c r="L2531" t="n">
        <v>0</v>
      </c>
      <c r="M2531" t="n">
        <v>0</v>
      </c>
      <c r="N2531" t="n">
        <v>0</v>
      </c>
      <c r="O2531" t="n">
        <v>0</v>
      </c>
      <c r="P2531" t="n">
        <v>0</v>
      </c>
      <c r="Q2531" t="n">
        <v>0</v>
      </c>
      <c r="R2531" s="2" t="inlineStr"/>
    </row>
    <row r="2532" ht="15" customHeight="1">
      <c r="A2532" t="inlineStr">
        <is>
          <t>A 59999-2022</t>
        </is>
      </c>
      <c r="B2532" s="1" t="n">
        <v>44909</v>
      </c>
      <c r="C2532" s="1" t="n">
        <v>45358</v>
      </c>
      <c r="D2532" t="inlineStr">
        <is>
          <t>HALLANDS LÄN</t>
        </is>
      </c>
      <c r="E2532" t="inlineStr">
        <is>
          <t>LAHOLM</t>
        </is>
      </c>
      <c r="G2532" t="n">
        <v>2.6</v>
      </c>
      <c r="H2532" t="n">
        <v>0</v>
      </c>
      <c r="I2532" t="n">
        <v>0</v>
      </c>
      <c r="J2532" t="n">
        <v>0</v>
      </c>
      <c r="K2532" t="n">
        <v>0</v>
      </c>
      <c r="L2532" t="n">
        <v>0</v>
      </c>
      <c r="M2532" t="n">
        <v>0</v>
      </c>
      <c r="N2532" t="n">
        <v>0</v>
      </c>
      <c r="O2532" t="n">
        <v>0</v>
      </c>
      <c r="P2532" t="n">
        <v>0</v>
      </c>
      <c r="Q2532" t="n">
        <v>0</v>
      </c>
      <c r="R2532" s="2" t="inlineStr"/>
    </row>
    <row r="2533" ht="15" customHeight="1">
      <c r="A2533" t="inlineStr">
        <is>
          <t>A 60021-2022</t>
        </is>
      </c>
      <c r="B2533" s="1" t="n">
        <v>44909</v>
      </c>
      <c r="C2533" s="1" t="n">
        <v>45358</v>
      </c>
      <c r="D2533" t="inlineStr">
        <is>
          <t>HALLANDS LÄN</t>
        </is>
      </c>
      <c r="E2533" t="inlineStr">
        <is>
          <t>LAHOLM</t>
        </is>
      </c>
      <c r="G2533" t="n">
        <v>2.6</v>
      </c>
      <c r="H2533" t="n">
        <v>0</v>
      </c>
      <c r="I2533" t="n">
        <v>0</v>
      </c>
      <c r="J2533" t="n">
        <v>0</v>
      </c>
      <c r="K2533" t="n">
        <v>0</v>
      </c>
      <c r="L2533" t="n">
        <v>0</v>
      </c>
      <c r="M2533" t="n">
        <v>0</v>
      </c>
      <c r="N2533" t="n">
        <v>0</v>
      </c>
      <c r="O2533" t="n">
        <v>0</v>
      </c>
      <c r="P2533" t="n">
        <v>0</v>
      </c>
      <c r="Q2533" t="n">
        <v>0</v>
      </c>
      <c r="R2533" s="2" t="inlineStr"/>
    </row>
    <row r="2534" ht="15" customHeight="1">
      <c r="A2534" t="inlineStr">
        <is>
          <t>A 60025-2022</t>
        </is>
      </c>
      <c r="B2534" s="1" t="n">
        <v>44909</v>
      </c>
      <c r="C2534" s="1" t="n">
        <v>45358</v>
      </c>
      <c r="D2534" t="inlineStr">
        <is>
          <t>HALLANDS LÄN</t>
        </is>
      </c>
      <c r="E2534" t="inlineStr">
        <is>
          <t>LAHOLM</t>
        </is>
      </c>
      <c r="G2534" t="n">
        <v>2.3</v>
      </c>
      <c r="H2534" t="n">
        <v>0</v>
      </c>
      <c r="I2534" t="n">
        <v>0</v>
      </c>
      <c r="J2534" t="n">
        <v>0</v>
      </c>
      <c r="K2534" t="n">
        <v>0</v>
      </c>
      <c r="L2534" t="n">
        <v>0</v>
      </c>
      <c r="M2534" t="n">
        <v>0</v>
      </c>
      <c r="N2534" t="n">
        <v>0</v>
      </c>
      <c r="O2534" t="n">
        <v>0</v>
      </c>
      <c r="P2534" t="n">
        <v>0</v>
      </c>
      <c r="Q2534" t="n">
        <v>0</v>
      </c>
      <c r="R2534" s="2" t="inlineStr"/>
    </row>
    <row r="2535" ht="15" customHeight="1">
      <c r="A2535" t="inlineStr">
        <is>
          <t>A 60205-2022</t>
        </is>
      </c>
      <c r="B2535" s="1" t="n">
        <v>44910</v>
      </c>
      <c r="C2535" s="1" t="n">
        <v>45358</v>
      </c>
      <c r="D2535" t="inlineStr">
        <is>
          <t>HALLANDS LÄN</t>
        </is>
      </c>
      <c r="E2535" t="inlineStr">
        <is>
          <t>VARBERG</t>
        </is>
      </c>
      <c r="G2535" t="n">
        <v>1.5</v>
      </c>
      <c r="H2535" t="n">
        <v>0</v>
      </c>
      <c r="I2535" t="n">
        <v>0</v>
      </c>
      <c r="J2535" t="n">
        <v>0</v>
      </c>
      <c r="K2535" t="n">
        <v>0</v>
      </c>
      <c r="L2535" t="n">
        <v>0</v>
      </c>
      <c r="M2535" t="n">
        <v>0</v>
      </c>
      <c r="N2535" t="n">
        <v>0</v>
      </c>
      <c r="O2535" t="n">
        <v>0</v>
      </c>
      <c r="P2535" t="n">
        <v>0</v>
      </c>
      <c r="Q2535" t="n">
        <v>0</v>
      </c>
      <c r="R2535" s="2" t="inlineStr"/>
    </row>
    <row r="2536" ht="15" customHeight="1">
      <c r="A2536" t="inlineStr">
        <is>
          <t>A 60232-2022</t>
        </is>
      </c>
      <c r="B2536" s="1" t="n">
        <v>44910</v>
      </c>
      <c r="C2536" s="1" t="n">
        <v>45358</v>
      </c>
      <c r="D2536" t="inlineStr">
        <is>
          <t>HALLANDS LÄN</t>
        </is>
      </c>
      <c r="E2536" t="inlineStr">
        <is>
          <t>FALKENBERG</t>
        </is>
      </c>
      <c r="G2536" t="n">
        <v>3.5</v>
      </c>
      <c r="H2536" t="n">
        <v>0</v>
      </c>
      <c r="I2536" t="n">
        <v>0</v>
      </c>
      <c r="J2536" t="n">
        <v>0</v>
      </c>
      <c r="K2536" t="n">
        <v>0</v>
      </c>
      <c r="L2536" t="n">
        <v>0</v>
      </c>
      <c r="M2536" t="n">
        <v>0</v>
      </c>
      <c r="N2536" t="n">
        <v>0</v>
      </c>
      <c r="O2536" t="n">
        <v>0</v>
      </c>
      <c r="P2536" t="n">
        <v>0</v>
      </c>
      <c r="Q2536" t="n">
        <v>0</v>
      </c>
      <c r="R2536" s="2" t="inlineStr"/>
    </row>
    <row r="2537" ht="15" customHeight="1">
      <c r="A2537" t="inlineStr">
        <is>
          <t>A 60239-2022</t>
        </is>
      </c>
      <c r="B2537" s="1" t="n">
        <v>44910</v>
      </c>
      <c r="C2537" s="1" t="n">
        <v>45358</v>
      </c>
      <c r="D2537" t="inlineStr">
        <is>
          <t>HALLANDS LÄN</t>
        </is>
      </c>
      <c r="E2537" t="inlineStr">
        <is>
          <t>FALKENBERG</t>
        </is>
      </c>
      <c r="G2537" t="n">
        <v>0.7</v>
      </c>
      <c r="H2537" t="n">
        <v>0</v>
      </c>
      <c r="I2537" t="n">
        <v>0</v>
      </c>
      <c r="J2537" t="n">
        <v>0</v>
      </c>
      <c r="K2537" t="n">
        <v>0</v>
      </c>
      <c r="L2537" t="n">
        <v>0</v>
      </c>
      <c r="M2537" t="n">
        <v>0</v>
      </c>
      <c r="N2537" t="n">
        <v>0</v>
      </c>
      <c r="O2537" t="n">
        <v>0</v>
      </c>
      <c r="P2537" t="n">
        <v>0</v>
      </c>
      <c r="Q2537" t="n">
        <v>0</v>
      </c>
      <c r="R2537" s="2" t="inlineStr"/>
    </row>
    <row r="2538" ht="15" customHeight="1">
      <c r="A2538" t="inlineStr">
        <is>
          <t>A 60245-2022</t>
        </is>
      </c>
      <c r="B2538" s="1" t="n">
        <v>44910</v>
      </c>
      <c r="C2538" s="1" t="n">
        <v>45358</v>
      </c>
      <c r="D2538" t="inlineStr">
        <is>
          <t>HALLANDS LÄN</t>
        </is>
      </c>
      <c r="E2538" t="inlineStr">
        <is>
          <t>FALKENBERG</t>
        </is>
      </c>
      <c r="G2538" t="n">
        <v>1.8</v>
      </c>
      <c r="H2538" t="n">
        <v>0</v>
      </c>
      <c r="I2538" t="n">
        <v>0</v>
      </c>
      <c r="J2538" t="n">
        <v>0</v>
      </c>
      <c r="K2538" t="n">
        <v>0</v>
      </c>
      <c r="L2538" t="n">
        <v>0</v>
      </c>
      <c r="M2538" t="n">
        <v>0</v>
      </c>
      <c r="N2538" t="n">
        <v>0</v>
      </c>
      <c r="O2538" t="n">
        <v>0</v>
      </c>
      <c r="P2538" t="n">
        <v>0</v>
      </c>
      <c r="Q2538" t="n">
        <v>0</v>
      </c>
      <c r="R2538" s="2" t="inlineStr"/>
    </row>
    <row r="2539" ht="15" customHeight="1">
      <c r="A2539" t="inlineStr">
        <is>
          <t>A 60264-2022</t>
        </is>
      </c>
      <c r="B2539" s="1" t="n">
        <v>44910</v>
      </c>
      <c r="C2539" s="1" t="n">
        <v>45358</v>
      </c>
      <c r="D2539" t="inlineStr">
        <is>
          <t>HALLANDS LÄN</t>
        </is>
      </c>
      <c r="E2539" t="inlineStr">
        <is>
          <t>FALKENBERG</t>
        </is>
      </c>
      <c r="G2539" t="n">
        <v>1.5</v>
      </c>
      <c r="H2539" t="n">
        <v>0</v>
      </c>
      <c r="I2539" t="n">
        <v>0</v>
      </c>
      <c r="J2539" t="n">
        <v>0</v>
      </c>
      <c r="K2539" t="n">
        <v>0</v>
      </c>
      <c r="L2539" t="n">
        <v>0</v>
      </c>
      <c r="M2539" t="n">
        <v>0</v>
      </c>
      <c r="N2539" t="n">
        <v>0</v>
      </c>
      <c r="O2539" t="n">
        <v>0</v>
      </c>
      <c r="P2539" t="n">
        <v>0</v>
      </c>
      <c r="Q2539" t="n">
        <v>0</v>
      </c>
      <c r="R2539" s="2" t="inlineStr"/>
    </row>
    <row r="2540" ht="15" customHeight="1">
      <c r="A2540" t="inlineStr">
        <is>
          <t>A 60323-2022</t>
        </is>
      </c>
      <c r="B2540" s="1" t="n">
        <v>44910</v>
      </c>
      <c r="C2540" s="1" t="n">
        <v>45358</v>
      </c>
      <c r="D2540" t="inlineStr">
        <is>
          <t>HALLANDS LÄN</t>
        </is>
      </c>
      <c r="E2540" t="inlineStr">
        <is>
          <t>HALMSTAD</t>
        </is>
      </c>
      <c r="G2540" t="n">
        <v>1.3</v>
      </c>
      <c r="H2540" t="n">
        <v>0</v>
      </c>
      <c r="I2540" t="n">
        <v>0</v>
      </c>
      <c r="J2540" t="n">
        <v>0</v>
      </c>
      <c r="K2540" t="n">
        <v>0</v>
      </c>
      <c r="L2540" t="n">
        <v>0</v>
      </c>
      <c r="M2540" t="n">
        <v>0</v>
      </c>
      <c r="N2540" t="n">
        <v>0</v>
      </c>
      <c r="O2540" t="n">
        <v>0</v>
      </c>
      <c r="P2540" t="n">
        <v>0</v>
      </c>
      <c r="Q2540" t="n">
        <v>0</v>
      </c>
      <c r="R2540" s="2" t="inlineStr"/>
    </row>
    <row r="2541" ht="15" customHeight="1">
      <c r="A2541" t="inlineStr">
        <is>
          <t>A 60328-2022</t>
        </is>
      </c>
      <c r="B2541" s="1" t="n">
        <v>44910</v>
      </c>
      <c r="C2541" s="1" t="n">
        <v>45358</v>
      </c>
      <c r="D2541" t="inlineStr">
        <is>
          <t>HALLANDS LÄN</t>
        </is>
      </c>
      <c r="E2541" t="inlineStr">
        <is>
          <t>HYLTE</t>
        </is>
      </c>
      <c r="G2541" t="n">
        <v>2.5</v>
      </c>
      <c r="H2541" t="n">
        <v>0</v>
      </c>
      <c r="I2541" t="n">
        <v>0</v>
      </c>
      <c r="J2541" t="n">
        <v>0</v>
      </c>
      <c r="K2541" t="n">
        <v>0</v>
      </c>
      <c r="L2541" t="n">
        <v>0</v>
      </c>
      <c r="M2541" t="n">
        <v>0</v>
      </c>
      <c r="N2541" t="n">
        <v>0</v>
      </c>
      <c r="O2541" t="n">
        <v>0</v>
      </c>
      <c r="P2541" t="n">
        <v>0</v>
      </c>
      <c r="Q2541" t="n">
        <v>0</v>
      </c>
      <c r="R2541" s="2" t="inlineStr"/>
    </row>
    <row r="2542" ht="15" customHeight="1">
      <c r="A2542" t="inlineStr">
        <is>
          <t>A 60877-2022</t>
        </is>
      </c>
      <c r="B2542" s="1" t="n">
        <v>44914</v>
      </c>
      <c r="C2542" s="1" t="n">
        <v>45358</v>
      </c>
      <c r="D2542" t="inlineStr">
        <is>
          <t>HALLANDS LÄN</t>
        </is>
      </c>
      <c r="E2542" t="inlineStr">
        <is>
          <t>HYLTE</t>
        </is>
      </c>
      <c r="G2542" t="n">
        <v>3.4</v>
      </c>
      <c r="H2542" t="n">
        <v>0</v>
      </c>
      <c r="I2542" t="n">
        <v>0</v>
      </c>
      <c r="J2542" t="n">
        <v>0</v>
      </c>
      <c r="K2542" t="n">
        <v>0</v>
      </c>
      <c r="L2542" t="n">
        <v>0</v>
      </c>
      <c r="M2542" t="n">
        <v>0</v>
      </c>
      <c r="N2542" t="n">
        <v>0</v>
      </c>
      <c r="O2542" t="n">
        <v>0</v>
      </c>
      <c r="P2542" t="n">
        <v>0</v>
      </c>
      <c r="Q2542" t="n">
        <v>0</v>
      </c>
      <c r="R2542" s="2" t="inlineStr"/>
    </row>
    <row r="2543" ht="15" customHeight="1">
      <c r="A2543" t="inlineStr">
        <is>
          <t>A 61078-2022</t>
        </is>
      </c>
      <c r="B2543" s="1" t="n">
        <v>44915</v>
      </c>
      <c r="C2543" s="1" t="n">
        <v>45358</v>
      </c>
      <c r="D2543" t="inlineStr">
        <is>
          <t>HALLANDS LÄN</t>
        </is>
      </c>
      <c r="E2543" t="inlineStr">
        <is>
          <t>VARBERG</t>
        </is>
      </c>
      <c r="G2543" t="n">
        <v>3.4</v>
      </c>
      <c r="H2543" t="n">
        <v>0</v>
      </c>
      <c r="I2543" t="n">
        <v>0</v>
      </c>
      <c r="J2543" t="n">
        <v>0</v>
      </c>
      <c r="K2543" t="n">
        <v>0</v>
      </c>
      <c r="L2543" t="n">
        <v>0</v>
      </c>
      <c r="M2543" t="n">
        <v>0</v>
      </c>
      <c r="N2543" t="n">
        <v>0</v>
      </c>
      <c r="O2543" t="n">
        <v>0</v>
      </c>
      <c r="P2543" t="n">
        <v>0</v>
      </c>
      <c r="Q2543" t="n">
        <v>0</v>
      </c>
      <c r="R2543" s="2" t="inlineStr"/>
    </row>
    <row r="2544" ht="15" customHeight="1">
      <c r="A2544" t="inlineStr">
        <is>
          <t>A 61546-2022</t>
        </is>
      </c>
      <c r="B2544" s="1" t="n">
        <v>44916</v>
      </c>
      <c r="C2544" s="1" t="n">
        <v>45358</v>
      </c>
      <c r="D2544" t="inlineStr">
        <is>
          <t>HALLANDS LÄN</t>
        </is>
      </c>
      <c r="E2544" t="inlineStr">
        <is>
          <t>FALKENBERG</t>
        </is>
      </c>
      <c r="G2544" t="n">
        <v>3.7</v>
      </c>
      <c r="H2544" t="n">
        <v>0</v>
      </c>
      <c r="I2544" t="n">
        <v>0</v>
      </c>
      <c r="J2544" t="n">
        <v>0</v>
      </c>
      <c r="K2544" t="n">
        <v>0</v>
      </c>
      <c r="L2544" t="n">
        <v>0</v>
      </c>
      <c r="M2544" t="n">
        <v>0</v>
      </c>
      <c r="N2544" t="n">
        <v>0</v>
      </c>
      <c r="O2544" t="n">
        <v>0</v>
      </c>
      <c r="P2544" t="n">
        <v>0</v>
      </c>
      <c r="Q2544" t="n">
        <v>0</v>
      </c>
      <c r="R2544" s="2" t="inlineStr"/>
    </row>
    <row r="2545" ht="15" customHeight="1">
      <c r="A2545" t="inlineStr">
        <is>
          <t>A 61775-2022</t>
        </is>
      </c>
      <c r="B2545" s="1" t="n">
        <v>44917</v>
      </c>
      <c r="C2545" s="1" t="n">
        <v>45358</v>
      </c>
      <c r="D2545" t="inlineStr">
        <is>
          <t>HALLANDS LÄN</t>
        </is>
      </c>
      <c r="E2545" t="inlineStr">
        <is>
          <t>HALMSTAD</t>
        </is>
      </c>
      <c r="G2545" t="n">
        <v>2</v>
      </c>
      <c r="H2545" t="n">
        <v>0</v>
      </c>
      <c r="I2545" t="n">
        <v>0</v>
      </c>
      <c r="J2545" t="n">
        <v>0</v>
      </c>
      <c r="K2545" t="n">
        <v>0</v>
      </c>
      <c r="L2545" t="n">
        <v>0</v>
      </c>
      <c r="M2545" t="n">
        <v>0</v>
      </c>
      <c r="N2545" t="n">
        <v>0</v>
      </c>
      <c r="O2545" t="n">
        <v>0</v>
      </c>
      <c r="P2545" t="n">
        <v>0</v>
      </c>
      <c r="Q2545" t="n">
        <v>0</v>
      </c>
      <c r="R2545" s="2" t="inlineStr"/>
    </row>
    <row r="2546" ht="15" customHeight="1">
      <c r="A2546" t="inlineStr">
        <is>
          <t>A 61779-2022</t>
        </is>
      </c>
      <c r="B2546" s="1" t="n">
        <v>44917</v>
      </c>
      <c r="C2546" s="1" t="n">
        <v>45358</v>
      </c>
      <c r="D2546" t="inlineStr">
        <is>
          <t>HALLANDS LÄN</t>
        </is>
      </c>
      <c r="E2546" t="inlineStr">
        <is>
          <t>HALMSTAD</t>
        </is>
      </c>
      <c r="G2546" t="n">
        <v>2</v>
      </c>
      <c r="H2546" t="n">
        <v>0</v>
      </c>
      <c r="I2546" t="n">
        <v>0</v>
      </c>
      <c r="J2546" t="n">
        <v>0</v>
      </c>
      <c r="K2546" t="n">
        <v>0</v>
      </c>
      <c r="L2546" t="n">
        <v>0</v>
      </c>
      <c r="M2546" t="n">
        <v>0</v>
      </c>
      <c r="N2546" t="n">
        <v>0</v>
      </c>
      <c r="O2546" t="n">
        <v>0</v>
      </c>
      <c r="P2546" t="n">
        <v>0</v>
      </c>
      <c r="Q2546" t="n">
        <v>0</v>
      </c>
      <c r="R2546" s="2" t="inlineStr"/>
    </row>
    <row r="2547" ht="15" customHeight="1">
      <c r="A2547" t="inlineStr">
        <is>
          <t>A 61783-2022</t>
        </is>
      </c>
      <c r="B2547" s="1" t="n">
        <v>44917</v>
      </c>
      <c r="C2547" s="1" t="n">
        <v>45358</v>
      </c>
      <c r="D2547" t="inlineStr">
        <is>
          <t>HALLANDS LÄN</t>
        </is>
      </c>
      <c r="E2547" t="inlineStr">
        <is>
          <t>HALMSTAD</t>
        </is>
      </c>
      <c r="G2547" t="n">
        <v>1.3</v>
      </c>
      <c r="H2547" t="n">
        <v>0</v>
      </c>
      <c r="I2547" t="n">
        <v>0</v>
      </c>
      <c r="J2547" t="n">
        <v>0</v>
      </c>
      <c r="K2547" t="n">
        <v>0</v>
      </c>
      <c r="L2547" t="n">
        <v>0</v>
      </c>
      <c r="M2547" t="n">
        <v>0</v>
      </c>
      <c r="N2547" t="n">
        <v>0</v>
      </c>
      <c r="O2547" t="n">
        <v>0</v>
      </c>
      <c r="P2547" t="n">
        <v>0</v>
      </c>
      <c r="Q2547" t="n">
        <v>0</v>
      </c>
      <c r="R2547" s="2" t="inlineStr"/>
    </row>
    <row r="2548" ht="15" customHeight="1">
      <c r="A2548" t="inlineStr">
        <is>
          <t>A 61843-2022</t>
        </is>
      </c>
      <c r="B2548" s="1" t="n">
        <v>44917</v>
      </c>
      <c r="C2548" s="1" t="n">
        <v>45358</v>
      </c>
      <c r="D2548" t="inlineStr">
        <is>
          <t>HALLANDS LÄN</t>
        </is>
      </c>
      <c r="E2548" t="inlineStr">
        <is>
          <t>HYLTE</t>
        </is>
      </c>
      <c r="G2548" t="n">
        <v>1.6</v>
      </c>
      <c r="H2548" t="n">
        <v>0</v>
      </c>
      <c r="I2548" t="n">
        <v>0</v>
      </c>
      <c r="J2548" t="n">
        <v>0</v>
      </c>
      <c r="K2548" t="n">
        <v>0</v>
      </c>
      <c r="L2548" t="n">
        <v>0</v>
      </c>
      <c r="M2548" t="n">
        <v>0</v>
      </c>
      <c r="N2548" t="n">
        <v>0</v>
      </c>
      <c r="O2548" t="n">
        <v>0</v>
      </c>
      <c r="P2548" t="n">
        <v>0</v>
      </c>
      <c r="Q2548" t="n">
        <v>0</v>
      </c>
      <c r="R2548" s="2" t="inlineStr"/>
    </row>
    <row r="2549" ht="15" customHeight="1">
      <c r="A2549" t="inlineStr">
        <is>
          <t>A 61776-2022</t>
        </is>
      </c>
      <c r="B2549" s="1" t="n">
        <v>44917</v>
      </c>
      <c r="C2549" s="1" t="n">
        <v>45358</v>
      </c>
      <c r="D2549" t="inlineStr">
        <is>
          <t>HALLANDS LÄN</t>
        </is>
      </c>
      <c r="E2549" t="inlineStr">
        <is>
          <t>HALMSTAD</t>
        </is>
      </c>
      <c r="G2549" t="n">
        <v>2.2</v>
      </c>
      <c r="H2549" t="n">
        <v>0</v>
      </c>
      <c r="I2549" t="n">
        <v>0</v>
      </c>
      <c r="J2549" t="n">
        <v>0</v>
      </c>
      <c r="K2549" t="n">
        <v>0</v>
      </c>
      <c r="L2549" t="n">
        <v>0</v>
      </c>
      <c r="M2549" t="n">
        <v>0</v>
      </c>
      <c r="N2549" t="n">
        <v>0</v>
      </c>
      <c r="O2549" t="n">
        <v>0</v>
      </c>
      <c r="P2549" t="n">
        <v>0</v>
      </c>
      <c r="Q2549" t="n">
        <v>0</v>
      </c>
      <c r="R2549" s="2" t="inlineStr"/>
    </row>
    <row r="2550" ht="15" customHeight="1">
      <c r="A2550" t="inlineStr">
        <is>
          <t>A 61797-2022</t>
        </is>
      </c>
      <c r="B2550" s="1" t="n">
        <v>44917</v>
      </c>
      <c r="C2550" s="1" t="n">
        <v>45358</v>
      </c>
      <c r="D2550" t="inlineStr">
        <is>
          <t>HALLANDS LÄN</t>
        </is>
      </c>
      <c r="E2550" t="inlineStr">
        <is>
          <t>FALKENBERG</t>
        </is>
      </c>
      <c r="G2550" t="n">
        <v>2.9</v>
      </c>
      <c r="H2550" t="n">
        <v>0</v>
      </c>
      <c r="I2550" t="n">
        <v>0</v>
      </c>
      <c r="J2550" t="n">
        <v>0</v>
      </c>
      <c r="K2550" t="n">
        <v>0</v>
      </c>
      <c r="L2550" t="n">
        <v>0</v>
      </c>
      <c r="M2550" t="n">
        <v>0</v>
      </c>
      <c r="N2550" t="n">
        <v>0</v>
      </c>
      <c r="O2550" t="n">
        <v>0</v>
      </c>
      <c r="P2550" t="n">
        <v>0</v>
      </c>
      <c r="Q2550" t="n">
        <v>0</v>
      </c>
      <c r="R2550" s="2" t="inlineStr"/>
    </row>
    <row r="2551" ht="15" customHeight="1">
      <c r="A2551" t="inlineStr">
        <is>
          <t>A 61757-2022</t>
        </is>
      </c>
      <c r="B2551" s="1" t="n">
        <v>44917</v>
      </c>
      <c r="C2551" s="1" t="n">
        <v>45358</v>
      </c>
      <c r="D2551" t="inlineStr">
        <is>
          <t>HALLANDS LÄN</t>
        </is>
      </c>
      <c r="E2551" t="inlineStr">
        <is>
          <t>HALMSTAD</t>
        </is>
      </c>
      <c r="G2551" t="n">
        <v>0.4</v>
      </c>
      <c r="H2551" t="n">
        <v>0</v>
      </c>
      <c r="I2551" t="n">
        <v>0</v>
      </c>
      <c r="J2551" t="n">
        <v>0</v>
      </c>
      <c r="K2551" t="n">
        <v>0</v>
      </c>
      <c r="L2551" t="n">
        <v>0</v>
      </c>
      <c r="M2551" t="n">
        <v>0</v>
      </c>
      <c r="N2551" t="n">
        <v>0</v>
      </c>
      <c r="O2551" t="n">
        <v>0</v>
      </c>
      <c r="P2551" t="n">
        <v>0</v>
      </c>
      <c r="Q2551" t="n">
        <v>0</v>
      </c>
      <c r="R2551" s="2" t="inlineStr"/>
    </row>
    <row r="2552" ht="15" customHeight="1">
      <c r="A2552" t="inlineStr">
        <is>
          <t>A 61778-2022</t>
        </is>
      </c>
      <c r="B2552" s="1" t="n">
        <v>44917</v>
      </c>
      <c r="C2552" s="1" t="n">
        <v>45358</v>
      </c>
      <c r="D2552" t="inlineStr">
        <is>
          <t>HALLANDS LÄN</t>
        </is>
      </c>
      <c r="E2552" t="inlineStr">
        <is>
          <t>HALMSTAD</t>
        </is>
      </c>
      <c r="G2552" t="n">
        <v>0.6</v>
      </c>
      <c r="H2552" t="n">
        <v>0</v>
      </c>
      <c r="I2552" t="n">
        <v>0</v>
      </c>
      <c r="J2552" t="n">
        <v>0</v>
      </c>
      <c r="K2552" t="n">
        <v>0</v>
      </c>
      <c r="L2552" t="n">
        <v>0</v>
      </c>
      <c r="M2552" t="n">
        <v>0</v>
      </c>
      <c r="N2552" t="n">
        <v>0</v>
      </c>
      <c r="O2552" t="n">
        <v>0</v>
      </c>
      <c r="P2552" t="n">
        <v>0</v>
      </c>
      <c r="Q2552" t="n">
        <v>0</v>
      </c>
      <c r="R2552" s="2" t="inlineStr"/>
    </row>
    <row r="2553" ht="15" customHeight="1">
      <c r="A2553" t="inlineStr">
        <is>
          <t>A 61781-2022</t>
        </is>
      </c>
      <c r="B2553" s="1" t="n">
        <v>44917</v>
      </c>
      <c r="C2553" s="1" t="n">
        <v>45358</v>
      </c>
      <c r="D2553" t="inlineStr">
        <is>
          <t>HALLANDS LÄN</t>
        </is>
      </c>
      <c r="E2553" t="inlineStr">
        <is>
          <t>HALMSTAD</t>
        </is>
      </c>
      <c r="G2553" t="n">
        <v>1.1</v>
      </c>
      <c r="H2553" t="n">
        <v>0</v>
      </c>
      <c r="I2553" t="n">
        <v>0</v>
      </c>
      <c r="J2553" t="n">
        <v>0</v>
      </c>
      <c r="K2553" t="n">
        <v>0</v>
      </c>
      <c r="L2553" t="n">
        <v>0</v>
      </c>
      <c r="M2553" t="n">
        <v>0</v>
      </c>
      <c r="N2553" t="n">
        <v>0</v>
      </c>
      <c r="O2553" t="n">
        <v>0</v>
      </c>
      <c r="P2553" t="n">
        <v>0</v>
      </c>
      <c r="Q2553" t="n">
        <v>0</v>
      </c>
      <c r="R2553" s="2" t="inlineStr"/>
    </row>
    <row r="2554" ht="15" customHeight="1">
      <c r="A2554" t="inlineStr">
        <is>
          <t>A 61966-2022</t>
        </is>
      </c>
      <c r="B2554" s="1" t="n">
        <v>44918</v>
      </c>
      <c r="C2554" s="1" t="n">
        <v>45358</v>
      </c>
      <c r="D2554" t="inlineStr">
        <is>
          <t>HALLANDS LÄN</t>
        </is>
      </c>
      <c r="E2554" t="inlineStr">
        <is>
          <t>VARBERG</t>
        </is>
      </c>
      <c r="G2554" t="n">
        <v>0.7</v>
      </c>
      <c r="H2554" t="n">
        <v>0</v>
      </c>
      <c r="I2554" t="n">
        <v>0</v>
      </c>
      <c r="J2554" t="n">
        <v>0</v>
      </c>
      <c r="K2554" t="n">
        <v>0</v>
      </c>
      <c r="L2554" t="n">
        <v>0</v>
      </c>
      <c r="M2554" t="n">
        <v>0</v>
      </c>
      <c r="N2554" t="n">
        <v>0</v>
      </c>
      <c r="O2554" t="n">
        <v>0</v>
      </c>
      <c r="P2554" t="n">
        <v>0</v>
      </c>
      <c r="Q2554" t="n">
        <v>0</v>
      </c>
      <c r="R2554" s="2" t="inlineStr"/>
    </row>
    <row r="2555" ht="15" customHeight="1">
      <c r="A2555" t="inlineStr">
        <is>
          <t>A 62189-2022</t>
        </is>
      </c>
      <c r="B2555" s="1" t="n">
        <v>44922</v>
      </c>
      <c r="C2555" s="1" t="n">
        <v>45358</v>
      </c>
      <c r="D2555" t="inlineStr">
        <is>
          <t>HALLANDS LÄN</t>
        </is>
      </c>
      <c r="E2555" t="inlineStr">
        <is>
          <t>HALMSTAD</t>
        </is>
      </c>
      <c r="G2555" t="n">
        <v>1.2</v>
      </c>
      <c r="H2555" t="n">
        <v>0</v>
      </c>
      <c r="I2555" t="n">
        <v>0</v>
      </c>
      <c r="J2555" t="n">
        <v>0</v>
      </c>
      <c r="K2555" t="n">
        <v>0</v>
      </c>
      <c r="L2555" t="n">
        <v>0</v>
      </c>
      <c r="M2555" t="n">
        <v>0</v>
      </c>
      <c r="N2555" t="n">
        <v>0</v>
      </c>
      <c r="O2555" t="n">
        <v>0</v>
      </c>
      <c r="P2555" t="n">
        <v>0</v>
      </c>
      <c r="Q2555" t="n">
        <v>0</v>
      </c>
      <c r="R2555" s="2" t="inlineStr"/>
    </row>
    <row r="2556" ht="15" customHeight="1">
      <c r="A2556" t="inlineStr">
        <is>
          <t>A 62134-2022</t>
        </is>
      </c>
      <c r="B2556" s="1" t="n">
        <v>44922</v>
      </c>
      <c r="C2556" s="1" t="n">
        <v>45358</v>
      </c>
      <c r="D2556" t="inlineStr">
        <is>
          <t>HALLANDS LÄN</t>
        </is>
      </c>
      <c r="E2556" t="inlineStr">
        <is>
          <t>LAHOLM</t>
        </is>
      </c>
      <c r="G2556" t="n">
        <v>0.5</v>
      </c>
      <c r="H2556" t="n">
        <v>0</v>
      </c>
      <c r="I2556" t="n">
        <v>0</v>
      </c>
      <c r="J2556" t="n">
        <v>0</v>
      </c>
      <c r="K2556" t="n">
        <v>0</v>
      </c>
      <c r="L2556" t="n">
        <v>0</v>
      </c>
      <c r="M2556" t="n">
        <v>0</v>
      </c>
      <c r="N2556" t="n">
        <v>0</v>
      </c>
      <c r="O2556" t="n">
        <v>0</v>
      </c>
      <c r="P2556" t="n">
        <v>0</v>
      </c>
      <c r="Q2556" t="n">
        <v>0</v>
      </c>
      <c r="R2556" s="2" t="inlineStr"/>
    </row>
    <row r="2557" ht="15" customHeight="1">
      <c r="A2557" t="inlineStr">
        <is>
          <t>A 62190-2022</t>
        </is>
      </c>
      <c r="B2557" s="1" t="n">
        <v>44922</v>
      </c>
      <c r="C2557" s="1" t="n">
        <v>45358</v>
      </c>
      <c r="D2557" t="inlineStr">
        <is>
          <t>HALLANDS LÄN</t>
        </is>
      </c>
      <c r="E2557" t="inlineStr">
        <is>
          <t>HALMSTAD</t>
        </is>
      </c>
      <c r="G2557" t="n">
        <v>0.8</v>
      </c>
      <c r="H2557" t="n">
        <v>0</v>
      </c>
      <c r="I2557" t="n">
        <v>0</v>
      </c>
      <c r="J2557" t="n">
        <v>0</v>
      </c>
      <c r="K2557" t="n">
        <v>0</v>
      </c>
      <c r="L2557" t="n">
        <v>0</v>
      </c>
      <c r="M2557" t="n">
        <v>0</v>
      </c>
      <c r="N2557" t="n">
        <v>0</v>
      </c>
      <c r="O2557" t="n">
        <v>0</v>
      </c>
      <c r="P2557" t="n">
        <v>0</v>
      </c>
      <c r="Q2557" t="n">
        <v>0</v>
      </c>
      <c r="R2557" s="2" t="inlineStr"/>
    </row>
    <row r="2558" ht="15" customHeight="1">
      <c r="A2558" t="inlineStr">
        <is>
          <t>A 62567-2022</t>
        </is>
      </c>
      <c r="B2558" s="1" t="n">
        <v>44924</v>
      </c>
      <c r="C2558" s="1" t="n">
        <v>45358</v>
      </c>
      <c r="D2558" t="inlineStr">
        <is>
          <t>HALLANDS LÄN</t>
        </is>
      </c>
      <c r="E2558" t="inlineStr">
        <is>
          <t>VARBERG</t>
        </is>
      </c>
      <c r="G2558" t="n">
        <v>0.8</v>
      </c>
      <c r="H2558" t="n">
        <v>0</v>
      </c>
      <c r="I2558" t="n">
        <v>0</v>
      </c>
      <c r="J2558" t="n">
        <v>0</v>
      </c>
      <c r="K2558" t="n">
        <v>0</v>
      </c>
      <c r="L2558" t="n">
        <v>0</v>
      </c>
      <c r="M2558" t="n">
        <v>0</v>
      </c>
      <c r="N2558" t="n">
        <v>0</v>
      </c>
      <c r="O2558" t="n">
        <v>0</v>
      </c>
      <c r="P2558" t="n">
        <v>0</v>
      </c>
      <c r="Q2558" t="n">
        <v>0</v>
      </c>
      <c r="R2558" s="2" t="inlineStr"/>
    </row>
    <row r="2559" ht="15" customHeight="1">
      <c r="A2559" t="inlineStr">
        <is>
          <t>A 62664-2022</t>
        </is>
      </c>
      <c r="B2559" s="1" t="n">
        <v>44925</v>
      </c>
      <c r="C2559" s="1" t="n">
        <v>45358</v>
      </c>
      <c r="D2559" t="inlineStr">
        <is>
          <t>HALLANDS LÄN</t>
        </is>
      </c>
      <c r="E2559" t="inlineStr">
        <is>
          <t>KUNGSBACKA</t>
        </is>
      </c>
      <c r="G2559" t="n">
        <v>1.5</v>
      </c>
      <c r="H2559" t="n">
        <v>0</v>
      </c>
      <c r="I2559" t="n">
        <v>0</v>
      </c>
      <c r="J2559" t="n">
        <v>0</v>
      </c>
      <c r="K2559" t="n">
        <v>0</v>
      </c>
      <c r="L2559" t="n">
        <v>0</v>
      </c>
      <c r="M2559" t="n">
        <v>0</v>
      </c>
      <c r="N2559" t="n">
        <v>0</v>
      </c>
      <c r="O2559" t="n">
        <v>0</v>
      </c>
      <c r="P2559" t="n">
        <v>0</v>
      </c>
      <c r="Q2559" t="n">
        <v>0</v>
      </c>
      <c r="R2559" s="2" t="inlineStr"/>
    </row>
    <row r="2560" ht="15" customHeight="1">
      <c r="A2560" t="inlineStr">
        <is>
          <t>A 62741-2022</t>
        </is>
      </c>
      <c r="B2560" s="1" t="n">
        <v>44925</v>
      </c>
      <c r="C2560" s="1" t="n">
        <v>45358</v>
      </c>
      <c r="D2560" t="inlineStr">
        <is>
          <t>HALLANDS LÄN</t>
        </is>
      </c>
      <c r="E2560" t="inlineStr">
        <is>
          <t>KUNGSBACKA</t>
        </is>
      </c>
      <c r="G2560" t="n">
        <v>0.2</v>
      </c>
      <c r="H2560" t="n">
        <v>0</v>
      </c>
      <c r="I2560" t="n">
        <v>0</v>
      </c>
      <c r="J2560" t="n">
        <v>0</v>
      </c>
      <c r="K2560" t="n">
        <v>0</v>
      </c>
      <c r="L2560" t="n">
        <v>0</v>
      </c>
      <c r="M2560" t="n">
        <v>0</v>
      </c>
      <c r="N2560" t="n">
        <v>0</v>
      </c>
      <c r="O2560" t="n">
        <v>0</v>
      </c>
      <c r="P2560" t="n">
        <v>0</v>
      </c>
      <c r="Q2560" t="n">
        <v>0</v>
      </c>
      <c r="R2560" s="2" t="inlineStr"/>
    </row>
    <row r="2561" ht="15" customHeight="1">
      <c r="A2561" t="inlineStr">
        <is>
          <t>A 62743-2022</t>
        </is>
      </c>
      <c r="B2561" s="1" t="n">
        <v>44925</v>
      </c>
      <c r="C2561" s="1" t="n">
        <v>45358</v>
      </c>
      <c r="D2561" t="inlineStr">
        <is>
          <t>HALLANDS LÄN</t>
        </is>
      </c>
      <c r="E2561" t="inlineStr">
        <is>
          <t>KUNGSBACKA</t>
        </is>
      </c>
      <c r="G2561" t="n">
        <v>0.4</v>
      </c>
      <c r="H2561" t="n">
        <v>0</v>
      </c>
      <c r="I2561" t="n">
        <v>0</v>
      </c>
      <c r="J2561" t="n">
        <v>0</v>
      </c>
      <c r="K2561" t="n">
        <v>0</v>
      </c>
      <c r="L2561" t="n">
        <v>0</v>
      </c>
      <c r="M2561" t="n">
        <v>0</v>
      </c>
      <c r="N2561" t="n">
        <v>0</v>
      </c>
      <c r="O2561" t="n">
        <v>0</v>
      </c>
      <c r="P2561" t="n">
        <v>0</v>
      </c>
      <c r="Q2561" t="n">
        <v>0</v>
      </c>
      <c r="R2561" s="2" t="inlineStr"/>
    </row>
    <row r="2562" ht="15" customHeight="1">
      <c r="A2562" t="inlineStr">
        <is>
          <t>A 62742-2022</t>
        </is>
      </c>
      <c r="B2562" s="1" t="n">
        <v>44925</v>
      </c>
      <c r="C2562" s="1" t="n">
        <v>45358</v>
      </c>
      <c r="D2562" t="inlineStr">
        <is>
          <t>HALLANDS LÄN</t>
        </is>
      </c>
      <c r="E2562" t="inlineStr">
        <is>
          <t>KUNGSBACKA</t>
        </is>
      </c>
      <c r="G2562" t="n">
        <v>0.4</v>
      </c>
      <c r="H2562" t="n">
        <v>0</v>
      </c>
      <c r="I2562" t="n">
        <v>0</v>
      </c>
      <c r="J2562" t="n">
        <v>0</v>
      </c>
      <c r="K2562" t="n">
        <v>0</v>
      </c>
      <c r="L2562" t="n">
        <v>0</v>
      </c>
      <c r="M2562" t="n">
        <v>0</v>
      </c>
      <c r="N2562" t="n">
        <v>0</v>
      </c>
      <c r="O2562" t="n">
        <v>0</v>
      </c>
      <c r="P2562" t="n">
        <v>0</v>
      </c>
      <c r="Q2562" t="n">
        <v>0</v>
      </c>
      <c r="R2562" s="2" t="inlineStr"/>
    </row>
    <row r="2563" ht="15" customHeight="1">
      <c r="A2563" t="inlineStr">
        <is>
          <t>A 62758-2022</t>
        </is>
      </c>
      <c r="B2563" s="1" t="n">
        <v>44926</v>
      </c>
      <c r="C2563" s="1" t="n">
        <v>45358</v>
      </c>
      <c r="D2563" t="inlineStr">
        <is>
          <t>HALLANDS LÄN</t>
        </is>
      </c>
      <c r="E2563" t="inlineStr">
        <is>
          <t>HYLTE</t>
        </is>
      </c>
      <c r="F2563" t="inlineStr">
        <is>
          <t>Kyrkan</t>
        </is>
      </c>
      <c r="G2563" t="n">
        <v>1.8</v>
      </c>
      <c r="H2563" t="n">
        <v>0</v>
      </c>
      <c r="I2563" t="n">
        <v>0</v>
      </c>
      <c r="J2563" t="n">
        <v>0</v>
      </c>
      <c r="K2563" t="n">
        <v>0</v>
      </c>
      <c r="L2563" t="n">
        <v>0</v>
      </c>
      <c r="M2563" t="n">
        <v>0</v>
      </c>
      <c r="N2563" t="n">
        <v>0</v>
      </c>
      <c r="O2563" t="n">
        <v>0</v>
      </c>
      <c r="P2563" t="n">
        <v>0</v>
      </c>
      <c r="Q2563" t="n">
        <v>0</v>
      </c>
      <c r="R2563" s="2" t="inlineStr"/>
    </row>
    <row r="2564" ht="15" customHeight="1">
      <c r="A2564" t="inlineStr">
        <is>
          <t>A 62757-2022</t>
        </is>
      </c>
      <c r="B2564" s="1" t="n">
        <v>44926</v>
      </c>
      <c r="C2564" s="1" t="n">
        <v>45358</v>
      </c>
      <c r="D2564" t="inlineStr">
        <is>
          <t>HALLANDS LÄN</t>
        </is>
      </c>
      <c r="E2564" t="inlineStr">
        <is>
          <t>HYLTE</t>
        </is>
      </c>
      <c r="F2564" t="inlineStr">
        <is>
          <t>Kyrkan</t>
        </is>
      </c>
      <c r="G2564" t="n">
        <v>3.4</v>
      </c>
      <c r="H2564" t="n">
        <v>0</v>
      </c>
      <c r="I2564" t="n">
        <v>0</v>
      </c>
      <c r="J2564" t="n">
        <v>0</v>
      </c>
      <c r="K2564" t="n">
        <v>0</v>
      </c>
      <c r="L2564" t="n">
        <v>0</v>
      </c>
      <c r="M2564" t="n">
        <v>0</v>
      </c>
      <c r="N2564" t="n">
        <v>0</v>
      </c>
      <c r="O2564" t="n">
        <v>0</v>
      </c>
      <c r="P2564" t="n">
        <v>0</v>
      </c>
      <c r="Q2564" t="n">
        <v>0</v>
      </c>
      <c r="R2564" s="2" t="inlineStr"/>
    </row>
    <row r="2565" ht="15" customHeight="1">
      <c r="A2565" t="inlineStr">
        <is>
          <t>A 62755-2022</t>
        </is>
      </c>
      <c r="B2565" s="1" t="n">
        <v>44926</v>
      </c>
      <c r="C2565" s="1" t="n">
        <v>45358</v>
      </c>
      <c r="D2565" t="inlineStr">
        <is>
          <t>HALLANDS LÄN</t>
        </is>
      </c>
      <c r="E2565" t="inlineStr">
        <is>
          <t>FALKENBERG</t>
        </is>
      </c>
      <c r="F2565" t="inlineStr">
        <is>
          <t>Kyrkan</t>
        </is>
      </c>
      <c r="G2565" t="n">
        <v>9.4</v>
      </c>
      <c r="H2565" t="n">
        <v>0</v>
      </c>
      <c r="I2565" t="n">
        <v>0</v>
      </c>
      <c r="J2565" t="n">
        <v>0</v>
      </c>
      <c r="K2565" t="n">
        <v>0</v>
      </c>
      <c r="L2565" t="n">
        <v>0</v>
      </c>
      <c r="M2565" t="n">
        <v>0</v>
      </c>
      <c r="N2565" t="n">
        <v>0</v>
      </c>
      <c r="O2565" t="n">
        <v>0</v>
      </c>
      <c r="P2565" t="n">
        <v>0</v>
      </c>
      <c r="Q2565" t="n">
        <v>0</v>
      </c>
      <c r="R2565" s="2" t="inlineStr"/>
    </row>
    <row r="2566" ht="15" customHeight="1">
      <c r="A2566" t="inlineStr">
        <is>
          <t>A 62764-2022</t>
        </is>
      </c>
      <c r="B2566" s="1" t="n">
        <v>44926</v>
      </c>
      <c r="C2566" s="1" t="n">
        <v>45358</v>
      </c>
      <c r="D2566" t="inlineStr">
        <is>
          <t>HALLANDS LÄN</t>
        </is>
      </c>
      <c r="E2566" t="inlineStr">
        <is>
          <t>VARBERG</t>
        </is>
      </c>
      <c r="G2566" t="n">
        <v>4.9</v>
      </c>
      <c r="H2566" t="n">
        <v>0</v>
      </c>
      <c r="I2566" t="n">
        <v>0</v>
      </c>
      <c r="J2566" t="n">
        <v>0</v>
      </c>
      <c r="K2566" t="n">
        <v>0</v>
      </c>
      <c r="L2566" t="n">
        <v>0</v>
      </c>
      <c r="M2566" t="n">
        <v>0</v>
      </c>
      <c r="N2566" t="n">
        <v>0</v>
      </c>
      <c r="O2566" t="n">
        <v>0</v>
      </c>
      <c r="P2566" t="n">
        <v>0</v>
      </c>
      <c r="Q2566" t="n">
        <v>0</v>
      </c>
      <c r="R2566" s="2" t="inlineStr"/>
    </row>
    <row r="2567" ht="15" customHeight="1">
      <c r="A2567" t="inlineStr">
        <is>
          <t>A 91-2023</t>
        </is>
      </c>
      <c r="B2567" s="1" t="n">
        <v>44928</v>
      </c>
      <c r="C2567" s="1" t="n">
        <v>45358</v>
      </c>
      <c r="D2567" t="inlineStr">
        <is>
          <t>HALLANDS LÄN</t>
        </is>
      </c>
      <c r="E2567" t="inlineStr">
        <is>
          <t>FALKENBERG</t>
        </is>
      </c>
      <c r="G2567" t="n">
        <v>7.2</v>
      </c>
      <c r="H2567" t="n">
        <v>0</v>
      </c>
      <c r="I2567" t="n">
        <v>0</v>
      </c>
      <c r="J2567" t="n">
        <v>0</v>
      </c>
      <c r="K2567" t="n">
        <v>0</v>
      </c>
      <c r="L2567" t="n">
        <v>0</v>
      </c>
      <c r="M2567" t="n">
        <v>0</v>
      </c>
      <c r="N2567" t="n">
        <v>0</v>
      </c>
      <c r="O2567" t="n">
        <v>0</v>
      </c>
      <c r="P2567" t="n">
        <v>0</v>
      </c>
      <c r="Q2567" t="n">
        <v>0</v>
      </c>
      <c r="R2567" s="2" t="inlineStr"/>
    </row>
    <row r="2568" ht="15" customHeight="1">
      <c r="A2568" t="inlineStr">
        <is>
          <t>A 263-2023</t>
        </is>
      </c>
      <c r="B2568" s="1" t="n">
        <v>44928</v>
      </c>
      <c r="C2568" s="1" t="n">
        <v>45358</v>
      </c>
      <c r="D2568" t="inlineStr">
        <is>
          <t>HALLANDS LÄN</t>
        </is>
      </c>
      <c r="E2568" t="inlineStr">
        <is>
          <t>LAHOLM</t>
        </is>
      </c>
      <c r="F2568" t="inlineStr">
        <is>
          <t>Kommuner</t>
        </is>
      </c>
      <c r="G2568" t="n">
        <v>12.2</v>
      </c>
      <c r="H2568" t="n">
        <v>0</v>
      </c>
      <c r="I2568" t="n">
        <v>0</v>
      </c>
      <c r="J2568" t="n">
        <v>0</v>
      </c>
      <c r="K2568" t="n">
        <v>0</v>
      </c>
      <c r="L2568" t="n">
        <v>0</v>
      </c>
      <c r="M2568" t="n">
        <v>0</v>
      </c>
      <c r="N2568" t="n">
        <v>0</v>
      </c>
      <c r="O2568" t="n">
        <v>0</v>
      </c>
      <c r="P2568" t="n">
        <v>0</v>
      </c>
      <c r="Q2568" t="n">
        <v>0</v>
      </c>
      <c r="R2568" s="2" t="inlineStr"/>
    </row>
    <row r="2569" ht="15" customHeight="1">
      <c r="A2569" t="inlineStr">
        <is>
          <t>A 264-2023</t>
        </is>
      </c>
      <c r="B2569" s="1" t="n">
        <v>44928</v>
      </c>
      <c r="C2569" s="1" t="n">
        <v>45358</v>
      </c>
      <c r="D2569" t="inlineStr">
        <is>
          <t>HALLANDS LÄN</t>
        </is>
      </c>
      <c r="E2569" t="inlineStr">
        <is>
          <t>LAHOLM</t>
        </is>
      </c>
      <c r="G2569" t="n">
        <v>6.5</v>
      </c>
      <c r="H2569" t="n">
        <v>0</v>
      </c>
      <c r="I2569" t="n">
        <v>0</v>
      </c>
      <c r="J2569" t="n">
        <v>0</v>
      </c>
      <c r="K2569" t="n">
        <v>0</v>
      </c>
      <c r="L2569" t="n">
        <v>0</v>
      </c>
      <c r="M2569" t="n">
        <v>0</v>
      </c>
      <c r="N2569" t="n">
        <v>0</v>
      </c>
      <c r="O2569" t="n">
        <v>0</v>
      </c>
      <c r="P2569" t="n">
        <v>0</v>
      </c>
      <c r="Q2569" t="n">
        <v>0</v>
      </c>
      <c r="R2569" s="2" t="inlineStr"/>
    </row>
    <row r="2570" ht="15" customHeight="1">
      <c r="A2570" t="inlineStr">
        <is>
          <t>A 358-2023</t>
        </is>
      </c>
      <c r="B2570" s="1" t="n">
        <v>44929</v>
      </c>
      <c r="C2570" s="1" t="n">
        <v>45358</v>
      </c>
      <c r="D2570" t="inlineStr">
        <is>
          <t>HALLANDS LÄN</t>
        </is>
      </c>
      <c r="E2570" t="inlineStr">
        <is>
          <t>LAHOLM</t>
        </is>
      </c>
      <c r="G2570" t="n">
        <v>1</v>
      </c>
      <c r="H2570" t="n">
        <v>0</v>
      </c>
      <c r="I2570" t="n">
        <v>0</v>
      </c>
      <c r="J2570" t="n">
        <v>0</v>
      </c>
      <c r="K2570" t="n">
        <v>0</v>
      </c>
      <c r="L2570" t="n">
        <v>0</v>
      </c>
      <c r="M2570" t="n">
        <v>0</v>
      </c>
      <c r="N2570" t="n">
        <v>0</v>
      </c>
      <c r="O2570" t="n">
        <v>0</v>
      </c>
      <c r="P2570" t="n">
        <v>0</v>
      </c>
      <c r="Q2570" t="n">
        <v>0</v>
      </c>
      <c r="R2570" s="2" t="inlineStr"/>
    </row>
    <row r="2571" ht="15" customHeight="1">
      <c r="A2571" t="inlineStr">
        <is>
          <t>A 620-2023</t>
        </is>
      </c>
      <c r="B2571" s="1" t="n">
        <v>44930</v>
      </c>
      <c r="C2571" s="1" t="n">
        <v>45358</v>
      </c>
      <c r="D2571" t="inlineStr">
        <is>
          <t>HALLANDS LÄN</t>
        </is>
      </c>
      <c r="E2571" t="inlineStr">
        <is>
          <t>LAHOLM</t>
        </is>
      </c>
      <c r="G2571" t="n">
        <v>1.4</v>
      </c>
      <c r="H2571" t="n">
        <v>0</v>
      </c>
      <c r="I2571" t="n">
        <v>0</v>
      </c>
      <c r="J2571" t="n">
        <v>0</v>
      </c>
      <c r="K2571" t="n">
        <v>0</v>
      </c>
      <c r="L2571" t="n">
        <v>0</v>
      </c>
      <c r="M2571" t="n">
        <v>0</v>
      </c>
      <c r="N2571" t="n">
        <v>0</v>
      </c>
      <c r="O2571" t="n">
        <v>0</v>
      </c>
      <c r="P2571" t="n">
        <v>0</v>
      </c>
      <c r="Q2571" t="n">
        <v>0</v>
      </c>
      <c r="R2571" s="2" t="inlineStr"/>
    </row>
    <row r="2572" ht="15" customHeight="1">
      <c r="A2572" t="inlineStr">
        <is>
          <t>A 744-2023</t>
        </is>
      </c>
      <c r="B2572" s="1" t="n">
        <v>44931</v>
      </c>
      <c r="C2572" s="1" t="n">
        <v>45358</v>
      </c>
      <c r="D2572" t="inlineStr">
        <is>
          <t>HALLANDS LÄN</t>
        </is>
      </c>
      <c r="E2572" t="inlineStr">
        <is>
          <t>HYLTE</t>
        </is>
      </c>
      <c r="G2572" t="n">
        <v>3</v>
      </c>
      <c r="H2572" t="n">
        <v>0</v>
      </c>
      <c r="I2572" t="n">
        <v>0</v>
      </c>
      <c r="J2572" t="n">
        <v>0</v>
      </c>
      <c r="K2572" t="n">
        <v>0</v>
      </c>
      <c r="L2572" t="n">
        <v>0</v>
      </c>
      <c r="M2572" t="n">
        <v>0</v>
      </c>
      <c r="N2572" t="n">
        <v>0</v>
      </c>
      <c r="O2572" t="n">
        <v>0</v>
      </c>
      <c r="P2572" t="n">
        <v>0</v>
      </c>
      <c r="Q2572" t="n">
        <v>0</v>
      </c>
      <c r="R2572" s="2" t="inlineStr"/>
    </row>
    <row r="2573" ht="15" customHeight="1">
      <c r="A2573" t="inlineStr">
        <is>
          <t>A 968-2023</t>
        </is>
      </c>
      <c r="B2573" s="1" t="n">
        <v>44935</v>
      </c>
      <c r="C2573" s="1" t="n">
        <v>45358</v>
      </c>
      <c r="D2573" t="inlineStr">
        <is>
          <t>HALLANDS LÄN</t>
        </is>
      </c>
      <c r="E2573" t="inlineStr">
        <is>
          <t>VARBERG</t>
        </is>
      </c>
      <c r="G2573" t="n">
        <v>1.8</v>
      </c>
      <c r="H2573" t="n">
        <v>0</v>
      </c>
      <c r="I2573" t="n">
        <v>0</v>
      </c>
      <c r="J2573" t="n">
        <v>0</v>
      </c>
      <c r="K2573" t="n">
        <v>0</v>
      </c>
      <c r="L2573" t="n">
        <v>0</v>
      </c>
      <c r="M2573" t="n">
        <v>0</v>
      </c>
      <c r="N2573" t="n">
        <v>0</v>
      </c>
      <c r="O2573" t="n">
        <v>0</v>
      </c>
      <c r="P2573" t="n">
        <v>0</v>
      </c>
      <c r="Q2573" t="n">
        <v>0</v>
      </c>
      <c r="R2573" s="2" t="inlineStr"/>
    </row>
    <row r="2574" ht="15" customHeight="1">
      <c r="A2574" t="inlineStr">
        <is>
          <t>A 967-2023</t>
        </is>
      </c>
      <c r="B2574" s="1" t="n">
        <v>44935</v>
      </c>
      <c r="C2574" s="1" t="n">
        <v>45358</v>
      </c>
      <c r="D2574" t="inlineStr">
        <is>
          <t>HALLANDS LÄN</t>
        </is>
      </c>
      <c r="E2574" t="inlineStr">
        <is>
          <t>VARBERG</t>
        </is>
      </c>
      <c r="G2574" t="n">
        <v>0.8</v>
      </c>
      <c r="H2574" t="n">
        <v>0</v>
      </c>
      <c r="I2574" t="n">
        <v>0</v>
      </c>
      <c r="J2574" t="n">
        <v>0</v>
      </c>
      <c r="K2574" t="n">
        <v>0</v>
      </c>
      <c r="L2574" t="n">
        <v>0</v>
      </c>
      <c r="M2574" t="n">
        <v>0</v>
      </c>
      <c r="N2574" t="n">
        <v>0</v>
      </c>
      <c r="O2574" t="n">
        <v>0</v>
      </c>
      <c r="P2574" t="n">
        <v>0</v>
      </c>
      <c r="Q2574" t="n">
        <v>0</v>
      </c>
      <c r="R2574" s="2" t="inlineStr"/>
    </row>
    <row r="2575" ht="15" customHeight="1">
      <c r="A2575" t="inlineStr">
        <is>
          <t>A 1765-2023</t>
        </is>
      </c>
      <c r="B2575" s="1" t="n">
        <v>44936</v>
      </c>
      <c r="C2575" s="1" t="n">
        <v>45358</v>
      </c>
      <c r="D2575" t="inlineStr">
        <is>
          <t>HALLANDS LÄN</t>
        </is>
      </c>
      <c r="E2575" t="inlineStr">
        <is>
          <t>KUNGSBACKA</t>
        </is>
      </c>
      <c r="G2575" t="n">
        <v>7.3</v>
      </c>
      <c r="H2575" t="n">
        <v>0</v>
      </c>
      <c r="I2575" t="n">
        <v>0</v>
      </c>
      <c r="J2575" t="n">
        <v>0</v>
      </c>
      <c r="K2575" t="n">
        <v>0</v>
      </c>
      <c r="L2575" t="n">
        <v>0</v>
      </c>
      <c r="M2575" t="n">
        <v>0</v>
      </c>
      <c r="N2575" t="n">
        <v>0</v>
      </c>
      <c r="O2575" t="n">
        <v>0</v>
      </c>
      <c r="P2575" t="n">
        <v>0</v>
      </c>
      <c r="Q2575" t="n">
        <v>0</v>
      </c>
      <c r="R2575" s="2" t="inlineStr"/>
    </row>
    <row r="2576" ht="15" customHeight="1">
      <c r="A2576" t="inlineStr">
        <is>
          <t>A 1660-2023</t>
        </is>
      </c>
      <c r="B2576" s="1" t="n">
        <v>44938</v>
      </c>
      <c r="C2576" s="1" t="n">
        <v>45358</v>
      </c>
      <c r="D2576" t="inlineStr">
        <is>
          <t>HALLANDS LÄN</t>
        </is>
      </c>
      <c r="E2576" t="inlineStr">
        <is>
          <t>LAHOLM</t>
        </is>
      </c>
      <c r="G2576" t="n">
        <v>2.8</v>
      </c>
      <c r="H2576" t="n">
        <v>0</v>
      </c>
      <c r="I2576" t="n">
        <v>0</v>
      </c>
      <c r="J2576" t="n">
        <v>0</v>
      </c>
      <c r="K2576" t="n">
        <v>0</v>
      </c>
      <c r="L2576" t="n">
        <v>0</v>
      </c>
      <c r="M2576" t="n">
        <v>0</v>
      </c>
      <c r="N2576" t="n">
        <v>0</v>
      </c>
      <c r="O2576" t="n">
        <v>0</v>
      </c>
      <c r="P2576" t="n">
        <v>0</v>
      </c>
      <c r="Q2576" t="n">
        <v>0</v>
      </c>
      <c r="R2576" s="2" t="inlineStr"/>
    </row>
    <row r="2577" ht="15" customHeight="1">
      <c r="A2577" t="inlineStr">
        <is>
          <t>A 1848-2023</t>
        </is>
      </c>
      <c r="B2577" s="1" t="n">
        <v>44938</v>
      </c>
      <c r="C2577" s="1" t="n">
        <v>45358</v>
      </c>
      <c r="D2577" t="inlineStr">
        <is>
          <t>HALLANDS LÄN</t>
        </is>
      </c>
      <c r="E2577" t="inlineStr">
        <is>
          <t>FALKENBERG</t>
        </is>
      </c>
      <c r="G2577" t="n">
        <v>0.5</v>
      </c>
      <c r="H2577" t="n">
        <v>0</v>
      </c>
      <c r="I2577" t="n">
        <v>0</v>
      </c>
      <c r="J2577" t="n">
        <v>0</v>
      </c>
      <c r="K2577" t="n">
        <v>0</v>
      </c>
      <c r="L2577" t="n">
        <v>0</v>
      </c>
      <c r="M2577" t="n">
        <v>0</v>
      </c>
      <c r="N2577" t="n">
        <v>0</v>
      </c>
      <c r="O2577" t="n">
        <v>0</v>
      </c>
      <c r="P2577" t="n">
        <v>0</v>
      </c>
      <c r="Q2577" t="n">
        <v>0</v>
      </c>
      <c r="R2577" s="2" t="inlineStr"/>
    </row>
    <row r="2578" ht="15" customHeight="1">
      <c r="A2578" t="inlineStr">
        <is>
          <t>A 1755-2023</t>
        </is>
      </c>
      <c r="B2578" s="1" t="n">
        <v>44938</v>
      </c>
      <c r="C2578" s="1" t="n">
        <v>45358</v>
      </c>
      <c r="D2578" t="inlineStr">
        <is>
          <t>HALLANDS LÄN</t>
        </is>
      </c>
      <c r="E2578" t="inlineStr">
        <is>
          <t>HALMSTAD</t>
        </is>
      </c>
      <c r="G2578" t="n">
        <v>0.9</v>
      </c>
      <c r="H2578" t="n">
        <v>0</v>
      </c>
      <c r="I2578" t="n">
        <v>0</v>
      </c>
      <c r="J2578" t="n">
        <v>0</v>
      </c>
      <c r="K2578" t="n">
        <v>0</v>
      </c>
      <c r="L2578" t="n">
        <v>0</v>
      </c>
      <c r="M2578" t="n">
        <v>0</v>
      </c>
      <c r="N2578" t="n">
        <v>0</v>
      </c>
      <c r="O2578" t="n">
        <v>0</v>
      </c>
      <c r="P2578" t="n">
        <v>0</v>
      </c>
      <c r="Q2578" t="n">
        <v>0</v>
      </c>
      <c r="R2578" s="2" t="inlineStr"/>
    </row>
    <row r="2579" ht="15" customHeight="1">
      <c r="A2579" t="inlineStr">
        <is>
          <t>A 1849-2023</t>
        </is>
      </c>
      <c r="B2579" s="1" t="n">
        <v>44938</v>
      </c>
      <c r="C2579" s="1" t="n">
        <v>45358</v>
      </c>
      <c r="D2579" t="inlineStr">
        <is>
          <t>HALLANDS LÄN</t>
        </is>
      </c>
      <c r="E2579" t="inlineStr">
        <is>
          <t>FALKENBERG</t>
        </is>
      </c>
      <c r="G2579" t="n">
        <v>0.1</v>
      </c>
      <c r="H2579" t="n">
        <v>0</v>
      </c>
      <c r="I2579" t="n">
        <v>0</v>
      </c>
      <c r="J2579" t="n">
        <v>0</v>
      </c>
      <c r="K2579" t="n">
        <v>0</v>
      </c>
      <c r="L2579" t="n">
        <v>0</v>
      </c>
      <c r="M2579" t="n">
        <v>0</v>
      </c>
      <c r="N2579" t="n">
        <v>0</v>
      </c>
      <c r="O2579" t="n">
        <v>0</v>
      </c>
      <c r="P2579" t="n">
        <v>0</v>
      </c>
      <c r="Q2579" t="n">
        <v>0</v>
      </c>
      <c r="R2579" s="2" t="inlineStr"/>
    </row>
    <row r="2580" ht="15" customHeight="1">
      <c r="A2580" t="inlineStr">
        <is>
          <t>A 1850-2023</t>
        </is>
      </c>
      <c r="B2580" s="1" t="n">
        <v>44938</v>
      </c>
      <c r="C2580" s="1" t="n">
        <v>45358</v>
      </c>
      <c r="D2580" t="inlineStr">
        <is>
          <t>HALLANDS LÄN</t>
        </is>
      </c>
      <c r="E2580" t="inlineStr">
        <is>
          <t>FALKENBERG</t>
        </is>
      </c>
      <c r="G2580" t="n">
        <v>0.8</v>
      </c>
      <c r="H2580" t="n">
        <v>0</v>
      </c>
      <c r="I2580" t="n">
        <v>0</v>
      </c>
      <c r="J2580" t="n">
        <v>0</v>
      </c>
      <c r="K2580" t="n">
        <v>0</v>
      </c>
      <c r="L2580" t="n">
        <v>0</v>
      </c>
      <c r="M2580" t="n">
        <v>0</v>
      </c>
      <c r="N2580" t="n">
        <v>0</v>
      </c>
      <c r="O2580" t="n">
        <v>0</v>
      </c>
      <c r="P2580" t="n">
        <v>0</v>
      </c>
      <c r="Q2580" t="n">
        <v>0</v>
      </c>
      <c r="R2580" s="2" t="inlineStr"/>
    </row>
    <row r="2581" ht="15" customHeight="1">
      <c r="A2581" t="inlineStr">
        <is>
          <t>A 2415-2023</t>
        </is>
      </c>
      <c r="B2581" s="1" t="n">
        <v>44942</v>
      </c>
      <c r="C2581" s="1" t="n">
        <v>45358</v>
      </c>
      <c r="D2581" t="inlineStr">
        <is>
          <t>HALLANDS LÄN</t>
        </is>
      </c>
      <c r="E2581" t="inlineStr">
        <is>
          <t>KUNGSBACKA</t>
        </is>
      </c>
      <c r="G2581" t="n">
        <v>19.2</v>
      </c>
      <c r="H2581" t="n">
        <v>0</v>
      </c>
      <c r="I2581" t="n">
        <v>0</v>
      </c>
      <c r="J2581" t="n">
        <v>0</v>
      </c>
      <c r="K2581" t="n">
        <v>0</v>
      </c>
      <c r="L2581" t="n">
        <v>0</v>
      </c>
      <c r="M2581" t="n">
        <v>0</v>
      </c>
      <c r="N2581" t="n">
        <v>0</v>
      </c>
      <c r="O2581" t="n">
        <v>0</v>
      </c>
      <c r="P2581" t="n">
        <v>0</v>
      </c>
      <c r="Q2581" t="n">
        <v>0</v>
      </c>
      <c r="R2581" s="2" t="inlineStr"/>
    </row>
    <row r="2582" ht="15" customHeight="1">
      <c r="A2582" t="inlineStr">
        <is>
          <t>A 2626-2023</t>
        </is>
      </c>
      <c r="B2582" s="1" t="n">
        <v>44942</v>
      </c>
      <c r="C2582" s="1" t="n">
        <v>45358</v>
      </c>
      <c r="D2582" t="inlineStr">
        <is>
          <t>HALLANDS LÄN</t>
        </is>
      </c>
      <c r="E2582" t="inlineStr">
        <is>
          <t>LAHOLM</t>
        </is>
      </c>
      <c r="G2582" t="n">
        <v>2.1</v>
      </c>
      <c r="H2582" t="n">
        <v>0</v>
      </c>
      <c r="I2582" t="n">
        <v>0</v>
      </c>
      <c r="J2582" t="n">
        <v>0</v>
      </c>
      <c r="K2582" t="n">
        <v>0</v>
      </c>
      <c r="L2582" t="n">
        <v>0</v>
      </c>
      <c r="M2582" t="n">
        <v>0</v>
      </c>
      <c r="N2582" t="n">
        <v>0</v>
      </c>
      <c r="O2582" t="n">
        <v>0</v>
      </c>
      <c r="P2582" t="n">
        <v>0</v>
      </c>
      <c r="Q2582" t="n">
        <v>0</v>
      </c>
      <c r="R2582" s="2" t="inlineStr"/>
    </row>
    <row r="2583" ht="15" customHeight="1">
      <c r="A2583" t="inlineStr">
        <is>
          <t>A 2416-2023</t>
        </is>
      </c>
      <c r="B2583" s="1" t="n">
        <v>44943</v>
      </c>
      <c r="C2583" s="1" t="n">
        <v>45358</v>
      </c>
      <c r="D2583" t="inlineStr">
        <is>
          <t>HALLANDS LÄN</t>
        </is>
      </c>
      <c r="E2583" t="inlineStr">
        <is>
          <t>VARBERG</t>
        </is>
      </c>
      <c r="G2583" t="n">
        <v>1.5</v>
      </c>
      <c r="H2583" t="n">
        <v>0</v>
      </c>
      <c r="I2583" t="n">
        <v>0</v>
      </c>
      <c r="J2583" t="n">
        <v>0</v>
      </c>
      <c r="K2583" t="n">
        <v>0</v>
      </c>
      <c r="L2583" t="n">
        <v>0</v>
      </c>
      <c r="M2583" t="n">
        <v>0</v>
      </c>
      <c r="N2583" t="n">
        <v>0</v>
      </c>
      <c r="O2583" t="n">
        <v>0</v>
      </c>
      <c r="P2583" t="n">
        <v>0</v>
      </c>
      <c r="Q2583" t="n">
        <v>0</v>
      </c>
      <c r="R2583" s="2" t="inlineStr"/>
    </row>
    <row r="2584" ht="15" customHeight="1">
      <c r="A2584" t="inlineStr">
        <is>
          <t>A 2552-2023</t>
        </is>
      </c>
      <c r="B2584" s="1" t="n">
        <v>44943</v>
      </c>
      <c r="C2584" s="1" t="n">
        <v>45358</v>
      </c>
      <c r="D2584" t="inlineStr">
        <is>
          <t>HALLANDS LÄN</t>
        </is>
      </c>
      <c r="E2584" t="inlineStr">
        <is>
          <t>LAHOLM</t>
        </is>
      </c>
      <c r="F2584" t="inlineStr">
        <is>
          <t>Kommuner</t>
        </is>
      </c>
      <c r="G2584" t="n">
        <v>5.5</v>
      </c>
      <c r="H2584" t="n">
        <v>0</v>
      </c>
      <c r="I2584" t="n">
        <v>0</v>
      </c>
      <c r="J2584" t="n">
        <v>0</v>
      </c>
      <c r="K2584" t="n">
        <v>0</v>
      </c>
      <c r="L2584" t="n">
        <v>0</v>
      </c>
      <c r="M2584" t="n">
        <v>0</v>
      </c>
      <c r="N2584" t="n">
        <v>0</v>
      </c>
      <c r="O2584" t="n">
        <v>0</v>
      </c>
      <c r="P2584" t="n">
        <v>0</v>
      </c>
      <c r="Q2584" t="n">
        <v>0</v>
      </c>
      <c r="R2584" s="2" t="inlineStr"/>
    </row>
    <row r="2585" ht="15" customHeight="1">
      <c r="A2585" t="inlineStr">
        <is>
          <t>A 2561-2023</t>
        </is>
      </c>
      <c r="B2585" s="1" t="n">
        <v>44943</v>
      </c>
      <c r="C2585" s="1" t="n">
        <v>45358</v>
      </c>
      <c r="D2585" t="inlineStr">
        <is>
          <t>HALLANDS LÄN</t>
        </is>
      </c>
      <c r="E2585" t="inlineStr">
        <is>
          <t>FALKENBERG</t>
        </is>
      </c>
      <c r="F2585" t="inlineStr">
        <is>
          <t>Bergvik skog väst AB</t>
        </is>
      </c>
      <c r="G2585" t="n">
        <v>6.1</v>
      </c>
      <c r="H2585" t="n">
        <v>0</v>
      </c>
      <c r="I2585" t="n">
        <v>0</v>
      </c>
      <c r="J2585" t="n">
        <v>0</v>
      </c>
      <c r="K2585" t="n">
        <v>0</v>
      </c>
      <c r="L2585" t="n">
        <v>0</v>
      </c>
      <c r="M2585" t="n">
        <v>0</v>
      </c>
      <c r="N2585" t="n">
        <v>0</v>
      </c>
      <c r="O2585" t="n">
        <v>0</v>
      </c>
      <c r="P2585" t="n">
        <v>0</v>
      </c>
      <c r="Q2585" t="n">
        <v>0</v>
      </c>
      <c r="R2585" s="2" t="inlineStr"/>
    </row>
    <row r="2586" ht="15" customHeight="1">
      <c r="A2586" t="inlineStr">
        <is>
          <t>A 2566-2023</t>
        </is>
      </c>
      <c r="B2586" s="1" t="n">
        <v>44943</v>
      </c>
      <c r="C2586" s="1" t="n">
        <v>45358</v>
      </c>
      <c r="D2586" t="inlineStr">
        <is>
          <t>HALLANDS LÄN</t>
        </is>
      </c>
      <c r="E2586" t="inlineStr">
        <is>
          <t>FALKENBERG</t>
        </is>
      </c>
      <c r="F2586" t="inlineStr">
        <is>
          <t>Bergvik skog väst AB</t>
        </is>
      </c>
      <c r="G2586" t="n">
        <v>1.1</v>
      </c>
      <c r="H2586" t="n">
        <v>0</v>
      </c>
      <c r="I2586" t="n">
        <v>0</v>
      </c>
      <c r="J2586" t="n">
        <v>0</v>
      </c>
      <c r="K2586" t="n">
        <v>0</v>
      </c>
      <c r="L2586" t="n">
        <v>0</v>
      </c>
      <c r="M2586" t="n">
        <v>0</v>
      </c>
      <c r="N2586" t="n">
        <v>0</v>
      </c>
      <c r="O2586" t="n">
        <v>0</v>
      </c>
      <c r="P2586" t="n">
        <v>0</v>
      </c>
      <c r="Q2586" t="n">
        <v>0</v>
      </c>
      <c r="R2586" s="2" t="inlineStr"/>
    </row>
    <row r="2587" ht="15" customHeight="1">
      <c r="A2587" t="inlineStr">
        <is>
          <t>A 2565-2023</t>
        </is>
      </c>
      <c r="B2587" s="1" t="n">
        <v>44943</v>
      </c>
      <c r="C2587" s="1" t="n">
        <v>45358</v>
      </c>
      <c r="D2587" t="inlineStr">
        <is>
          <t>HALLANDS LÄN</t>
        </is>
      </c>
      <c r="E2587" t="inlineStr">
        <is>
          <t>FALKENBERG</t>
        </is>
      </c>
      <c r="F2587" t="inlineStr">
        <is>
          <t>Bergvik skog väst AB</t>
        </is>
      </c>
      <c r="G2587" t="n">
        <v>0.9</v>
      </c>
      <c r="H2587" t="n">
        <v>0</v>
      </c>
      <c r="I2587" t="n">
        <v>0</v>
      </c>
      <c r="J2587" t="n">
        <v>0</v>
      </c>
      <c r="K2587" t="n">
        <v>0</v>
      </c>
      <c r="L2587" t="n">
        <v>0</v>
      </c>
      <c r="M2587" t="n">
        <v>0</v>
      </c>
      <c r="N2587" t="n">
        <v>0</v>
      </c>
      <c r="O2587" t="n">
        <v>0</v>
      </c>
      <c r="P2587" t="n">
        <v>0</v>
      </c>
      <c r="Q2587" t="n">
        <v>0</v>
      </c>
      <c r="R2587" s="2" t="inlineStr"/>
    </row>
    <row r="2588" ht="15" customHeight="1">
      <c r="A2588" t="inlineStr">
        <is>
          <t>A 2550-2023</t>
        </is>
      </c>
      <c r="B2588" s="1" t="n">
        <v>44943</v>
      </c>
      <c r="C2588" s="1" t="n">
        <v>45358</v>
      </c>
      <c r="D2588" t="inlineStr">
        <is>
          <t>HALLANDS LÄN</t>
        </is>
      </c>
      <c r="E2588" t="inlineStr">
        <is>
          <t>LAHOLM</t>
        </is>
      </c>
      <c r="F2588" t="inlineStr">
        <is>
          <t>Kommuner</t>
        </is>
      </c>
      <c r="G2588" t="n">
        <v>7.6</v>
      </c>
      <c r="H2588" t="n">
        <v>0</v>
      </c>
      <c r="I2588" t="n">
        <v>0</v>
      </c>
      <c r="J2588" t="n">
        <v>0</v>
      </c>
      <c r="K2588" t="n">
        <v>0</v>
      </c>
      <c r="L2588" t="n">
        <v>0</v>
      </c>
      <c r="M2588" t="n">
        <v>0</v>
      </c>
      <c r="N2588" t="n">
        <v>0</v>
      </c>
      <c r="O2588" t="n">
        <v>0</v>
      </c>
      <c r="P2588" t="n">
        <v>0</v>
      </c>
      <c r="Q2588" t="n">
        <v>0</v>
      </c>
      <c r="R2588" s="2" t="inlineStr"/>
    </row>
    <row r="2589" ht="15" customHeight="1">
      <c r="A2589" t="inlineStr">
        <is>
          <t>A 2548-2023</t>
        </is>
      </c>
      <c r="B2589" s="1" t="n">
        <v>44943</v>
      </c>
      <c r="C2589" s="1" t="n">
        <v>45358</v>
      </c>
      <c r="D2589" t="inlineStr">
        <is>
          <t>HALLANDS LÄN</t>
        </is>
      </c>
      <c r="E2589" t="inlineStr">
        <is>
          <t>LAHOLM</t>
        </is>
      </c>
      <c r="F2589" t="inlineStr">
        <is>
          <t>Kommuner</t>
        </is>
      </c>
      <c r="G2589" t="n">
        <v>0.6</v>
      </c>
      <c r="H2589" t="n">
        <v>0</v>
      </c>
      <c r="I2589" t="n">
        <v>0</v>
      </c>
      <c r="J2589" t="n">
        <v>0</v>
      </c>
      <c r="K2589" t="n">
        <v>0</v>
      </c>
      <c r="L2589" t="n">
        <v>0</v>
      </c>
      <c r="M2589" t="n">
        <v>0</v>
      </c>
      <c r="N2589" t="n">
        <v>0</v>
      </c>
      <c r="O2589" t="n">
        <v>0</v>
      </c>
      <c r="P2589" t="n">
        <v>0</v>
      </c>
      <c r="Q2589" t="n">
        <v>0</v>
      </c>
      <c r="R2589" s="2" t="inlineStr"/>
    </row>
    <row r="2590" ht="15" customHeight="1">
      <c r="A2590" t="inlineStr">
        <is>
          <t>A 2562-2023</t>
        </is>
      </c>
      <c r="B2590" s="1" t="n">
        <v>44943</v>
      </c>
      <c r="C2590" s="1" t="n">
        <v>45358</v>
      </c>
      <c r="D2590" t="inlineStr">
        <is>
          <t>HALLANDS LÄN</t>
        </is>
      </c>
      <c r="E2590" t="inlineStr">
        <is>
          <t>FALKENBERG</t>
        </is>
      </c>
      <c r="F2590" t="inlineStr">
        <is>
          <t>Bergvik skog väst AB</t>
        </is>
      </c>
      <c r="G2590" t="n">
        <v>4</v>
      </c>
      <c r="H2590" t="n">
        <v>0</v>
      </c>
      <c r="I2590" t="n">
        <v>0</v>
      </c>
      <c r="J2590" t="n">
        <v>0</v>
      </c>
      <c r="K2590" t="n">
        <v>0</v>
      </c>
      <c r="L2590" t="n">
        <v>0</v>
      </c>
      <c r="M2590" t="n">
        <v>0</v>
      </c>
      <c r="N2590" t="n">
        <v>0</v>
      </c>
      <c r="O2590" t="n">
        <v>0</v>
      </c>
      <c r="P2590" t="n">
        <v>0</v>
      </c>
      <c r="Q2590" t="n">
        <v>0</v>
      </c>
      <c r="R2590" s="2" t="inlineStr"/>
    </row>
    <row r="2591" ht="15" customHeight="1">
      <c r="A2591" t="inlineStr">
        <is>
          <t>A 2602-2023</t>
        </is>
      </c>
      <c r="B2591" s="1" t="n">
        <v>44944</v>
      </c>
      <c r="C2591" s="1" t="n">
        <v>45358</v>
      </c>
      <c r="D2591" t="inlineStr">
        <is>
          <t>HALLANDS LÄN</t>
        </is>
      </c>
      <c r="E2591" t="inlineStr">
        <is>
          <t>FALKENBERG</t>
        </is>
      </c>
      <c r="G2591" t="n">
        <v>2.2</v>
      </c>
      <c r="H2591" t="n">
        <v>0</v>
      </c>
      <c r="I2591" t="n">
        <v>0</v>
      </c>
      <c r="J2591" t="n">
        <v>0</v>
      </c>
      <c r="K2591" t="n">
        <v>0</v>
      </c>
      <c r="L2591" t="n">
        <v>0</v>
      </c>
      <c r="M2591" t="n">
        <v>0</v>
      </c>
      <c r="N2591" t="n">
        <v>0</v>
      </c>
      <c r="O2591" t="n">
        <v>0</v>
      </c>
      <c r="P2591" t="n">
        <v>0</v>
      </c>
      <c r="Q2591" t="n">
        <v>0</v>
      </c>
      <c r="R2591" s="2" t="inlineStr"/>
    </row>
    <row r="2592" ht="15" customHeight="1">
      <c r="A2592" t="inlineStr">
        <is>
          <t>A 2881-2023</t>
        </is>
      </c>
      <c r="B2592" s="1" t="n">
        <v>44945</v>
      </c>
      <c r="C2592" s="1" t="n">
        <v>45358</v>
      </c>
      <c r="D2592" t="inlineStr">
        <is>
          <t>HALLANDS LÄN</t>
        </is>
      </c>
      <c r="E2592" t="inlineStr">
        <is>
          <t>KUNGSBACKA</t>
        </is>
      </c>
      <c r="G2592" t="n">
        <v>1.1</v>
      </c>
      <c r="H2592" t="n">
        <v>0</v>
      </c>
      <c r="I2592" t="n">
        <v>0</v>
      </c>
      <c r="J2592" t="n">
        <v>0</v>
      </c>
      <c r="K2592" t="n">
        <v>0</v>
      </c>
      <c r="L2592" t="n">
        <v>0</v>
      </c>
      <c r="M2592" t="n">
        <v>0</v>
      </c>
      <c r="N2592" t="n">
        <v>0</v>
      </c>
      <c r="O2592" t="n">
        <v>0</v>
      </c>
      <c r="P2592" t="n">
        <v>0</v>
      </c>
      <c r="Q2592" t="n">
        <v>0</v>
      </c>
      <c r="R2592" s="2" t="inlineStr"/>
    </row>
    <row r="2593" ht="15" customHeight="1">
      <c r="A2593" t="inlineStr">
        <is>
          <t>A 3052-2023</t>
        </is>
      </c>
      <c r="B2593" s="1" t="n">
        <v>44946</v>
      </c>
      <c r="C2593" s="1" t="n">
        <v>45358</v>
      </c>
      <c r="D2593" t="inlineStr">
        <is>
          <t>HALLANDS LÄN</t>
        </is>
      </c>
      <c r="E2593" t="inlineStr">
        <is>
          <t>FALKENBERG</t>
        </is>
      </c>
      <c r="G2593" t="n">
        <v>10.1</v>
      </c>
      <c r="H2593" t="n">
        <v>0</v>
      </c>
      <c r="I2593" t="n">
        <v>0</v>
      </c>
      <c r="J2593" t="n">
        <v>0</v>
      </c>
      <c r="K2593" t="n">
        <v>0</v>
      </c>
      <c r="L2593" t="n">
        <v>0</v>
      </c>
      <c r="M2593" t="n">
        <v>0</v>
      </c>
      <c r="N2593" t="n">
        <v>0</v>
      </c>
      <c r="O2593" t="n">
        <v>0</v>
      </c>
      <c r="P2593" t="n">
        <v>0</v>
      </c>
      <c r="Q2593" t="n">
        <v>0</v>
      </c>
      <c r="R2593" s="2" t="inlineStr"/>
    </row>
    <row r="2594" ht="15" customHeight="1">
      <c r="A2594" t="inlineStr">
        <is>
          <t>A 3061-2023</t>
        </is>
      </c>
      <c r="B2594" s="1" t="n">
        <v>44946</v>
      </c>
      <c r="C2594" s="1" t="n">
        <v>45358</v>
      </c>
      <c r="D2594" t="inlineStr">
        <is>
          <t>HALLANDS LÄN</t>
        </is>
      </c>
      <c r="E2594" t="inlineStr">
        <is>
          <t>FALKENBERG</t>
        </is>
      </c>
      <c r="G2594" t="n">
        <v>5.9</v>
      </c>
      <c r="H2594" t="n">
        <v>0</v>
      </c>
      <c r="I2594" t="n">
        <v>0</v>
      </c>
      <c r="J2594" t="n">
        <v>0</v>
      </c>
      <c r="K2594" t="n">
        <v>0</v>
      </c>
      <c r="L2594" t="n">
        <v>0</v>
      </c>
      <c r="M2594" t="n">
        <v>0</v>
      </c>
      <c r="N2594" t="n">
        <v>0</v>
      </c>
      <c r="O2594" t="n">
        <v>0</v>
      </c>
      <c r="P2594" t="n">
        <v>0</v>
      </c>
      <c r="Q2594" t="n">
        <v>0</v>
      </c>
      <c r="R2594" s="2" t="inlineStr"/>
    </row>
    <row r="2595" ht="15" customHeight="1">
      <c r="A2595" t="inlineStr">
        <is>
          <t>A 3163-2023</t>
        </is>
      </c>
      <c r="B2595" s="1" t="n">
        <v>44946</v>
      </c>
      <c r="C2595" s="1" t="n">
        <v>45358</v>
      </c>
      <c r="D2595" t="inlineStr">
        <is>
          <t>HALLANDS LÄN</t>
        </is>
      </c>
      <c r="E2595" t="inlineStr">
        <is>
          <t>KUNGSBACKA</t>
        </is>
      </c>
      <c r="G2595" t="n">
        <v>3.2</v>
      </c>
      <c r="H2595" t="n">
        <v>0</v>
      </c>
      <c r="I2595" t="n">
        <v>0</v>
      </c>
      <c r="J2595" t="n">
        <v>0</v>
      </c>
      <c r="K2595" t="n">
        <v>0</v>
      </c>
      <c r="L2595" t="n">
        <v>0</v>
      </c>
      <c r="M2595" t="n">
        <v>0</v>
      </c>
      <c r="N2595" t="n">
        <v>0</v>
      </c>
      <c r="O2595" t="n">
        <v>0</v>
      </c>
      <c r="P2595" t="n">
        <v>0</v>
      </c>
      <c r="Q2595" t="n">
        <v>0</v>
      </c>
      <c r="R2595" s="2" t="inlineStr"/>
    </row>
    <row r="2596" ht="15" customHeight="1">
      <c r="A2596" t="inlineStr">
        <is>
          <t>A 3170-2023</t>
        </is>
      </c>
      <c r="B2596" s="1" t="n">
        <v>44946</v>
      </c>
      <c r="C2596" s="1" t="n">
        <v>45358</v>
      </c>
      <c r="D2596" t="inlineStr">
        <is>
          <t>HALLANDS LÄN</t>
        </is>
      </c>
      <c r="E2596" t="inlineStr">
        <is>
          <t>FALKENBERG</t>
        </is>
      </c>
      <c r="G2596" t="n">
        <v>1.2</v>
      </c>
      <c r="H2596" t="n">
        <v>0</v>
      </c>
      <c r="I2596" t="n">
        <v>0</v>
      </c>
      <c r="J2596" t="n">
        <v>0</v>
      </c>
      <c r="K2596" t="n">
        <v>0</v>
      </c>
      <c r="L2596" t="n">
        <v>0</v>
      </c>
      <c r="M2596" t="n">
        <v>0</v>
      </c>
      <c r="N2596" t="n">
        <v>0</v>
      </c>
      <c r="O2596" t="n">
        <v>0</v>
      </c>
      <c r="P2596" t="n">
        <v>0</v>
      </c>
      <c r="Q2596" t="n">
        <v>0</v>
      </c>
      <c r="R2596" s="2" t="inlineStr"/>
    </row>
    <row r="2597" ht="15" customHeight="1">
      <c r="A2597" t="inlineStr">
        <is>
          <t>A 3175-2023</t>
        </is>
      </c>
      <c r="B2597" s="1" t="n">
        <v>44946</v>
      </c>
      <c r="C2597" s="1" t="n">
        <v>45358</v>
      </c>
      <c r="D2597" t="inlineStr">
        <is>
          <t>HALLANDS LÄN</t>
        </is>
      </c>
      <c r="E2597" t="inlineStr">
        <is>
          <t>FALKENBERG</t>
        </is>
      </c>
      <c r="G2597" t="n">
        <v>2.3</v>
      </c>
      <c r="H2597" t="n">
        <v>0</v>
      </c>
      <c r="I2597" t="n">
        <v>0</v>
      </c>
      <c r="J2597" t="n">
        <v>0</v>
      </c>
      <c r="K2597" t="n">
        <v>0</v>
      </c>
      <c r="L2597" t="n">
        <v>0</v>
      </c>
      <c r="M2597" t="n">
        <v>0</v>
      </c>
      <c r="N2597" t="n">
        <v>0</v>
      </c>
      <c r="O2597" t="n">
        <v>0</v>
      </c>
      <c r="P2597" t="n">
        <v>0</v>
      </c>
      <c r="Q2597" t="n">
        <v>0</v>
      </c>
      <c r="R2597" s="2" t="inlineStr"/>
    </row>
    <row r="2598" ht="15" customHeight="1">
      <c r="A2598" t="inlineStr">
        <is>
          <t>A 3167-2023</t>
        </is>
      </c>
      <c r="B2598" s="1" t="n">
        <v>44946</v>
      </c>
      <c r="C2598" s="1" t="n">
        <v>45358</v>
      </c>
      <c r="D2598" t="inlineStr">
        <is>
          <t>HALLANDS LÄN</t>
        </is>
      </c>
      <c r="E2598" t="inlineStr">
        <is>
          <t>FALKENBERG</t>
        </is>
      </c>
      <c r="G2598" t="n">
        <v>2.7</v>
      </c>
      <c r="H2598" t="n">
        <v>0</v>
      </c>
      <c r="I2598" t="n">
        <v>0</v>
      </c>
      <c r="J2598" t="n">
        <v>0</v>
      </c>
      <c r="K2598" t="n">
        <v>0</v>
      </c>
      <c r="L2598" t="n">
        <v>0</v>
      </c>
      <c r="M2598" t="n">
        <v>0</v>
      </c>
      <c r="N2598" t="n">
        <v>0</v>
      </c>
      <c r="O2598" t="n">
        <v>0</v>
      </c>
      <c r="P2598" t="n">
        <v>0</v>
      </c>
      <c r="Q2598" t="n">
        <v>0</v>
      </c>
      <c r="R2598" s="2" t="inlineStr"/>
    </row>
    <row r="2599" ht="15" customHeight="1">
      <c r="A2599" t="inlineStr">
        <is>
          <t>A 3171-2023</t>
        </is>
      </c>
      <c r="B2599" s="1" t="n">
        <v>44946</v>
      </c>
      <c r="C2599" s="1" t="n">
        <v>45358</v>
      </c>
      <c r="D2599" t="inlineStr">
        <is>
          <t>HALLANDS LÄN</t>
        </is>
      </c>
      <c r="E2599" t="inlineStr">
        <is>
          <t>FALKENBERG</t>
        </is>
      </c>
      <c r="G2599" t="n">
        <v>0.6</v>
      </c>
      <c r="H2599" t="n">
        <v>0</v>
      </c>
      <c r="I2599" t="n">
        <v>0</v>
      </c>
      <c r="J2599" t="n">
        <v>0</v>
      </c>
      <c r="K2599" t="n">
        <v>0</v>
      </c>
      <c r="L2599" t="n">
        <v>0</v>
      </c>
      <c r="M2599" t="n">
        <v>0</v>
      </c>
      <c r="N2599" t="n">
        <v>0</v>
      </c>
      <c r="O2599" t="n">
        <v>0</v>
      </c>
      <c r="P2599" t="n">
        <v>0</v>
      </c>
      <c r="Q2599" t="n">
        <v>0</v>
      </c>
      <c r="R2599" s="2" t="inlineStr"/>
    </row>
    <row r="2600" ht="15" customHeight="1">
      <c r="A2600" t="inlineStr">
        <is>
          <t>A 3177-2023</t>
        </is>
      </c>
      <c r="B2600" s="1" t="n">
        <v>44946</v>
      </c>
      <c r="C2600" s="1" t="n">
        <v>45358</v>
      </c>
      <c r="D2600" t="inlineStr">
        <is>
          <t>HALLANDS LÄN</t>
        </is>
      </c>
      <c r="E2600" t="inlineStr">
        <is>
          <t>FALKENBERG</t>
        </is>
      </c>
      <c r="G2600" t="n">
        <v>0.7</v>
      </c>
      <c r="H2600" t="n">
        <v>0</v>
      </c>
      <c r="I2600" t="n">
        <v>0</v>
      </c>
      <c r="J2600" t="n">
        <v>0</v>
      </c>
      <c r="K2600" t="n">
        <v>0</v>
      </c>
      <c r="L2600" t="n">
        <v>0</v>
      </c>
      <c r="M2600" t="n">
        <v>0</v>
      </c>
      <c r="N2600" t="n">
        <v>0</v>
      </c>
      <c r="O2600" t="n">
        <v>0</v>
      </c>
      <c r="P2600" t="n">
        <v>0</v>
      </c>
      <c r="Q2600" t="n">
        <v>0</v>
      </c>
      <c r="R2600" s="2" t="inlineStr"/>
    </row>
    <row r="2601" ht="15" customHeight="1">
      <c r="A2601" t="inlineStr">
        <is>
          <t>A 3178-2023</t>
        </is>
      </c>
      <c r="B2601" s="1" t="n">
        <v>44946</v>
      </c>
      <c r="C2601" s="1" t="n">
        <v>45358</v>
      </c>
      <c r="D2601" t="inlineStr">
        <is>
          <t>HALLANDS LÄN</t>
        </is>
      </c>
      <c r="E2601" t="inlineStr">
        <is>
          <t>FALKENBERG</t>
        </is>
      </c>
      <c r="G2601" t="n">
        <v>1.2</v>
      </c>
      <c r="H2601" t="n">
        <v>0</v>
      </c>
      <c r="I2601" t="n">
        <v>0</v>
      </c>
      <c r="J2601" t="n">
        <v>0</v>
      </c>
      <c r="K2601" t="n">
        <v>0</v>
      </c>
      <c r="L2601" t="n">
        <v>0</v>
      </c>
      <c r="M2601" t="n">
        <v>0</v>
      </c>
      <c r="N2601" t="n">
        <v>0</v>
      </c>
      <c r="O2601" t="n">
        <v>0</v>
      </c>
      <c r="P2601" t="n">
        <v>0</v>
      </c>
      <c r="Q2601" t="n">
        <v>0</v>
      </c>
      <c r="R2601" s="2" t="inlineStr"/>
    </row>
    <row r="2602" ht="15" customHeight="1">
      <c r="A2602" t="inlineStr">
        <is>
          <t>A 3357-2023</t>
        </is>
      </c>
      <c r="B2602" s="1" t="n">
        <v>44949</v>
      </c>
      <c r="C2602" s="1" t="n">
        <v>45358</v>
      </c>
      <c r="D2602" t="inlineStr">
        <is>
          <t>HALLANDS LÄN</t>
        </is>
      </c>
      <c r="E2602" t="inlineStr">
        <is>
          <t>FALKENBERG</t>
        </is>
      </c>
      <c r="G2602" t="n">
        <v>1.7</v>
      </c>
      <c r="H2602" t="n">
        <v>0</v>
      </c>
      <c r="I2602" t="n">
        <v>0</v>
      </c>
      <c r="J2602" t="n">
        <v>0</v>
      </c>
      <c r="K2602" t="n">
        <v>0</v>
      </c>
      <c r="L2602" t="n">
        <v>0</v>
      </c>
      <c r="M2602" t="n">
        <v>0</v>
      </c>
      <c r="N2602" t="n">
        <v>0</v>
      </c>
      <c r="O2602" t="n">
        <v>0</v>
      </c>
      <c r="P2602" t="n">
        <v>0</v>
      </c>
      <c r="Q2602" t="n">
        <v>0</v>
      </c>
      <c r="R2602" s="2" t="inlineStr"/>
    </row>
    <row r="2603" ht="15" customHeight="1">
      <c r="A2603" t="inlineStr">
        <is>
          <t>A 3428-2023</t>
        </is>
      </c>
      <c r="B2603" s="1" t="n">
        <v>44949</v>
      </c>
      <c r="C2603" s="1" t="n">
        <v>45358</v>
      </c>
      <c r="D2603" t="inlineStr">
        <is>
          <t>HALLANDS LÄN</t>
        </is>
      </c>
      <c r="E2603" t="inlineStr">
        <is>
          <t>LAHOLM</t>
        </is>
      </c>
      <c r="G2603" t="n">
        <v>0.8</v>
      </c>
      <c r="H2603" t="n">
        <v>0</v>
      </c>
      <c r="I2603" t="n">
        <v>0</v>
      </c>
      <c r="J2603" t="n">
        <v>0</v>
      </c>
      <c r="K2603" t="n">
        <v>0</v>
      </c>
      <c r="L2603" t="n">
        <v>0</v>
      </c>
      <c r="M2603" t="n">
        <v>0</v>
      </c>
      <c r="N2603" t="n">
        <v>0</v>
      </c>
      <c r="O2603" t="n">
        <v>0</v>
      </c>
      <c r="P2603" t="n">
        <v>0</v>
      </c>
      <c r="Q2603" t="n">
        <v>0</v>
      </c>
      <c r="R2603" s="2" t="inlineStr"/>
    </row>
    <row r="2604" ht="15" customHeight="1">
      <c r="A2604" t="inlineStr">
        <is>
          <t>A 3427-2023</t>
        </is>
      </c>
      <c r="B2604" s="1" t="n">
        <v>44949</v>
      </c>
      <c r="C2604" s="1" t="n">
        <v>45358</v>
      </c>
      <c r="D2604" t="inlineStr">
        <is>
          <t>HALLANDS LÄN</t>
        </is>
      </c>
      <c r="E2604" t="inlineStr">
        <is>
          <t>LAHOLM</t>
        </is>
      </c>
      <c r="G2604" t="n">
        <v>1.6</v>
      </c>
      <c r="H2604" t="n">
        <v>0</v>
      </c>
      <c r="I2604" t="n">
        <v>0</v>
      </c>
      <c r="J2604" t="n">
        <v>0</v>
      </c>
      <c r="K2604" t="n">
        <v>0</v>
      </c>
      <c r="L2604" t="n">
        <v>0</v>
      </c>
      <c r="M2604" t="n">
        <v>0</v>
      </c>
      <c r="N2604" t="n">
        <v>0</v>
      </c>
      <c r="O2604" t="n">
        <v>0</v>
      </c>
      <c r="P2604" t="n">
        <v>0</v>
      </c>
      <c r="Q2604" t="n">
        <v>0</v>
      </c>
      <c r="R2604" s="2" t="inlineStr"/>
    </row>
    <row r="2605" ht="15" customHeight="1">
      <c r="A2605" t="inlineStr">
        <is>
          <t>A 3439-2023</t>
        </is>
      </c>
      <c r="B2605" s="1" t="n">
        <v>44949</v>
      </c>
      <c r="C2605" s="1" t="n">
        <v>45358</v>
      </c>
      <c r="D2605" t="inlineStr">
        <is>
          <t>HALLANDS LÄN</t>
        </is>
      </c>
      <c r="E2605" t="inlineStr">
        <is>
          <t>VARBERG</t>
        </is>
      </c>
      <c r="G2605" t="n">
        <v>0.7</v>
      </c>
      <c r="H2605" t="n">
        <v>0</v>
      </c>
      <c r="I2605" t="n">
        <v>0</v>
      </c>
      <c r="J2605" t="n">
        <v>0</v>
      </c>
      <c r="K2605" t="n">
        <v>0</v>
      </c>
      <c r="L2605" t="n">
        <v>0</v>
      </c>
      <c r="M2605" t="n">
        <v>0</v>
      </c>
      <c r="N2605" t="n">
        <v>0</v>
      </c>
      <c r="O2605" t="n">
        <v>0</v>
      </c>
      <c r="P2605" t="n">
        <v>0</v>
      </c>
      <c r="Q2605" t="n">
        <v>0</v>
      </c>
      <c r="R2605" s="2" t="inlineStr"/>
    </row>
    <row r="2606" ht="15" customHeight="1">
      <c r="A2606" t="inlineStr">
        <is>
          <t>A 3437-2023</t>
        </is>
      </c>
      <c r="B2606" s="1" t="n">
        <v>44949</v>
      </c>
      <c r="C2606" s="1" t="n">
        <v>45358</v>
      </c>
      <c r="D2606" t="inlineStr">
        <is>
          <t>HALLANDS LÄN</t>
        </is>
      </c>
      <c r="E2606" t="inlineStr">
        <is>
          <t>VARBERG</t>
        </is>
      </c>
      <c r="G2606" t="n">
        <v>6.5</v>
      </c>
      <c r="H2606" t="n">
        <v>0</v>
      </c>
      <c r="I2606" t="n">
        <v>0</v>
      </c>
      <c r="J2606" t="n">
        <v>0</v>
      </c>
      <c r="K2606" t="n">
        <v>0</v>
      </c>
      <c r="L2606" t="n">
        <v>0</v>
      </c>
      <c r="M2606" t="n">
        <v>0</v>
      </c>
      <c r="N2606" t="n">
        <v>0</v>
      </c>
      <c r="O2606" t="n">
        <v>0</v>
      </c>
      <c r="P2606" t="n">
        <v>0</v>
      </c>
      <c r="Q2606" t="n">
        <v>0</v>
      </c>
      <c r="R2606" s="2" t="inlineStr"/>
    </row>
    <row r="2607" ht="15" customHeight="1">
      <c r="A2607" t="inlineStr">
        <is>
          <t>A 3446-2023</t>
        </is>
      </c>
      <c r="B2607" s="1" t="n">
        <v>44949</v>
      </c>
      <c r="C2607" s="1" t="n">
        <v>45358</v>
      </c>
      <c r="D2607" t="inlineStr">
        <is>
          <t>HALLANDS LÄN</t>
        </is>
      </c>
      <c r="E2607" t="inlineStr">
        <is>
          <t>LAHOLM</t>
        </is>
      </c>
      <c r="G2607" t="n">
        <v>1.5</v>
      </c>
      <c r="H2607" t="n">
        <v>0</v>
      </c>
      <c r="I2607" t="n">
        <v>0</v>
      </c>
      <c r="J2607" t="n">
        <v>0</v>
      </c>
      <c r="K2607" t="n">
        <v>0</v>
      </c>
      <c r="L2607" t="n">
        <v>0</v>
      </c>
      <c r="M2607" t="n">
        <v>0</v>
      </c>
      <c r="N2607" t="n">
        <v>0</v>
      </c>
      <c r="O2607" t="n">
        <v>0</v>
      </c>
      <c r="P2607" t="n">
        <v>0</v>
      </c>
      <c r="Q2607" t="n">
        <v>0</v>
      </c>
      <c r="R2607" s="2" t="inlineStr"/>
    </row>
    <row r="2608" ht="15" customHeight="1">
      <c r="A2608" t="inlineStr">
        <is>
          <t>A 3553-2023</t>
        </is>
      </c>
      <c r="B2608" s="1" t="n">
        <v>44950</v>
      </c>
      <c r="C2608" s="1" t="n">
        <v>45358</v>
      </c>
      <c r="D2608" t="inlineStr">
        <is>
          <t>HALLANDS LÄN</t>
        </is>
      </c>
      <c r="E2608" t="inlineStr">
        <is>
          <t>LAHOLM</t>
        </is>
      </c>
      <c r="G2608" t="n">
        <v>0.9</v>
      </c>
      <c r="H2608" t="n">
        <v>0</v>
      </c>
      <c r="I2608" t="n">
        <v>0</v>
      </c>
      <c r="J2608" t="n">
        <v>0</v>
      </c>
      <c r="K2608" t="n">
        <v>0</v>
      </c>
      <c r="L2608" t="n">
        <v>0</v>
      </c>
      <c r="M2608" t="n">
        <v>0</v>
      </c>
      <c r="N2608" t="n">
        <v>0</v>
      </c>
      <c r="O2608" t="n">
        <v>0</v>
      </c>
      <c r="P2608" t="n">
        <v>0</v>
      </c>
      <c r="Q2608" t="n">
        <v>0</v>
      </c>
      <c r="R2608" s="2" t="inlineStr"/>
    </row>
    <row r="2609" ht="15" customHeight="1">
      <c r="A2609" t="inlineStr">
        <is>
          <t>A 3621-2023</t>
        </is>
      </c>
      <c r="B2609" s="1" t="n">
        <v>44950</v>
      </c>
      <c r="C2609" s="1" t="n">
        <v>45358</v>
      </c>
      <c r="D2609" t="inlineStr">
        <is>
          <t>HALLANDS LÄN</t>
        </is>
      </c>
      <c r="E2609" t="inlineStr">
        <is>
          <t>HYLTE</t>
        </is>
      </c>
      <c r="G2609" t="n">
        <v>1.2</v>
      </c>
      <c r="H2609" t="n">
        <v>0</v>
      </c>
      <c r="I2609" t="n">
        <v>0</v>
      </c>
      <c r="J2609" t="n">
        <v>0</v>
      </c>
      <c r="K2609" t="n">
        <v>0</v>
      </c>
      <c r="L2609" t="n">
        <v>0</v>
      </c>
      <c r="M2609" t="n">
        <v>0</v>
      </c>
      <c r="N2609" t="n">
        <v>0</v>
      </c>
      <c r="O2609" t="n">
        <v>0</v>
      </c>
      <c r="P2609" t="n">
        <v>0</v>
      </c>
      <c r="Q2609" t="n">
        <v>0</v>
      </c>
      <c r="R2609" s="2" t="inlineStr"/>
    </row>
    <row r="2610" ht="15" customHeight="1">
      <c r="A2610" t="inlineStr">
        <is>
          <t>A 3651-2023</t>
        </is>
      </c>
      <c r="B2610" s="1" t="n">
        <v>44950</v>
      </c>
      <c r="C2610" s="1" t="n">
        <v>45358</v>
      </c>
      <c r="D2610" t="inlineStr">
        <is>
          <t>HALLANDS LÄN</t>
        </is>
      </c>
      <c r="E2610" t="inlineStr">
        <is>
          <t>VARBERG</t>
        </is>
      </c>
      <c r="G2610" t="n">
        <v>1.2</v>
      </c>
      <c r="H2610" t="n">
        <v>0</v>
      </c>
      <c r="I2610" t="n">
        <v>0</v>
      </c>
      <c r="J2610" t="n">
        <v>0</v>
      </c>
      <c r="K2610" t="n">
        <v>0</v>
      </c>
      <c r="L2610" t="n">
        <v>0</v>
      </c>
      <c r="M2610" t="n">
        <v>0</v>
      </c>
      <c r="N2610" t="n">
        <v>0</v>
      </c>
      <c r="O2610" t="n">
        <v>0</v>
      </c>
      <c r="P2610" t="n">
        <v>0</v>
      </c>
      <c r="Q2610" t="n">
        <v>0</v>
      </c>
      <c r="R2610" s="2" t="inlineStr"/>
    </row>
    <row r="2611" ht="15" customHeight="1">
      <c r="A2611" t="inlineStr">
        <is>
          <t>A 3718-2023</t>
        </is>
      </c>
      <c r="B2611" s="1" t="n">
        <v>44951</v>
      </c>
      <c r="C2611" s="1" t="n">
        <v>45358</v>
      </c>
      <c r="D2611" t="inlineStr">
        <is>
          <t>HALLANDS LÄN</t>
        </is>
      </c>
      <c r="E2611" t="inlineStr">
        <is>
          <t>FALKENBERG</t>
        </is>
      </c>
      <c r="G2611" t="n">
        <v>3.4</v>
      </c>
      <c r="H2611" t="n">
        <v>0</v>
      </c>
      <c r="I2611" t="n">
        <v>0</v>
      </c>
      <c r="J2611" t="n">
        <v>0</v>
      </c>
      <c r="K2611" t="n">
        <v>0</v>
      </c>
      <c r="L2611" t="n">
        <v>0</v>
      </c>
      <c r="M2611" t="n">
        <v>0</v>
      </c>
      <c r="N2611" t="n">
        <v>0</v>
      </c>
      <c r="O2611" t="n">
        <v>0</v>
      </c>
      <c r="P2611" t="n">
        <v>0</v>
      </c>
      <c r="Q2611" t="n">
        <v>0</v>
      </c>
      <c r="R2611" s="2" t="inlineStr"/>
    </row>
    <row r="2612" ht="15" customHeight="1">
      <c r="A2612" t="inlineStr">
        <is>
          <t>A 3813-2023</t>
        </is>
      </c>
      <c r="B2612" s="1" t="n">
        <v>44951</v>
      </c>
      <c r="C2612" s="1" t="n">
        <v>45358</v>
      </c>
      <c r="D2612" t="inlineStr">
        <is>
          <t>HALLANDS LÄN</t>
        </is>
      </c>
      <c r="E2612" t="inlineStr">
        <is>
          <t>HYLTE</t>
        </is>
      </c>
      <c r="G2612" t="n">
        <v>2.6</v>
      </c>
      <c r="H2612" t="n">
        <v>0</v>
      </c>
      <c r="I2612" t="n">
        <v>0</v>
      </c>
      <c r="J2612" t="n">
        <v>0</v>
      </c>
      <c r="K2612" t="n">
        <v>0</v>
      </c>
      <c r="L2612" t="n">
        <v>0</v>
      </c>
      <c r="M2612" t="n">
        <v>0</v>
      </c>
      <c r="N2612" t="n">
        <v>0</v>
      </c>
      <c r="O2612" t="n">
        <v>0</v>
      </c>
      <c r="P2612" t="n">
        <v>0</v>
      </c>
      <c r="Q2612" t="n">
        <v>0</v>
      </c>
      <c r="R2612" s="2" t="inlineStr"/>
    </row>
    <row r="2613" ht="15" customHeight="1">
      <c r="A2613" t="inlineStr">
        <is>
          <t>A 3821-2023</t>
        </is>
      </c>
      <c r="B2613" s="1" t="n">
        <v>44951</v>
      </c>
      <c r="C2613" s="1" t="n">
        <v>45358</v>
      </c>
      <c r="D2613" t="inlineStr">
        <is>
          <t>HALLANDS LÄN</t>
        </is>
      </c>
      <c r="E2613" t="inlineStr">
        <is>
          <t>LAHOLM</t>
        </is>
      </c>
      <c r="G2613" t="n">
        <v>4.1</v>
      </c>
      <c r="H2613" t="n">
        <v>0</v>
      </c>
      <c r="I2613" t="n">
        <v>0</v>
      </c>
      <c r="J2613" t="n">
        <v>0</v>
      </c>
      <c r="K2613" t="n">
        <v>0</v>
      </c>
      <c r="L2613" t="n">
        <v>0</v>
      </c>
      <c r="M2613" t="n">
        <v>0</v>
      </c>
      <c r="N2613" t="n">
        <v>0</v>
      </c>
      <c r="O2613" t="n">
        <v>0</v>
      </c>
      <c r="P2613" t="n">
        <v>0</v>
      </c>
      <c r="Q2613" t="n">
        <v>0</v>
      </c>
      <c r="R2613" s="2" t="inlineStr"/>
    </row>
    <row r="2614" ht="15" customHeight="1">
      <c r="A2614" t="inlineStr">
        <is>
          <t>A 3832-2023</t>
        </is>
      </c>
      <c r="B2614" s="1" t="n">
        <v>44951</v>
      </c>
      <c r="C2614" s="1" t="n">
        <v>45358</v>
      </c>
      <c r="D2614" t="inlineStr">
        <is>
          <t>HALLANDS LÄN</t>
        </is>
      </c>
      <c r="E2614" t="inlineStr">
        <is>
          <t>LAHOLM</t>
        </is>
      </c>
      <c r="G2614" t="n">
        <v>6.2</v>
      </c>
      <c r="H2614" t="n">
        <v>0</v>
      </c>
      <c r="I2614" t="n">
        <v>0</v>
      </c>
      <c r="J2614" t="n">
        <v>0</v>
      </c>
      <c r="K2614" t="n">
        <v>0</v>
      </c>
      <c r="L2614" t="n">
        <v>0</v>
      </c>
      <c r="M2614" t="n">
        <v>0</v>
      </c>
      <c r="N2614" t="n">
        <v>0</v>
      </c>
      <c r="O2614" t="n">
        <v>0</v>
      </c>
      <c r="P2614" t="n">
        <v>0</v>
      </c>
      <c r="Q2614" t="n">
        <v>0</v>
      </c>
      <c r="R2614" s="2" t="inlineStr"/>
    </row>
    <row r="2615" ht="15" customHeight="1">
      <c r="A2615" t="inlineStr">
        <is>
          <t>A 4066-2023</t>
        </is>
      </c>
      <c r="B2615" s="1" t="n">
        <v>44952</v>
      </c>
      <c r="C2615" s="1" t="n">
        <v>45358</v>
      </c>
      <c r="D2615" t="inlineStr">
        <is>
          <t>HALLANDS LÄN</t>
        </is>
      </c>
      <c r="E2615" t="inlineStr">
        <is>
          <t>FALKENBERG</t>
        </is>
      </c>
      <c r="G2615" t="n">
        <v>0.9</v>
      </c>
      <c r="H2615" t="n">
        <v>0</v>
      </c>
      <c r="I2615" t="n">
        <v>0</v>
      </c>
      <c r="J2615" t="n">
        <v>0</v>
      </c>
      <c r="K2615" t="n">
        <v>0</v>
      </c>
      <c r="L2615" t="n">
        <v>0</v>
      </c>
      <c r="M2615" t="n">
        <v>0</v>
      </c>
      <c r="N2615" t="n">
        <v>0</v>
      </c>
      <c r="O2615" t="n">
        <v>0</v>
      </c>
      <c r="P2615" t="n">
        <v>0</v>
      </c>
      <c r="Q2615" t="n">
        <v>0</v>
      </c>
      <c r="R2615" s="2" t="inlineStr"/>
    </row>
    <row r="2616" ht="15" customHeight="1">
      <c r="A2616" t="inlineStr">
        <is>
          <t>A 4072-2023</t>
        </is>
      </c>
      <c r="B2616" s="1" t="n">
        <v>44952</v>
      </c>
      <c r="C2616" s="1" t="n">
        <v>45358</v>
      </c>
      <c r="D2616" t="inlineStr">
        <is>
          <t>HALLANDS LÄN</t>
        </is>
      </c>
      <c r="E2616" t="inlineStr">
        <is>
          <t>FALKENBERG</t>
        </is>
      </c>
      <c r="G2616" t="n">
        <v>0.6</v>
      </c>
      <c r="H2616" t="n">
        <v>0</v>
      </c>
      <c r="I2616" t="n">
        <v>0</v>
      </c>
      <c r="J2616" t="n">
        <v>0</v>
      </c>
      <c r="K2616" t="n">
        <v>0</v>
      </c>
      <c r="L2616" t="n">
        <v>0</v>
      </c>
      <c r="M2616" t="n">
        <v>0</v>
      </c>
      <c r="N2616" t="n">
        <v>0</v>
      </c>
      <c r="O2616" t="n">
        <v>0</v>
      </c>
      <c r="P2616" t="n">
        <v>0</v>
      </c>
      <c r="Q2616" t="n">
        <v>0</v>
      </c>
      <c r="R2616" s="2" t="inlineStr"/>
    </row>
    <row r="2617" ht="15" customHeight="1">
      <c r="A2617" t="inlineStr">
        <is>
          <t>A 4075-2023</t>
        </is>
      </c>
      <c r="B2617" s="1" t="n">
        <v>44952</v>
      </c>
      <c r="C2617" s="1" t="n">
        <v>45358</v>
      </c>
      <c r="D2617" t="inlineStr">
        <is>
          <t>HALLANDS LÄN</t>
        </is>
      </c>
      <c r="E2617" t="inlineStr">
        <is>
          <t>FALKENBERG</t>
        </is>
      </c>
      <c r="G2617" t="n">
        <v>1</v>
      </c>
      <c r="H2617" t="n">
        <v>0</v>
      </c>
      <c r="I2617" t="n">
        <v>0</v>
      </c>
      <c r="J2617" t="n">
        <v>0</v>
      </c>
      <c r="K2617" t="n">
        <v>0</v>
      </c>
      <c r="L2617" t="n">
        <v>0</v>
      </c>
      <c r="M2617" t="n">
        <v>0</v>
      </c>
      <c r="N2617" t="n">
        <v>0</v>
      </c>
      <c r="O2617" t="n">
        <v>0</v>
      </c>
      <c r="P2617" t="n">
        <v>0</v>
      </c>
      <c r="Q2617" t="n">
        <v>0</v>
      </c>
      <c r="R2617" s="2" t="inlineStr"/>
    </row>
    <row r="2618" ht="15" customHeight="1">
      <c r="A2618" t="inlineStr">
        <is>
          <t>A 4063-2023</t>
        </is>
      </c>
      <c r="B2618" s="1" t="n">
        <v>44952</v>
      </c>
      <c r="C2618" s="1" t="n">
        <v>45358</v>
      </c>
      <c r="D2618" t="inlineStr">
        <is>
          <t>HALLANDS LÄN</t>
        </is>
      </c>
      <c r="E2618" t="inlineStr">
        <is>
          <t>FALKENBERG</t>
        </is>
      </c>
      <c r="G2618" t="n">
        <v>4.5</v>
      </c>
      <c r="H2618" t="n">
        <v>0</v>
      </c>
      <c r="I2618" t="n">
        <v>0</v>
      </c>
      <c r="J2618" t="n">
        <v>0</v>
      </c>
      <c r="K2618" t="n">
        <v>0</v>
      </c>
      <c r="L2618" t="n">
        <v>0</v>
      </c>
      <c r="M2618" t="n">
        <v>0</v>
      </c>
      <c r="N2618" t="n">
        <v>0</v>
      </c>
      <c r="O2618" t="n">
        <v>0</v>
      </c>
      <c r="P2618" t="n">
        <v>0</v>
      </c>
      <c r="Q2618" t="n">
        <v>0</v>
      </c>
      <c r="R2618" s="2" t="inlineStr"/>
    </row>
    <row r="2619" ht="15" customHeight="1">
      <c r="A2619" t="inlineStr">
        <is>
          <t>A 4070-2023</t>
        </is>
      </c>
      <c r="B2619" s="1" t="n">
        <v>44952</v>
      </c>
      <c r="C2619" s="1" t="n">
        <v>45358</v>
      </c>
      <c r="D2619" t="inlineStr">
        <is>
          <t>HALLANDS LÄN</t>
        </is>
      </c>
      <c r="E2619" t="inlineStr">
        <is>
          <t>FALKENBERG</t>
        </is>
      </c>
      <c r="G2619" t="n">
        <v>1.4</v>
      </c>
      <c r="H2619" t="n">
        <v>0</v>
      </c>
      <c r="I2619" t="n">
        <v>0</v>
      </c>
      <c r="J2619" t="n">
        <v>0</v>
      </c>
      <c r="K2619" t="n">
        <v>0</v>
      </c>
      <c r="L2619" t="n">
        <v>0</v>
      </c>
      <c r="M2619" t="n">
        <v>0</v>
      </c>
      <c r="N2619" t="n">
        <v>0</v>
      </c>
      <c r="O2619" t="n">
        <v>0</v>
      </c>
      <c r="P2619" t="n">
        <v>0</v>
      </c>
      <c r="Q2619" t="n">
        <v>0</v>
      </c>
      <c r="R2619" s="2" t="inlineStr"/>
    </row>
    <row r="2620" ht="15" customHeight="1">
      <c r="A2620" t="inlineStr">
        <is>
          <t>A 4073-2023</t>
        </is>
      </c>
      <c r="B2620" s="1" t="n">
        <v>44952</v>
      </c>
      <c r="C2620" s="1" t="n">
        <v>45358</v>
      </c>
      <c r="D2620" t="inlineStr">
        <is>
          <t>HALLANDS LÄN</t>
        </is>
      </c>
      <c r="E2620" t="inlineStr">
        <is>
          <t>FALKENBERG</t>
        </is>
      </c>
      <c r="G2620" t="n">
        <v>4.3</v>
      </c>
      <c r="H2620" t="n">
        <v>0</v>
      </c>
      <c r="I2620" t="n">
        <v>0</v>
      </c>
      <c r="J2620" t="n">
        <v>0</v>
      </c>
      <c r="K2620" t="n">
        <v>0</v>
      </c>
      <c r="L2620" t="n">
        <v>0</v>
      </c>
      <c r="M2620" t="n">
        <v>0</v>
      </c>
      <c r="N2620" t="n">
        <v>0</v>
      </c>
      <c r="O2620" t="n">
        <v>0</v>
      </c>
      <c r="P2620" t="n">
        <v>0</v>
      </c>
      <c r="Q2620" t="n">
        <v>0</v>
      </c>
      <c r="R2620" s="2" t="inlineStr"/>
    </row>
    <row r="2621" ht="15" customHeight="1">
      <c r="A2621" t="inlineStr">
        <is>
          <t>A 4815-2023</t>
        </is>
      </c>
      <c r="B2621" s="1" t="n">
        <v>44952</v>
      </c>
      <c r="C2621" s="1" t="n">
        <v>45358</v>
      </c>
      <c r="D2621" t="inlineStr">
        <is>
          <t>HALLANDS LÄN</t>
        </is>
      </c>
      <c r="E2621" t="inlineStr">
        <is>
          <t>HALMSTAD</t>
        </is>
      </c>
      <c r="G2621" t="n">
        <v>0.9</v>
      </c>
      <c r="H2621" t="n">
        <v>0</v>
      </c>
      <c r="I2621" t="n">
        <v>0</v>
      </c>
      <c r="J2621" t="n">
        <v>0</v>
      </c>
      <c r="K2621" t="n">
        <v>0</v>
      </c>
      <c r="L2621" t="n">
        <v>0</v>
      </c>
      <c r="M2621" t="n">
        <v>0</v>
      </c>
      <c r="N2621" t="n">
        <v>0</v>
      </c>
      <c r="O2621" t="n">
        <v>0</v>
      </c>
      <c r="P2621" t="n">
        <v>0</v>
      </c>
      <c r="Q2621" t="n">
        <v>0</v>
      </c>
      <c r="R2621" s="2" t="inlineStr"/>
    </row>
    <row r="2622" ht="15" customHeight="1">
      <c r="A2622" t="inlineStr">
        <is>
          <t>A 4225-2023</t>
        </is>
      </c>
      <c r="B2622" s="1" t="n">
        <v>44953</v>
      </c>
      <c r="C2622" s="1" t="n">
        <v>45358</v>
      </c>
      <c r="D2622" t="inlineStr">
        <is>
          <t>HALLANDS LÄN</t>
        </is>
      </c>
      <c r="E2622" t="inlineStr">
        <is>
          <t>HYLTE</t>
        </is>
      </c>
      <c r="G2622" t="n">
        <v>0.5</v>
      </c>
      <c r="H2622" t="n">
        <v>0</v>
      </c>
      <c r="I2622" t="n">
        <v>0</v>
      </c>
      <c r="J2622" t="n">
        <v>0</v>
      </c>
      <c r="K2622" t="n">
        <v>0</v>
      </c>
      <c r="L2622" t="n">
        <v>0</v>
      </c>
      <c r="M2622" t="n">
        <v>0</v>
      </c>
      <c r="N2622" t="n">
        <v>0</v>
      </c>
      <c r="O2622" t="n">
        <v>0</v>
      </c>
      <c r="P2622" t="n">
        <v>0</v>
      </c>
      <c r="Q2622" t="n">
        <v>0</v>
      </c>
      <c r="R2622" s="2" t="inlineStr"/>
    </row>
    <row r="2623" ht="15" customHeight="1">
      <c r="A2623" t="inlineStr">
        <is>
          <t>A 4598-2023</t>
        </is>
      </c>
      <c r="B2623" s="1" t="n">
        <v>44956</v>
      </c>
      <c r="C2623" s="1" t="n">
        <v>45358</v>
      </c>
      <c r="D2623" t="inlineStr">
        <is>
          <t>HALLANDS LÄN</t>
        </is>
      </c>
      <c r="E2623" t="inlineStr">
        <is>
          <t>VARBERG</t>
        </is>
      </c>
      <c r="G2623" t="n">
        <v>2.2</v>
      </c>
      <c r="H2623" t="n">
        <v>0</v>
      </c>
      <c r="I2623" t="n">
        <v>0</v>
      </c>
      <c r="J2623" t="n">
        <v>0</v>
      </c>
      <c r="K2623" t="n">
        <v>0</v>
      </c>
      <c r="L2623" t="n">
        <v>0</v>
      </c>
      <c r="M2623" t="n">
        <v>0</v>
      </c>
      <c r="N2623" t="n">
        <v>0</v>
      </c>
      <c r="O2623" t="n">
        <v>0</v>
      </c>
      <c r="P2623" t="n">
        <v>0</v>
      </c>
      <c r="Q2623" t="n">
        <v>0</v>
      </c>
      <c r="R2623" s="2" t="inlineStr"/>
    </row>
    <row r="2624" ht="15" customHeight="1">
      <c r="A2624" t="inlineStr">
        <is>
          <t>A 4714-2023</t>
        </is>
      </c>
      <c r="B2624" s="1" t="n">
        <v>44957</v>
      </c>
      <c r="C2624" s="1" t="n">
        <v>45358</v>
      </c>
      <c r="D2624" t="inlineStr">
        <is>
          <t>HALLANDS LÄN</t>
        </is>
      </c>
      <c r="E2624" t="inlineStr">
        <is>
          <t>FALKENBERG</t>
        </is>
      </c>
      <c r="G2624" t="n">
        <v>0.3</v>
      </c>
      <c r="H2624" t="n">
        <v>0</v>
      </c>
      <c r="I2624" t="n">
        <v>0</v>
      </c>
      <c r="J2624" t="n">
        <v>0</v>
      </c>
      <c r="K2624" t="n">
        <v>0</v>
      </c>
      <c r="L2624" t="n">
        <v>0</v>
      </c>
      <c r="M2624" t="n">
        <v>0</v>
      </c>
      <c r="N2624" t="n">
        <v>0</v>
      </c>
      <c r="O2624" t="n">
        <v>0</v>
      </c>
      <c r="P2624" t="n">
        <v>0</v>
      </c>
      <c r="Q2624" t="n">
        <v>0</v>
      </c>
      <c r="R2624" s="2" t="inlineStr"/>
    </row>
    <row r="2625" ht="15" customHeight="1">
      <c r="A2625" t="inlineStr">
        <is>
          <t>A 4752-2023</t>
        </is>
      </c>
      <c r="B2625" s="1" t="n">
        <v>44957</v>
      </c>
      <c r="C2625" s="1" t="n">
        <v>45358</v>
      </c>
      <c r="D2625" t="inlineStr">
        <is>
          <t>HALLANDS LÄN</t>
        </is>
      </c>
      <c r="E2625" t="inlineStr">
        <is>
          <t>HALMSTAD</t>
        </is>
      </c>
      <c r="G2625" t="n">
        <v>9.300000000000001</v>
      </c>
      <c r="H2625" t="n">
        <v>0</v>
      </c>
      <c r="I2625" t="n">
        <v>0</v>
      </c>
      <c r="J2625" t="n">
        <v>0</v>
      </c>
      <c r="K2625" t="n">
        <v>0</v>
      </c>
      <c r="L2625" t="n">
        <v>0</v>
      </c>
      <c r="M2625" t="n">
        <v>0</v>
      </c>
      <c r="N2625" t="n">
        <v>0</v>
      </c>
      <c r="O2625" t="n">
        <v>0</v>
      </c>
      <c r="P2625" t="n">
        <v>0</v>
      </c>
      <c r="Q2625" t="n">
        <v>0</v>
      </c>
      <c r="R2625" s="2" t="inlineStr"/>
    </row>
    <row r="2626" ht="15" customHeight="1">
      <c r="A2626" t="inlineStr">
        <is>
          <t>A 4747-2023</t>
        </is>
      </c>
      <c r="B2626" s="1" t="n">
        <v>44957</v>
      </c>
      <c r="C2626" s="1" t="n">
        <v>45358</v>
      </c>
      <c r="D2626" t="inlineStr">
        <is>
          <t>HALLANDS LÄN</t>
        </is>
      </c>
      <c r="E2626" t="inlineStr">
        <is>
          <t>LAHOLM</t>
        </is>
      </c>
      <c r="G2626" t="n">
        <v>2.3</v>
      </c>
      <c r="H2626" t="n">
        <v>0</v>
      </c>
      <c r="I2626" t="n">
        <v>0</v>
      </c>
      <c r="J2626" t="n">
        <v>0</v>
      </c>
      <c r="K2626" t="n">
        <v>0</v>
      </c>
      <c r="L2626" t="n">
        <v>0</v>
      </c>
      <c r="M2626" t="n">
        <v>0</v>
      </c>
      <c r="N2626" t="n">
        <v>0</v>
      </c>
      <c r="O2626" t="n">
        <v>0</v>
      </c>
      <c r="P2626" t="n">
        <v>0</v>
      </c>
      <c r="Q2626" t="n">
        <v>0</v>
      </c>
      <c r="R2626" s="2" t="inlineStr"/>
    </row>
    <row r="2627" ht="15" customHeight="1">
      <c r="A2627" t="inlineStr">
        <is>
          <t>A 4760-2023</t>
        </is>
      </c>
      <c r="B2627" s="1" t="n">
        <v>44957</v>
      </c>
      <c r="C2627" s="1" t="n">
        <v>45358</v>
      </c>
      <c r="D2627" t="inlineStr">
        <is>
          <t>HALLANDS LÄN</t>
        </is>
      </c>
      <c r="E2627" t="inlineStr">
        <is>
          <t>VARBERG</t>
        </is>
      </c>
      <c r="G2627" t="n">
        <v>2.7</v>
      </c>
      <c r="H2627" t="n">
        <v>0</v>
      </c>
      <c r="I2627" t="n">
        <v>0</v>
      </c>
      <c r="J2627" t="n">
        <v>0</v>
      </c>
      <c r="K2627" t="n">
        <v>0</v>
      </c>
      <c r="L2627" t="n">
        <v>0</v>
      </c>
      <c r="M2627" t="n">
        <v>0</v>
      </c>
      <c r="N2627" t="n">
        <v>0</v>
      </c>
      <c r="O2627" t="n">
        <v>0</v>
      </c>
      <c r="P2627" t="n">
        <v>0</v>
      </c>
      <c r="Q2627" t="n">
        <v>0</v>
      </c>
      <c r="R2627" s="2" t="inlineStr"/>
    </row>
    <row r="2628" ht="15" customHeight="1">
      <c r="A2628" t="inlineStr">
        <is>
          <t>A 4713-2023</t>
        </is>
      </c>
      <c r="B2628" s="1" t="n">
        <v>44957</v>
      </c>
      <c r="C2628" s="1" t="n">
        <v>45358</v>
      </c>
      <c r="D2628" t="inlineStr">
        <is>
          <t>HALLANDS LÄN</t>
        </is>
      </c>
      <c r="E2628" t="inlineStr">
        <is>
          <t>FALKENBERG</t>
        </is>
      </c>
      <c r="G2628" t="n">
        <v>2.4</v>
      </c>
      <c r="H2628" t="n">
        <v>0</v>
      </c>
      <c r="I2628" t="n">
        <v>0</v>
      </c>
      <c r="J2628" t="n">
        <v>0</v>
      </c>
      <c r="K2628" t="n">
        <v>0</v>
      </c>
      <c r="L2628" t="n">
        <v>0</v>
      </c>
      <c r="M2628" t="n">
        <v>0</v>
      </c>
      <c r="N2628" t="n">
        <v>0</v>
      </c>
      <c r="O2628" t="n">
        <v>0</v>
      </c>
      <c r="P2628" t="n">
        <v>0</v>
      </c>
      <c r="Q2628" t="n">
        <v>0</v>
      </c>
      <c r="R2628" s="2" t="inlineStr"/>
    </row>
    <row r="2629" ht="15" customHeight="1">
      <c r="A2629" t="inlineStr">
        <is>
          <t>A 4889-2023</t>
        </is>
      </c>
      <c r="B2629" s="1" t="n">
        <v>44958</v>
      </c>
      <c r="C2629" s="1" t="n">
        <v>45358</v>
      </c>
      <c r="D2629" t="inlineStr">
        <is>
          <t>HALLANDS LÄN</t>
        </is>
      </c>
      <c r="E2629" t="inlineStr">
        <is>
          <t>VARBERG</t>
        </is>
      </c>
      <c r="G2629" t="n">
        <v>1.3</v>
      </c>
      <c r="H2629" t="n">
        <v>0</v>
      </c>
      <c r="I2629" t="n">
        <v>0</v>
      </c>
      <c r="J2629" t="n">
        <v>0</v>
      </c>
      <c r="K2629" t="n">
        <v>0</v>
      </c>
      <c r="L2629" t="n">
        <v>0</v>
      </c>
      <c r="M2629" t="n">
        <v>0</v>
      </c>
      <c r="N2629" t="n">
        <v>0</v>
      </c>
      <c r="O2629" t="n">
        <v>0</v>
      </c>
      <c r="P2629" t="n">
        <v>0</v>
      </c>
      <c r="Q2629" t="n">
        <v>0</v>
      </c>
      <c r="R2629" s="2" t="inlineStr"/>
    </row>
    <row r="2630" ht="15" customHeight="1">
      <c r="A2630" t="inlineStr">
        <is>
          <t>A 4887-2023</t>
        </is>
      </c>
      <c r="B2630" s="1" t="n">
        <v>44958</v>
      </c>
      <c r="C2630" s="1" t="n">
        <v>45358</v>
      </c>
      <c r="D2630" t="inlineStr">
        <is>
          <t>HALLANDS LÄN</t>
        </is>
      </c>
      <c r="E2630" t="inlineStr">
        <is>
          <t>HYLTE</t>
        </is>
      </c>
      <c r="G2630" t="n">
        <v>1</v>
      </c>
      <c r="H2630" t="n">
        <v>0</v>
      </c>
      <c r="I2630" t="n">
        <v>0</v>
      </c>
      <c r="J2630" t="n">
        <v>0</v>
      </c>
      <c r="K2630" t="n">
        <v>0</v>
      </c>
      <c r="L2630" t="n">
        <v>0</v>
      </c>
      <c r="M2630" t="n">
        <v>0</v>
      </c>
      <c r="N2630" t="n">
        <v>0</v>
      </c>
      <c r="O2630" t="n">
        <v>0</v>
      </c>
      <c r="P2630" t="n">
        <v>0</v>
      </c>
      <c r="Q2630" t="n">
        <v>0</v>
      </c>
      <c r="R2630" s="2" t="inlineStr"/>
    </row>
    <row r="2631" ht="15" customHeight="1">
      <c r="A2631" t="inlineStr">
        <is>
          <t>A 4970-2023</t>
        </is>
      </c>
      <c r="B2631" s="1" t="n">
        <v>44958</v>
      </c>
      <c r="C2631" s="1" t="n">
        <v>45358</v>
      </c>
      <c r="D2631" t="inlineStr">
        <is>
          <t>HALLANDS LÄN</t>
        </is>
      </c>
      <c r="E2631" t="inlineStr">
        <is>
          <t>FALKENBERG</t>
        </is>
      </c>
      <c r="F2631" t="inlineStr">
        <is>
          <t>Kommuner</t>
        </is>
      </c>
      <c r="G2631" t="n">
        <v>1</v>
      </c>
      <c r="H2631" t="n">
        <v>0</v>
      </c>
      <c r="I2631" t="n">
        <v>0</v>
      </c>
      <c r="J2631" t="n">
        <v>0</v>
      </c>
      <c r="K2631" t="n">
        <v>0</v>
      </c>
      <c r="L2631" t="n">
        <v>0</v>
      </c>
      <c r="M2631" t="n">
        <v>0</v>
      </c>
      <c r="N2631" t="n">
        <v>0</v>
      </c>
      <c r="O2631" t="n">
        <v>0</v>
      </c>
      <c r="P2631" t="n">
        <v>0</v>
      </c>
      <c r="Q2631" t="n">
        <v>0</v>
      </c>
      <c r="R2631" s="2" t="inlineStr"/>
    </row>
    <row r="2632" ht="15" customHeight="1">
      <c r="A2632" t="inlineStr">
        <is>
          <t>A 4973-2023</t>
        </is>
      </c>
      <c r="B2632" s="1" t="n">
        <v>44958</v>
      </c>
      <c r="C2632" s="1" t="n">
        <v>45358</v>
      </c>
      <c r="D2632" t="inlineStr">
        <is>
          <t>HALLANDS LÄN</t>
        </is>
      </c>
      <c r="E2632" t="inlineStr">
        <is>
          <t>FALKENBERG</t>
        </is>
      </c>
      <c r="F2632" t="inlineStr">
        <is>
          <t>Kommuner</t>
        </is>
      </c>
      <c r="G2632" t="n">
        <v>2.1</v>
      </c>
      <c r="H2632" t="n">
        <v>0</v>
      </c>
      <c r="I2632" t="n">
        <v>0</v>
      </c>
      <c r="J2632" t="n">
        <v>0</v>
      </c>
      <c r="K2632" t="n">
        <v>0</v>
      </c>
      <c r="L2632" t="n">
        <v>0</v>
      </c>
      <c r="M2632" t="n">
        <v>0</v>
      </c>
      <c r="N2632" t="n">
        <v>0</v>
      </c>
      <c r="O2632" t="n">
        <v>0</v>
      </c>
      <c r="P2632" t="n">
        <v>0</v>
      </c>
      <c r="Q2632" t="n">
        <v>0</v>
      </c>
      <c r="R2632" s="2" t="inlineStr"/>
    </row>
    <row r="2633" ht="15" customHeight="1">
      <c r="A2633" t="inlineStr">
        <is>
          <t>A 5096-2023</t>
        </is>
      </c>
      <c r="B2633" s="1" t="n">
        <v>44958</v>
      </c>
      <c r="C2633" s="1" t="n">
        <v>45358</v>
      </c>
      <c r="D2633" t="inlineStr">
        <is>
          <t>HALLANDS LÄN</t>
        </is>
      </c>
      <c r="E2633" t="inlineStr">
        <is>
          <t>FALKENBERG</t>
        </is>
      </c>
      <c r="G2633" t="n">
        <v>7.3</v>
      </c>
      <c r="H2633" t="n">
        <v>0</v>
      </c>
      <c r="I2633" t="n">
        <v>0</v>
      </c>
      <c r="J2633" t="n">
        <v>0</v>
      </c>
      <c r="K2633" t="n">
        <v>0</v>
      </c>
      <c r="L2633" t="n">
        <v>0</v>
      </c>
      <c r="M2633" t="n">
        <v>0</v>
      </c>
      <c r="N2633" t="n">
        <v>0</v>
      </c>
      <c r="O2633" t="n">
        <v>0</v>
      </c>
      <c r="P2633" t="n">
        <v>0</v>
      </c>
      <c r="Q2633" t="n">
        <v>0</v>
      </c>
      <c r="R2633" s="2" t="inlineStr"/>
    </row>
    <row r="2634" ht="15" customHeight="1">
      <c r="A2634" t="inlineStr">
        <is>
          <t>A 4886-2023</t>
        </is>
      </c>
      <c r="B2634" s="1" t="n">
        <v>44958</v>
      </c>
      <c r="C2634" s="1" t="n">
        <v>45358</v>
      </c>
      <c r="D2634" t="inlineStr">
        <is>
          <t>HALLANDS LÄN</t>
        </is>
      </c>
      <c r="E2634" t="inlineStr">
        <is>
          <t>HYLTE</t>
        </is>
      </c>
      <c r="G2634" t="n">
        <v>0.9</v>
      </c>
      <c r="H2634" t="n">
        <v>0</v>
      </c>
      <c r="I2634" t="n">
        <v>0</v>
      </c>
      <c r="J2634" t="n">
        <v>0</v>
      </c>
      <c r="K2634" t="n">
        <v>0</v>
      </c>
      <c r="L2634" t="n">
        <v>0</v>
      </c>
      <c r="M2634" t="n">
        <v>0</v>
      </c>
      <c r="N2634" t="n">
        <v>0</v>
      </c>
      <c r="O2634" t="n">
        <v>0</v>
      </c>
      <c r="P2634" t="n">
        <v>0</v>
      </c>
      <c r="Q2634" t="n">
        <v>0</v>
      </c>
      <c r="R2634" s="2" t="inlineStr"/>
    </row>
    <row r="2635" ht="15" customHeight="1">
      <c r="A2635" t="inlineStr">
        <is>
          <t>A 5210-2023</t>
        </is>
      </c>
      <c r="B2635" s="1" t="n">
        <v>44959</v>
      </c>
      <c r="C2635" s="1" t="n">
        <v>45358</v>
      </c>
      <c r="D2635" t="inlineStr">
        <is>
          <t>HALLANDS LÄN</t>
        </is>
      </c>
      <c r="E2635" t="inlineStr">
        <is>
          <t>HALMSTAD</t>
        </is>
      </c>
      <c r="G2635" t="n">
        <v>2.2</v>
      </c>
      <c r="H2635" t="n">
        <v>0</v>
      </c>
      <c r="I2635" t="n">
        <v>0</v>
      </c>
      <c r="J2635" t="n">
        <v>0</v>
      </c>
      <c r="K2635" t="n">
        <v>0</v>
      </c>
      <c r="L2635" t="n">
        <v>0</v>
      </c>
      <c r="M2635" t="n">
        <v>0</v>
      </c>
      <c r="N2635" t="n">
        <v>0</v>
      </c>
      <c r="O2635" t="n">
        <v>0</v>
      </c>
      <c r="P2635" t="n">
        <v>0</v>
      </c>
      <c r="Q2635" t="n">
        <v>0</v>
      </c>
      <c r="R2635" s="2" t="inlineStr"/>
    </row>
    <row r="2636" ht="15" customHeight="1">
      <c r="A2636" t="inlineStr">
        <is>
          <t>A 5419-2023</t>
        </is>
      </c>
      <c r="B2636" s="1" t="n">
        <v>44959</v>
      </c>
      <c r="C2636" s="1" t="n">
        <v>45358</v>
      </c>
      <c r="D2636" t="inlineStr">
        <is>
          <t>HALLANDS LÄN</t>
        </is>
      </c>
      <c r="E2636" t="inlineStr">
        <is>
          <t>LAHOLM</t>
        </is>
      </c>
      <c r="G2636" t="n">
        <v>2.9</v>
      </c>
      <c r="H2636" t="n">
        <v>0</v>
      </c>
      <c r="I2636" t="n">
        <v>0</v>
      </c>
      <c r="J2636" t="n">
        <v>0</v>
      </c>
      <c r="K2636" t="n">
        <v>0</v>
      </c>
      <c r="L2636" t="n">
        <v>0</v>
      </c>
      <c r="M2636" t="n">
        <v>0</v>
      </c>
      <c r="N2636" t="n">
        <v>0</v>
      </c>
      <c r="O2636" t="n">
        <v>0</v>
      </c>
      <c r="P2636" t="n">
        <v>0</v>
      </c>
      <c r="Q2636" t="n">
        <v>0</v>
      </c>
      <c r="R2636" s="2" t="inlineStr"/>
    </row>
    <row r="2637" ht="15" customHeight="1">
      <c r="A2637" t="inlineStr">
        <is>
          <t>A 5796-2023</t>
        </is>
      </c>
      <c r="B2637" s="1" t="n">
        <v>44963</v>
      </c>
      <c r="C2637" s="1" t="n">
        <v>45358</v>
      </c>
      <c r="D2637" t="inlineStr">
        <is>
          <t>HALLANDS LÄN</t>
        </is>
      </c>
      <c r="E2637" t="inlineStr">
        <is>
          <t>FALKENBERG</t>
        </is>
      </c>
      <c r="G2637" t="n">
        <v>0.6</v>
      </c>
      <c r="H2637" t="n">
        <v>0</v>
      </c>
      <c r="I2637" t="n">
        <v>0</v>
      </c>
      <c r="J2637" t="n">
        <v>0</v>
      </c>
      <c r="K2637" t="n">
        <v>0</v>
      </c>
      <c r="L2637" t="n">
        <v>0</v>
      </c>
      <c r="M2637" t="n">
        <v>0</v>
      </c>
      <c r="N2637" t="n">
        <v>0</v>
      </c>
      <c r="O2637" t="n">
        <v>0</v>
      </c>
      <c r="P2637" t="n">
        <v>0</v>
      </c>
      <c r="Q2637" t="n">
        <v>0</v>
      </c>
      <c r="R2637" s="2" t="inlineStr"/>
    </row>
    <row r="2638" ht="15" customHeight="1">
      <c r="A2638" t="inlineStr">
        <is>
          <t>A 5795-2023</t>
        </is>
      </c>
      <c r="B2638" s="1" t="n">
        <v>44963</v>
      </c>
      <c r="C2638" s="1" t="n">
        <v>45358</v>
      </c>
      <c r="D2638" t="inlineStr">
        <is>
          <t>HALLANDS LÄN</t>
        </is>
      </c>
      <c r="E2638" t="inlineStr">
        <is>
          <t>FALKENBERG</t>
        </is>
      </c>
      <c r="G2638" t="n">
        <v>0.3</v>
      </c>
      <c r="H2638" t="n">
        <v>0</v>
      </c>
      <c r="I2638" t="n">
        <v>0</v>
      </c>
      <c r="J2638" t="n">
        <v>0</v>
      </c>
      <c r="K2638" t="n">
        <v>0</v>
      </c>
      <c r="L2638" t="n">
        <v>0</v>
      </c>
      <c r="M2638" t="n">
        <v>0</v>
      </c>
      <c r="N2638" t="n">
        <v>0</v>
      </c>
      <c r="O2638" t="n">
        <v>0</v>
      </c>
      <c r="P2638" t="n">
        <v>0</v>
      </c>
      <c r="Q2638" t="n">
        <v>0</v>
      </c>
      <c r="R2638" s="2" t="inlineStr"/>
    </row>
    <row r="2639" ht="15" customHeight="1">
      <c r="A2639" t="inlineStr">
        <is>
          <t>A 5969-2023</t>
        </is>
      </c>
      <c r="B2639" s="1" t="n">
        <v>44964</v>
      </c>
      <c r="C2639" s="1" t="n">
        <v>45358</v>
      </c>
      <c r="D2639" t="inlineStr">
        <is>
          <t>HALLANDS LÄN</t>
        </is>
      </c>
      <c r="E2639" t="inlineStr">
        <is>
          <t>VARBERG</t>
        </is>
      </c>
      <c r="G2639" t="n">
        <v>2.7</v>
      </c>
      <c r="H2639" t="n">
        <v>0</v>
      </c>
      <c r="I2639" t="n">
        <v>0</v>
      </c>
      <c r="J2639" t="n">
        <v>0</v>
      </c>
      <c r="K2639" t="n">
        <v>0</v>
      </c>
      <c r="L2639" t="n">
        <v>0</v>
      </c>
      <c r="M2639" t="n">
        <v>0</v>
      </c>
      <c r="N2639" t="n">
        <v>0</v>
      </c>
      <c r="O2639" t="n">
        <v>0</v>
      </c>
      <c r="P2639" t="n">
        <v>0</v>
      </c>
      <c r="Q2639" t="n">
        <v>0</v>
      </c>
      <c r="R2639" s="2" t="inlineStr"/>
    </row>
    <row r="2640" ht="15" customHeight="1">
      <c r="A2640" t="inlineStr">
        <is>
          <t>A 6036-2023</t>
        </is>
      </c>
      <c r="B2640" s="1" t="n">
        <v>44964</v>
      </c>
      <c r="C2640" s="1" t="n">
        <v>45358</v>
      </c>
      <c r="D2640" t="inlineStr">
        <is>
          <t>HALLANDS LÄN</t>
        </is>
      </c>
      <c r="E2640" t="inlineStr">
        <is>
          <t>FALKENBERG</t>
        </is>
      </c>
      <c r="G2640" t="n">
        <v>1.5</v>
      </c>
      <c r="H2640" t="n">
        <v>0</v>
      </c>
      <c r="I2640" t="n">
        <v>0</v>
      </c>
      <c r="J2640" t="n">
        <v>0</v>
      </c>
      <c r="K2640" t="n">
        <v>0</v>
      </c>
      <c r="L2640" t="n">
        <v>0</v>
      </c>
      <c r="M2640" t="n">
        <v>0</v>
      </c>
      <c r="N2640" t="n">
        <v>0</v>
      </c>
      <c r="O2640" t="n">
        <v>0</v>
      </c>
      <c r="P2640" t="n">
        <v>0</v>
      </c>
      <c r="Q2640" t="n">
        <v>0</v>
      </c>
      <c r="R2640" s="2" t="inlineStr"/>
    </row>
    <row r="2641" ht="15" customHeight="1">
      <c r="A2641" t="inlineStr">
        <is>
          <t>A 6097-2023</t>
        </is>
      </c>
      <c r="B2641" s="1" t="n">
        <v>44964</v>
      </c>
      <c r="C2641" s="1" t="n">
        <v>45358</v>
      </c>
      <c r="D2641" t="inlineStr">
        <is>
          <t>HALLANDS LÄN</t>
        </is>
      </c>
      <c r="E2641" t="inlineStr">
        <is>
          <t>HYLTE</t>
        </is>
      </c>
      <c r="G2641" t="n">
        <v>1.5</v>
      </c>
      <c r="H2641" t="n">
        <v>0</v>
      </c>
      <c r="I2641" t="n">
        <v>0</v>
      </c>
      <c r="J2641" t="n">
        <v>0</v>
      </c>
      <c r="K2641" t="n">
        <v>0</v>
      </c>
      <c r="L2641" t="n">
        <v>0</v>
      </c>
      <c r="M2641" t="n">
        <v>0</v>
      </c>
      <c r="N2641" t="n">
        <v>0</v>
      </c>
      <c r="O2641" t="n">
        <v>0</v>
      </c>
      <c r="P2641" t="n">
        <v>0</v>
      </c>
      <c r="Q2641" t="n">
        <v>0</v>
      </c>
      <c r="R2641" s="2" t="inlineStr"/>
    </row>
    <row r="2642" ht="15" customHeight="1">
      <c r="A2642" t="inlineStr">
        <is>
          <t>A 6191-2023</t>
        </is>
      </c>
      <c r="B2642" s="1" t="n">
        <v>44964</v>
      </c>
      <c r="C2642" s="1" t="n">
        <v>45358</v>
      </c>
      <c r="D2642" t="inlineStr">
        <is>
          <t>HALLANDS LÄN</t>
        </is>
      </c>
      <c r="E2642" t="inlineStr">
        <is>
          <t>LAHOLM</t>
        </is>
      </c>
      <c r="G2642" t="n">
        <v>0.9</v>
      </c>
      <c r="H2642" t="n">
        <v>0</v>
      </c>
      <c r="I2642" t="n">
        <v>0</v>
      </c>
      <c r="J2642" t="n">
        <v>0</v>
      </c>
      <c r="K2642" t="n">
        <v>0</v>
      </c>
      <c r="L2642" t="n">
        <v>0</v>
      </c>
      <c r="M2642" t="n">
        <v>0</v>
      </c>
      <c r="N2642" t="n">
        <v>0</v>
      </c>
      <c r="O2642" t="n">
        <v>0</v>
      </c>
      <c r="P2642" t="n">
        <v>0</v>
      </c>
      <c r="Q2642" t="n">
        <v>0</v>
      </c>
      <c r="R2642" s="2" t="inlineStr"/>
    </row>
    <row r="2643" ht="15" customHeight="1">
      <c r="A2643" t="inlineStr">
        <is>
          <t>A 6942-2023</t>
        </is>
      </c>
      <c r="B2643" s="1" t="n">
        <v>44964</v>
      </c>
      <c r="C2643" s="1" t="n">
        <v>45358</v>
      </c>
      <c r="D2643" t="inlineStr">
        <is>
          <t>HALLANDS LÄN</t>
        </is>
      </c>
      <c r="E2643" t="inlineStr">
        <is>
          <t>HALMSTAD</t>
        </is>
      </c>
      <c r="F2643" t="inlineStr">
        <is>
          <t>Bergvik skog väst AB</t>
        </is>
      </c>
      <c r="G2643" t="n">
        <v>2.2</v>
      </c>
      <c r="H2643" t="n">
        <v>0</v>
      </c>
      <c r="I2643" t="n">
        <v>0</v>
      </c>
      <c r="J2643" t="n">
        <v>0</v>
      </c>
      <c r="K2643" t="n">
        <v>0</v>
      </c>
      <c r="L2643" t="n">
        <v>0</v>
      </c>
      <c r="M2643" t="n">
        <v>0</v>
      </c>
      <c r="N2643" t="n">
        <v>0</v>
      </c>
      <c r="O2643" t="n">
        <v>0</v>
      </c>
      <c r="P2643" t="n">
        <v>0</v>
      </c>
      <c r="Q2643" t="n">
        <v>0</v>
      </c>
      <c r="R2643" s="2" t="inlineStr"/>
    </row>
    <row r="2644" ht="15" customHeight="1">
      <c r="A2644" t="inlineStr">
        <is>
          <t>A 6087-2023</t>
        </is>
      </c>
      <c r="B2644" s="1" t="n">
        <v>44964</v>
      </c>
      <c r="C2644" s="1" t="n">
        <v>45358</v>
      </c>
      <c r="D2644" t="inlineStr">
        <is>
          <t>HALLANDS LÄN</t>
        </is>
      </c>
      <c r="E2644" t="inlineStr">
        <is>
          <t>HALMSTAD</t>
        </is>
      </c>
      <c r="G2644" t="n">
        <v>1.6</v>
      </c>
      <c r="H2644" t="n">
        <v>0</v>
      </c>
      <c r="I2644" t="n">
        <v>0</v>
      </c>
      <c r="J2644" t="n">
        <v>0</v>
      </c>
      <c r="K2644" t="n">
        <v>0</v>
      </c>
      <c r="L2644" t="n">
        <v>0</v>
      </c>
      <c r="M2644" t="n">
        <v>0</v>
      </c>
      <c r="N2644" t="n">
        <v>0</v>
      </c>
      <c r="O2644" t="n">
        <v>0</v>
      </c>
      <c r="P2644" t="n">
        <v>0</v>
      </c>
      <c r="Q2644" t="n">
        <v>0</v>
      </c>
      <c r="R2644" s="2" t="inlineStr"/>
    </row>
    <row r="2645" ht="15" customHeight="1">
      <c r="A2645" t="inlineStr">
        <is>
          <t>A 6119-2023</t>
        </is>
      </c>
      <c r="B2645" s="1" t="n">
        <v>44964</v>
      </c>
      <c r="C2645" s="1" t="n">
        <v>45358</v>
      </c>
      <c r="D2645" t="inlineStr">
        <is>
          <t>HALLANDS LÄN</t>
        </is>
      </c>
      <c r="E2645" t="inlineStr">
        <is>
          <t>LAHOLM</t>
        </is>
      </c>
      <c r="G2645" t="n">
        <v>0.9</v>
      </c>
      <c r="H2645" t="n">
        <v>0</v>
      </c>
      <c r="I2645" t="n">
        <v>0</v>
      </c>
      <c r="J2645" t="n">
        <v>0</v>
      </c>
      <c r="K2645" t="n">
        <v>0</v>
      </c>
      <c r="L2645" t="n">
        <v>0</v>
      </c>
      <c r="M2645" t="n">
        <v>0</v>
      </c>
      <c r="N2645" t="n">
        <v>0</v>
      </c>
      <c r="O2645" t="n">
        <v>0</v>
      </c>
      <c r="P2645" t="n">
        <v>0</v>
      </c>
      <c r="Q2645" t="n">
        <v>0</v>
      </c>
      <c r="R2645" s="2" t="inlineStr"/>
    </row>
    <row r="2646" ht="15" customHeight="1">
      <c r="A2646" t="inlineStr">
        <is>
          <t>A 6123-2023</t>
        </is>
      </c>
      <c r="B2646" s="1" t="n">
        <v>44964</v>
      </c>
      <c r="C2646" s="1" t="n">
        <v>45358</v>
      </c>
      <c r="D2646" t="inlineStr">
        <is>
          <t>HALLANDS LÄN</t>
        </is>
      </c>
      <c r="E2646" t="inlineStr">
        <is>
          <t>LAHOLM</t>
        </is>
      </c>
      <c r="G2646" t="n">
        <v>5.7</v>
      </c>
      <c r="H2646" t="n">
        <v>0</v>
      </c>
      <c r="I2646" t="n">
        <v>0</v>
      </c>
      <c r="J2646" t="n">
        <v>0</v>
      </c>
      <c r="K2646" t="n">
        <v>0</v>
      </c>
      <c r="L2646" t="n">
        <v>0</v>
      </c>
      <c r="M2646" t="n">
        <v>0</v>
      </c>
      <c r="N2646" t="n">
        <v>0</v>
      </c>
      <c r="O2646" t="n">
        <v>0</v>
      </c>
      <c r="P2646" t="n">
        <v>0</v>
      </c>
      <c r="Q2646" t="n">
        <v>0</v>
      </c>
      <c r="R2646" s="2" t="inlineStr"/>
    </row>
    <row r="2647" ht="15" customHeight="1">
      <c r="A2647" t="inlineStr">
        <is>
          <t>A 6106-2023</t>
        </is>
      </c>
      <c r="B2647" s="1" t="n">
        <v>44964</v>
      </c>
      <c r="C2647" s="1" t="n">
        <v>45358</v>
      </c>
      <c r="D2647" t="inlineStr">
        <is>
          <t>HALLANDS LÄN</t>
        </is>
      </c>
      <c r="E2647" t="inlineStr">
        <is>
          <t>HYLTE</t>
        </is>
      </c>
      <c r="G2647" t="n">
        <v>2.7</v>
      </c>
      <c r="H2647" t="n">
        <v>0</v>
      </c>
      <c r="I2647" t="n">
        <v>0</v>
      </c>
      <c r="J2647" t="n">
        <v>0</v>
      </c>
      <c r="K2647" t="n">
        <v>0</v>
      </c>
      <c r="L2647" t="n">
        <v>0</v>
      </c>
      <c r="M2647" t="n">
        <v>0</v>
      </c>
      <c r="N2647" t="n">
        <v>0</v>
      </c>
      <c r="O2647" t="n">
        <v>0</v>
      </c>
      <c r="P2647" t="n">
        <v>0</v>
      </c>
      <c r="Q2647" t="n">
        <v>0</v>
      </c>
      <c r="R2647" s="2" t="inlineStr"/>
    </row>
    <row r="2648" ht="15" customHeight="1">
      <c r="A2648" t="inlineStr">
        <is>
          <t>A 6187-2023</t>
        </is>
      </c>
      <c r="B2648" s="1" t="n">
        <v>44964</v>
      </c>
      <c r="C2648" s="1" t="n">
        <v>45358</v>
      </c>
      <c r="D2648" t="inlineStr">
        <is>
          <t>HALLANDS LÄN</t>
        </is>
      </c>
      <c r="E2648" t="inlineStr">
        <is>
          <t>LAHOLM</t>
        </is>
      </c>
      <c r="G2648" t="n">
        <v>1.8</v>
      </c>
      <c r="H2648" t="n">
        <v>0</v>
      </c>
      <c r="I2648" t="n">
        <v>0</v>
      </c>
      <c r="J2648" t="n">
        <v>0</v>
      </c>
      <c r="K2648" t="n">
        <v>0</v>
      </c>
      <c r="L2648" t="n">
        <v>0</v>
      </c>
      <c r="M2648" t="n">
        <v>0</v>
      </c>
      <c r="N2648" t="n">
        <v>0</v>
      </c>
      <c r="O2648" t="n">
        <v>0</v>
      </c>
      <c r="P2648" t="n">
        <v>0</v>
      </c>
      <c r="Q2648" t="n">
        <v>0</v>
      </c>
      <c r="R2648" s="2" t="inlineStr"/>
    </row>
    <row r="2649" ht="15" customHeight="1">
      <c r="A2649" t="inlineStr">
        <is>
          <t>A 6947-2023</t>
        </is>
      </c>
      <c r="B2649" s="1" t="n">
        <v>44964</v>
      </c>
      <c r="C2649" s="1" t="n">
        <v>45358</v>
      </c>
      <c r="D2649" t="inlineStr">
        <is>
          <t>HALLANDS LÄN</t>
        </is>
      </c>
      <c r="E2649" t="inlineStr">
        <is>
          <t>HALMSTAD</t>
        </is>
      </c>
      <c r="F2649" t="inlineStr">
        <is>
          <t>Bergvik skog väst AB</t>
        </is>
      </c>
      <c r="G2649" t="n">
        <v>1.1</v>
      </c>
      <c r="H2649" t="n">
        <v>0</v>
      </c>
      <c r="I2649" t="n">
        <v>0</v>
      </c>
      <c r="J2649" t="n">
        <v>0</v>
      </c>
      <c r="K2649" t="n">
        <v>0</v>
      </c>
      <c r="L2649" t="n">
        <v>0</v>
      </c>
      <c r="M2649" t="n">
        <v>0</v>
      </c>
      <c r="N2649" t="n">
        <v>0</v>
      </c>
      <c r="O2649" t="n">
        <v>0</v>
      </c>
      <c r="P2649" t="n">
        <v>0</v>
      </c>
      <c r="Q2649" t="n">
        <v>0</v>
      </c>
      <c r="R2649" s="2" t="inlineStr"/>
    </row>
    <row r="2650" ht="15" customHeight="1">
      <c r="A2650" t="inlineStr">
        <is>
          <t>A 6951-2023</t>
        </is>
      </c>
      <c r="B2650" s="1" t="n">
        <v>44964</v>
      </c>
      <c r="C2650" s="1" t="n">
        <v>45358</v>
      </c>
      <c r="D2650" t="inlineStr">
        <is>
          <t>HALLANDS LÄN</t>
        </is>
      </c>
      <c r="E2650" t="inlineStr">
        <is>
          <t>HALMSTAD</t>
        </is>
      </c>
      <c r="F2650" t="inlineStr">
        <is>
          <t>Bergvik skog väst AB</t>
        </is>
      </c>
      <c r="G2650" t="n">
        <v>0.7</v>
      </c>
      <c r="H2650" t="n">
        <v>0</v>
      </c>
      <c r="I2650" t="n">
        <v>0</v>
      </c>
      <c r="J2650" t="n">
        <v>0</v>
      </c>
      <c r="K2650" t="n">
        <v>0</v>
      </c>
      <c r="L2650" t="n">
        <v>0</v>
      </c>
      <c r="M2650" t="n">
        <v>0</v>
      </c>
      <c r="N2650" t="n">
        <v>0</v>
      </c>
      <c r="O2650" t="n">
        <v>0</v>
      </c>
      <c r="P2650" t="n">
        <v>0</v>
      </c>
      <c r="Q2650" t="n">
        <v>0</v>
      </c>
      <c r="R2650" s="2" t="inlineStr"/>
    </row>
    <row r="2651" ht="15" customHeight="1">
      <c r="A2651" t="inlineStr">
        <is>
          <t>A 6272-2023</t>
        </is>
      </c>
      <c r="B2651" s="1" t="n">
        <v>44965</v>
      </c>
      <c r="C2651" s="1" t="n">
        <v>45358</v>
      </c>
      <c r="D2651" t="inlineStr">
        <is>
          <t>HALLANDS LÄN</t>
        </is>
      </c>
      <c r="E2651" t="inlineStr">
        <is>
          <t>HYLTE</t>
        </is>
      </c>
      <c r="F2651" t="inlineStr">
        <is>
          <t>Bergvik skog väst AB</t>
        </is>
      </c>
      <c r="G2651" t="n">
        <v>6.6</v>
      </c>
      <c r="H2651" t="n">
        <v>0</v>
      </c>
      <c r="I2651" t="n">
        <v>0</v>
      </c>
      <c r="J2651" t="n">
        <v>0</v>
      </c>
      <c r="K2651" t="n">
        <v>0</v>
      </c>
      <c r="L2651" t="n">
        <v>0</v>
      </c>
      <c r="M2651" t="n">
        <v>0</v>
      </c>
      <c r="N2651" t="n">
        <v>0</v>
      </c>
      <c r="O2651" t="n">
        <v>0</v>
      </c>
      <c r="P2651" t="n">
        <v>0</v>
      </c>
      <c r="Q2651" t="n">
        <v>0</v>
      </c>
      <c r="R2651" s="2" t="inlineStr"/>
    </row>
    <row r="2652" ht="15" customHeight="1">
      <c r="A2652" t="inlineStr">
        <is>
          <t>A 6508-2023</t>
        </is>
      </c>
      <c r="B2652" s="1" t="n">
        <v>44966</v>
      </c>
      <c r="C2652" s="1" t="n">
        <v>45358</v>
      </c>
      <c r="D2652" t="inlineStr">
        <is>
          <t>HALLANDS LÄN</t>
        </is>
      </c>
      <c r="E2652" t="inlineStr">
        <is>
          <t>FALKENBERG</t>
        </is>
      </c>
      <c r="G2652" t="n">
        <v>7</v>
      </c>
      <c r="H2652" t="n">
        <v>0</v>
      </c>
      <c r="I2652" t="n">
        <v>0</v>
      </c>
      <c r="J2652" t="n">
        <v>0</v>
      </c>
      <c r="K2652" t="n">
        <v>0</v>
      </c>
      <c r="L2652" t="n">
        <v>0</v>
      </c>
      <c r="M2652" t="n">
        <v>0</v>
      </c>
      <c r="N2652" t="n">
        <v>0</v>
      </c>
      <c r="O2652" t="n">
        <v>0</v>
      </c>
      <c r="P2652" t="n">
        <v>0</v>
      </c>
      <c r="Q2652" t="n">
        <v>0</v>
      </c>
      <c r="R2652" s="2" t="inlineStr"/>
    </row>
    <row r="2653" ht="15" customHeight="1">
      <c r="A2653" t="inlineStr">
        <is>
          <t>A 6486-2023</t>
        </is>
      </c>
      <c r="B2653" s="1" t="n">
        <v>44966</v>
      </c>
      <c r="C2653" s="1" t="n">
        <v>45358</v>
      </c>
      <c r="D2653" t="inlineStr">
        <is>
          <t>HALLANDS LÄN</t>
        </is>
      </c>
      <c r="E2653" t="inlineStr">
        <is>
          <t>VARBERG</t>
        </is>
      </c>
      <c r="G2653" t="n">
        <v>1.9</v>
      </c>
      <c r="H2653" t="n">
        <v>0</v>
      </c>
      <c r="I2653" t="n">
        <v>0</v>
      </c>
      <c r="J2653" t="n">
        <v>0</v>
      </c>
      <c r="K2653" t="n">
        <v>0</v>
      </c>
      <c r="L2653" t="n">
        <v>0</v>
      </c>
      <c r="M2653" t="n">
        <v>0</v>
      </c>
      <c r="N2653" t="n">
        <v>0</v>
      </c>
      <c r="O2653" t="n">
        <v>0</v>
      </c>
      <c r="P2653" t="n">
        <v>0</v>
      </c>
      <c r="Q2653" t="n">
        <v>0</v>
      </c>
      <c r="R2653" s="2" t="inlineStr"/>
    </row>
    <row r="2654" ht="15" customHeight="1">
      <c r="A2654" t="inlineStr">
        <is>
          <t>A 6689-2023</t>
        </is>
      </c>
      <c r="B2654" s="1" t="n">
        <v>44966</v>
      </c>
      <c r="C2654" s="1" t="n">
        <v>45358</v>
      </c>
      <c r="D2654" t="inlineStr">
        <is>
          <t>HALLANDS LÄN</t>
        </is>
      </c>
      <c r="E2654" t="inlineStr">
        <is>
          <t>FALKENBERG</t>
        </is>
      </c>
      <c r="G2654" t="n">
        <v>1.2</v>
      </c>
      <c r="H2654" t="n">
        <v>0</v>
      </c>
      <c r="I2654" t="n">
        <v>0</v>
      </c>
      <c r="J2654" t="n">
        <v>0</v>
      </c>
      <c r="K2654" t="n">
        <v>0</v>
      </c>
      <c r="L2654" t="n">
        <v>0</v>
      </c>
      <c r="M2654" t="n">
        <v>0</v>
      </c>
      <c r="N2654" t="n">
        <v>0</v>
      </c>
      <c r="O2654" t="n">
        <v>0</v>
      </c>
      <c r="P2654" t="n">
        <v>0</v>
      </c>
      <c r="Q2654" t="n">
        <v>0</v>
      </c>
      <c r="R2654" s="2" t="inlineStr"/>
    </row>
    <row r="2655" ht="15" customHeight="1">
      <c r="A2655" t="inlineStr">
        <is>
          <t>A 6909-2023</t>
        </is>
      </c>
      <c r="B2655" s="1" t="n">
        <v>44967</v>
      </c>
      <c r="C2655" s="1" t="n">
        <v>45358</v>
      </c>
      <c r="D2655" t="inlineStr">
        <is>
          <t>HALLANDS LÄN</t>
        </is>
      </c>
      <c r="E2655" t="inlineStr">
        <is>
          <t>HYLTE</t>
        </is>
      </c>
      <c r="G2655" t="n">
        <v>3.5</v>
      </c>
      <c r="H2655" t="n">
        <v>0</v>
      </c>
      <c r="I2655" t="n">
        <v>0</v>
      </c>
      <c r="J2655" t="n">
        <v>0</v>
      </c>
      <c r="K2655" t="n">
        <v>0</v>
      </c>
      <c r="L2655" t="n">
        <v>0</v>
      </c>
      <c r="M2655" t="n">
        <v>0</v>
      </c>
      <c r="N2655" t="n">
        <v>0</v>
      </c>
      <c r="O2655" t="n">
        <v>0</v>
      </c>
      <c r="P2655" t="n">
        <v>0</v>
      </c>
      <c r="Q2655" t="n">
        <v>0</v>
      </c>
      <c r="R2655" s="2" t="inlineStr"/>
    </row>
    <row r="2656" ht="15" customHeight="1">
      <c r="A2656" t="inlineStr">
        <is>
          <t>A 6803-2023</t>
        </is>
      </c>
      <c r="B2656" s="1" t="n">
        <v>44967</v>
      </c>
      <c r="C2656" s="1" t="n">
        <v>45358</v>
      </c>
      <c r="D2656" t="inlineStr">
        <is>
          <t>HALLANDS LÄN</t>
        </is>
      </c>
      <c r="E2656" t="inlineStr">
        <is>
          <t>VARBERG</t>
        </is>
      </c>
      <c r="G2656" t="n">
        <v>2.4</v>
      </c>
      <c r="H2656" t="n">
        <v>0</v>
      </c>
      <c r="I2656" t="n">
        <v>0</v>
      </c>
      <c r="J2656" t="n">
        <v>0</v>
      </c>
      <c r="K2656" t="n">
        <v>0</v>
      </c>
      <c r="L2656" t="n">
        <v>0</v>
      </c>
      <c r="M2656" t="n">
        <v>0</v>
      </c>
      <c r="N2656" t="n">
        <v>0</v>
      </c>
      <c r="O2656" t="n">
        <v>0</v>
      </c>
      <c r="P2656" t="n">
        <v>0</v>
      </c>
      <c r="Q2656" t="n">
        <v>0</v>
      </c>
      <c r="R2656" s="2" t="inlineStr"/>
    </row>
    <row r="2657" ht="15" customHeight="1">
      <c r="A2657" t="inlineStr">
        <is>
          <t>A 6978-2023</t>
        </is>
      </c>
      <c r="B2657" s="1" t="n">
        <v>44967</v>
      </c>
      <c r="C2657" s="1" t="n">
        <v>45358</v>
      </c>
      <c r="D2657" t="inlineStr">
        <is>
          <t>HALLANDS LÄN</t>
        </is>
      </c>
      <c r="E2657" t="inlineStr">
        <is>
          <t>KUNGSBACKA</t>
        </is>
      </c>
      <c r="G2657" t="n">
        <v>0.8</v>
      </c>
      <c r="H2657" t="n">
        <v>0</v>
      </c>
      <c r="I2657" t="n">
        <v>0</v>
      </c>
      <c r="J2657" t="n">
        <v>0</v>
      </c>
      <c r="K2657" t="n">
        <v>0</v>
      </c>
      <c r="L2657" t="n">
        <v>0</v>
      </c>
      <c r="M2657" t="n">
        <v>0</v>
      </c>
      <c r="N2657" t="n">
        <v>0</v>
      </c>
      <c r="O2657" t="n">
        <v>0</v>
      </c>
      <c r="P2657" t="n">
        <v>0</v>
      </c>
      <c r="Q2657" t="n">
        <v>0</v>
      </c>
      <c r="R2657" s="2" t="inlineStr"/>
    </row>
    <row r="2658" ht="15" customHeight="1">
      <c r="A2658" t="inlineStr">
        <is>
          <t>A 7103-2023</t>
        </is>
      </c>
      <c r="B2658" s="1" t="n">
        <v>44970</v>
      </c>
      <c r="C2658" s="1" t="n">
        <v>45358</v>
      </c>
      <c r="D2658" t="inlineStr">
        <is>
          <t>HALLANDS LÄN</t>
        </is>
      </c>
      <c r="E2658" t="inlineStr">
        <is>
          <t>VARBERG</t>
        </is>
      </c>
      <c r="G2658" t="n">
        <v>1.8</v>
      </c>
      <c r="H2658" t="n">
        <v>0</v>
      </c>
      <c r="I2658" t="n">
        <v>0</v>
      </c>
      <c r="J2658" t="n">
        <v>0</v>
      </c>
      <c r="K2658" t="n">
        <v>0</v>
      </c>
      <c r="L2658" t="n">
        <v>0</v>
      </c>
      <c r="M2658" t="n">
        <v>0</v>
      </c>
      <c r="N2658" t="n">
        <v>0</v>
      </c>
      <c r="O2658" t="n">
        <v>0</v>
      </c>
      <c r="P2658" t="n">
        <v>0</v>
      </c>
      <c r="Q2658" t="n">
        <v>0</v>
      </c>
      <c r="R2658" s="2" t="inlineStr"/>
    </row>
    <row r="2659" ht="15" customHeight="1">
      <c r="A2659" t="inlineStr">
        <is>
          <t>A 7109-2023</t>
        </is>
      </c>
      <c r="B2659" s="1" t="n">
        <v>44970</v>
      </c>
      <c r="C2659" s="1" t="n">
        <v>45358</v>
      </c>
      <c r="D2659" t="inlineStr">
        <is>
          <t>HALLANDS LÄN</t>
        </is>
      </c>
      <c r="E2659" t="inlineStr">
        <is>
          <t>VARBERG</t>
        </is>
      </c>
      <c r="G2659" t="n">
        <v>2.1</v>
      </c>
      <c r="H2659" t="n">
        <v>0</v>
      </c>
      <c r="I2659" t="n">
        <v>0</v>
      </c>
      <c r="J2659" t="n">
        <v>0</v>
      </c>
      <c r="K2659" t="n">
        <v>0</v>
      </c>
      <c r="L2659" t="n">
        <v>0</v>
      </c>
      <c r="M2659" t="n">
        <v>0</v>
      </c>
      <c r="N2659" t="n">
        <v>0</v>
      </c>
      <c r="O2659" t="n">
        <v>0</v>
      </c>
      <c r="P2659" t="n">
        <v>0</v>
      </c>
      <c r="Q2659" t="n">
        <v>0</v>
      </c>
      <c r="R2659" s="2" t="inlineStr"/>
    </row>
    <row r="2660" ht="15" customHeight="1">
      <c r="A2660" t="inlineStr">
        <is>
          <t>A 7226-2023</t>
        </is>
      </c>
      <c r="B2660" s="1" t="n">
        <v>44970</v>
      </c>
      <c r="C2660" s="1" t="n">
        <v>45358</v>
      </c>
      <c r="D2660" t="inlineStr">
        <is>
          <t>HALLANDS LÄN</t>
        </is>
      </c>
      <c r="E2660" t="inlineStr">
        <is>
          <t>HYLTE</t>
        </is>
      </c>
      <c r="G2660" t="n">
        <v>1.8</v>
      </c>
      <c r="H2660" t="n">
        <v>0</v>
      </c>
      <c r="I2660" t="n">
        <v>0</v>
      </c>
      <c r="J2660" t="n">
        <v>0</v>
      </c>
      <c r="K2660" t="n">
        <v>0</v>
      </c>
      <c r="L2660" t="n">
        <v>0</v>
      </c>
      <c r="M2660" t="n">
        <v>0</v>
      </c>
      <c r="N2660" t="n">
        <v>0</v>
      </c>
      <c r="O2660" t="n">
        <v>0</v>
      </c>
      <c r="P2660" t="n">
        <v>0</v>
      </c>
      <c r="Q2660" t="n">
        <v>0</v>
      </c>
      <c r="R2660" s="2" t="inlineStr"/>
    </row>
    <row r="2661" ht="15" customHeight="1">
      <c r="A2661" t="inlineStr">
        <is>
          <t>A 7291-2023</t>
        </is>
      </c>
      <c r="B2661" s="1" t="n">
        <v>44970</v>
      </c>
      <c r="C2661" s="1" t="n">
        <v>45358</v>
      </c>
      <c r="D2661" t="inlineStr">
        <is>
          <t>HALLANDS LÄN</t>
        </is>
      </c>
      <c r="E2661" t="inlineStr">
        <is>
          <t>FALKENBERG</t>
        </is>
      </c>
      <c r="G2661" t="n">
        <v>0.1</v>
      </c>
      <c r="H2661" t="n">
        <v>0</v>
      </c>
      <c r="I2661" t="n">
        <v>0</v>
      </c>
      <c r="J2661" t="n">
        <v>0</v>
      </c>
      <c r="K2661" t="n">
        <v>0</v>
      </c>
      <c r="L2661" t="n">
        <v>0</v>
      </c>
      <c r="M2661" t="n">
        <v>0</v>
      </c>
      <c r="N2661" t="n">
        <v>0</v>
      </c>
      <c r="O2661" t="n">
        <v>0</v>
      </c>
      <c r="P2661" t="n">
        <v>0</v>
      </c>
      <c r="Q2661" t="n">
        <v>0</v>
      </c>
      <c r="R2661" s="2" t="inlineStr"/>
    </row>
    <row r="2662" ht="15" customHeight="1">
      <c r="A2662" t="inlineStr">
        <is>
          <t>A 7304-2023</t>
        </is>
      </c>
      <c r="B2662" s="1" t="n">
        <v>44970</v>
      </c>
      <c r="C2662" s="1" t="n">
        <v>45358</v>
      </c>
      <c r="D2662" t="inlineStr">
        <is>
          <t>HALLANDS LÄN</t>
        </is>
      </c>
      <c r="E2662" t="inlineStr">
        <is>
          <t>KUNGSBACKA</t>
        </is>
      </c>
      <c r="G2662" t="n">
        <v>2.4</v>
      </c>
      <c r="H2662" t="n">
        <v>0</v>
      </c>
      <c r="I2662" t="n">
        <v>0</v>
      </c>
      <c r="J2662" t="n">
        <v>0</v>
      </c>
      <c r="K2662" t="n">
        <v>0</v>
      </c>
      <c r="L2662" t="n">
        <v>0</v>
      </c>
      <c r="M2662" t="n">
        <v>0</v>
      </c>
      <c r="N2662" t="n">
        <v>0</v>
      </c>
      <c r="O2662" t="n">
        <v>0</v>
      </c>
      <c r="P2662" t="n">
        <v>0</v>
      </c>
      <c r="Q2662" t="n">
        <v>0</v>
      </c>
      <c r="R2662" s="2" t="inlineStr"/>
    </row>
    <row r="2663" ht="15" customHeight="1">
      <c r="A2663" t="inlineStr">
        <is>
          <t>A 7302-2023</t>
        </is>
      </c>
      <c r="B2663" s="1" t="n">
        <v>44970</v>
      </c>
      <c r="C2663" s="1" t="n">
        <v>45358</v>
      </c>
      <c r="D2663" t="inlineStr">
        <is>
          <t>HALLANDS LÄN</t>
        </is>
      </c>
      <c r="E2663" t="inlineStr">
        <is>
          <t>HYLTE</t>
        </is>
      </c>
      <c r="G2663" t="n">
        <v>0.5</v>
      </c>
      <c r="H2663" t="n">
        <v>0</v>
      </c>
      <c r="I2663" t="n">
        <v>0</v>
      </c>
      <c r="J2663" t="n">
        <v>0</v>
      </c>
      <c r="K2663" t="n">
        <v>0</v>
      </c>
      <c r="L2663" t="n">
        <v>0</v>
      </c>
      <c r="M2663" t="n">
        <v>0</v>
      </c>
      <c r="N2663" t="n">
        <v>0</v>
      </c>
      <c r="O2663" t="n">
        <v>0</v>
      </c>
      <c r="P2663" t="n">
        <v>0</v>
      </c>
      <c r="Q2663" t="n">
        <v>0</v>
      </c>
      <c r="R2663" s="2" t="inlineStr"/>
    </row>
    <row r="2664" ht="15" customHeight="1">
      <c r="A2664" t="inlineStr">
        <is>
          <t>A 7076-2023</t>
        </is>
      </c>
      <c r="B2664" s="1" t="n">
        <v>44970</v>
      </c>
      <c r="C2664" s="1" t="n">
        <v>45358</v>
      </c>
      <c r="D2664" t="inlineStr">
        <is>
          <t>HALLANDS LÄN</t>
        </is>
      </c>
      <c r="E2664" t="inlineStr">
        <is>
          <t>FALKENBERG</t>
        </is>
      </c>
      <c r="F2664" t="inlineStr">
        <is>
          <t>Bergvik skog väst AB</t>
        </is>
      </c>
      <c r="G2664" t="n">
        <v>1.4</v>
      </c>
      <c r="H2664" t="n">
        <v>0</v>
      </c>
      <c r="I2664" t="n">
        <v>0</v>
      </c>
      <c r="J2664" t="n">
        <v>0</v>
      </c>
      <c r="K2664" t="n">
        <v>0</v>
      </c>
      <c r="L2664" t="n">
        <v>0</v>
      </c>
      <c r="M2664" t="n">
        <v>0</v>
      </c>
      <c r="N2664" t="n">
        <v>0</v>
      </c>
      <c r="O2664" t="n">
        <v>0</v>
      </c>
      <c r="P2664" t="n">
        <v>0</v>
      </c>
      <c r="Q2664" t="n">
        <v>0</v>
      </c>
      <c r="R2664" s="2" t="inlineStr"/>
    </row>
    <row r="2665" ht="15" customHeight="1">
      <c r="A2665" t="inlineStr">
        <is>
          <t>A 7217-2023</t>
        </is>
      </c>
      <c r="B2665" s="1" t="n">
        <v>44970</v>
      </c>
      <c r="C2665" s="1" t="n">
        <v>45358</v>
      </c>
      <c r="D2665" t="inlineStr">
        <is>
          <t>HALLANDS LÄN</t>
        </is>
      </c>
      <c r="E2665" t="inlineStr">
        <is>
          <t>KUNGSBACKA</t>
        </is>
      </c>
      <c r="G2665" t="n">
        <v>1.5</v>
      </c>
      <c r="H2665" t="n">
        <v>0</v>
      </c>
      <c r="I2665" t="n">
        <v>0</v>
      </c>
      <c r="J2665" t="n">
        <v>0</v>
      </c>
      <c r="K2665" t="n">
        <v>0</v>
      </c>
      <c r="L2665" t="n">
        <v>0</v>
      </c>
      <c r="M2665" t="n">
        <v>0</v>
      </c>
      <c r="N2665" t="n">
        <v>0</v>
      </c>
      <c r="O2665" t="n">
        <v>0</v>
      </c>
      <c r="P2665" t="n">
        <v>0</v>
      </c>
      <c r="Q2665" t="n">
        <v>0</v>
      </c>
      <c r="R2665" s="2" t="inlineStr"/>
    </row>
    <row r="2666" ht="15" customHeight="1">
      <c r="A2666" t="inlineStr">
        <is>
          <t>A 7301-2023</t>
        </is>
      </c>
      <c r="B2666" s="1" t="n">
        <v>44970</v>
      </c>
      <c r="C2666" s="1" t="n">
        <v>45358</v>
      </c>
      <c r="D2666" t="inlineStr">
        <is>
          <t>HALLANDS LÄN</t>
        </is>
      </c>
      <c r="E2666" t="inlineStr">
        <is>
          <t>HYLTE</t>
        </is>
      </c>
      <c r="G2666" t="n">
        <v>2.7</v>
      </c>
      <c r="H2666" t="n">
        <v>0</v>
      </c>
      <c r="I2666" t="n">
        <v>0</v>
      </c>
      <c r="J2666" t="n">
        <v>0</v>
      </c>
      <c r="K2666" t="n">
        <v>0</v>
      </c>
      <c r="L2666" t="n">
        <v>0</v>
      </c>
      <c r="M2666" t="n">
        <v>0</v>
      </c>
      <c r="N2666" t="n">
        <v>0</v>
      </c>
      <c r="O2666" t="n">
        <v>0</v>
      </c>
      <c r="P2666" t="n">
        <v>0</v>
      </c>
      <c r="Q2666" t="n">
        <v>0</v>
      </c>
      <c r="R2666" s="2" t="inlineStr"/>
    </row>
    <row r="2667" ht="15" customHeight="1">
      <c r="A2667" t="inlineStr">
        <is>
          <t>A 7335-2023</t>
        </is>
      </c>
      <c r="B2667" s="1" t="n">
        <v>44971</v>
      </c>
      <c r="C2667" s="1" t="n">
        <v>45358</v>
      </c>
      <c r="D2667" t="inlineStr">
        <is>
          <t>HALLANDS LÄN</t>
        </is>
      </c>
      <c r="E2667" t="inlineStr">
        <is>
          <t>KUNGSBACKA</t>
        </is>
      </c>
      <c r="G2667" t="n">
        <v>0.5</v>
      </c>
      <c r="H2667" t="n">
        <v>0</v>
      </c>
      <c r="I2667" t="n">
        <v>0</v>
      </c>
      <c r="J2667" t="n">
        <v>0</v>
      </c>
      <c r="K2667" t="n">
        <v>0</v>
      </c>
      <c r="L2667" t="n">
        <v>0</v>
      </c>
      <c r="M2667" t="n">
        <v>0</v>
      </c>
      <c r="N2667" t="n">
        <v>0</v>
      </c>
      <c r="O2667" t="n">
        <v>0</v>
      </c>
      <c r="P2667" t="n">
        <v>0</v>
      </c>
      <c r="Q2667" t="n">
        <v>0</v>
      </c>
      <c r="R2667" s="2" t="inlineStr"/>
    </row>
    <row r="2668" ht="15" customHeight="1">
      <c r="A2668" t="inlineStr">
        <is>
          <t>A 7696-2023</t>
        </is>
      </c>
      <c r="B2668" s="1" t="n">
        <v>44972</v>
      </c>
      <c r="C2668" s="1" t="n">
        <v>45358</v>
      </c>
      <c r="D2668" t="inlineStr">
        <is>
          <t>HALLANDS LÄN</t>
        </is>
      </c>
      <c r="E2668" t="inlineStr">
        <is>
          <t>FALKENBERG</t>
        </is>
      </c>
      <c r="G2668" t="n">
        <v>6.3</v>
      </c>
      <c r="H2668" t="n">
        <v>0</v>
      </c>
      <c r="I2668" t="n">
        <v>0</v>
      </c>
      <c r="J2668" t="n">
        <v>0</v>
      </c>
      <c r="K2668" t="n">
        <v>0</v>
      </c>
      <c r="L2668" t="n">
        <v>0</v>
      </c>
      <c r="M2668" t="n">
        <v>0</v>
      </c>
      <c r="N2668" t="n">
        <v>0</v>
      </c>
      <c r="O2668" t="n">
        <v>0</v>
      </c>
      <c r="P2668" t="n">
        <v>0</v>
      </c>
      <c r="Q2668" t="n">
        <v>0</v>
      </c>
      <c r="R2668" s="2" t="inlineStr"/>
    </row>
    <row r="2669" ht="15" customHeight="1">
      <c r="A2669" t="inlineStr">
        <is>
          <t>A 7786-2023</t>
        </is>
      </c>
      <c r="B2669" s="1" t="n">
        <v>44973</v>
      </c>
      <c r="C2669" s="1" t="n">
        <v>45358</v>
      </c>
      <c r="D2669" t="inlineStr">
        <is>
          <t>HALLANDS LÄN</t>
        </is>
      </c>
      <c r="E2669" t="inlineStr">
        <is>
          <t>FALKENBERG</t>
        </is>
      </c>
      <c r="G2669" t="n">
        <v>1.8</v>
      </c>
      <c r="H2669" t="n">
        <v>0</v>
      </c>
      <c r="I2669" t="n">
        <v>0</v>
      </c>
      <c r="J2669" t="n">
        <v>0</v>
      </c>
      <c r="K2669" t="n">
        <v>0</v>
      </c>
      <c r="L2669" t="n">
        <v>0</v>
      </c>
      <c r="M2669" t="n">
        <v>0</v>
      </c>
      <c r="N2669" t="n">
        <v>0</v>
      </c>
      <c r="O2669" t="n">
        <v>0</v>
      </c>
      <c r="P2669" t="n">
        <v>0</v>
      </c>
      <c r="Q2669" t="n">
        <v>0</v>
      </c>
      <c r="R2669" s="2" t="inlineStr"/>
    </row>
    <row r="2670" ht="15" customHeight="1">
      <c r="A2670" t="inlineStr">
        <is>
          <t>A 7724-2023</t>
        </is>
      </c>
      <c r="B2670" s="1" t="n">
        <v>44973</v>
      </c>
      <c r="C2670" s="1" t="n">
        <v>45358</v>
      </c>
      <c r="D2670" t="inlineStr">
        <is>
          <t>HALLANDS LÄN</t>
        </is>
      </c>
      <c r="E2670" t="inlineStr">
        <is>
          <t>LAHOLM</t>
        </is>
      </c>
      <c r="G2670" t="n">
        <v>4</v>
      </c>
      <c r="H2670" t="n">
        <v>0</v>
      </c>
      <c r="I2670" t="n">
        <v>0</v>
      </c>
      <c r="J2670" t="n">
        <v>0</v>
      </c>
      <c r="K2670" t="n">
        <v>0</v>
      </c>
      <c r="L2670" t="n">
        <v>0</v>
      </c>
      <c r="M2670" t="n">
        <v>0</v>
      </c>
      <c r="N2670" t="n">
        <v>0</v>
      </c>
      <c r="O2670" t="n">
        <v>0</v>
      </c>
      <c r="P2670" t="n">
        <v>0</v>
      </c>
      <c r="Q2670" t="n">
        <v>0</v>
      </c>
      <c r="R2670" s="2" t="inlineStr"/>
    </row>
    <row r="2671" ht="15" customHeight="1">
      <c r="A2671" t="inlineStr">
        <is>
          <t>A 8008-2023</t>
        </is>
      </c>
      <c r="B2671" s="1" t="n">
        <v>44973</v>
      </c>
      <c r="C2671" s="1" t="n">
        <v>45358</v>
      </c>
      <c r="D2671" t="inlineStr">
        <is>
          <t>HALLANDS LÄN</t>
        </is>
      </c>
      <c r="E2671" t="inlineStr">
        <is>
          <t>LAHOLM</t>
        </is>
      </c>
      <c r="F2671" t="inlineStr">
        <is>
          <t>Kommuner</t>
        </is>
      </c>
      <c r="G2671" t="n">
        <v>3</v>
      </c>
      <c r="H2671" t="n">
        <v>0</v>
      </c>
      <c r="I2671" t="n">
        <v>0</v>
      </c>
      <c r="J2671" t="n">
        <v>0</v>
      </c>
      <c r="K2671" t="n">
        <v>0</v>
      </c>
      <c r="L2671" t="n">
        <v>0</v>
      </c>
      <c r="M2671" t="n">
        <v>0</v>
      </c>
      <c r="N2671" t="n">
        <v>0</v>
      </c>
      <c r="O2671" t="n">
        <v>0</v>
      </c>
      <c r="P2671" t="n">
        <v>0</v>
      </c>
      <c r="Q2671" t="n">
        <v>0</v>
      </c>
      <c r="R2671" s="2" t="inlineStr"/>
    </row>
    <row r="2672" ht="15" customHeight="1">
      <c r="A2672" t="inlineStr">
        <is>
          <t>A 7995-2023</t>
        </is>
      </c>
      <c r="B2672" s="1" t="n">
        <v>44973</v>
      </c>
      <c r="C2672" s="1" t="n">
        <v>45358</v>
      </c>
      <c r="D2672" t="inlineStr">
        <is>
          <t>HALLANDS LÄN</t>
        </is>
      </c>
      <c r="E2672" t="inlineStr">
        <is>
          <t>KUNGSBACKA</t>
        </is>
      </c>
      <c r="G2672" t="n">
        <v>3.6</v>
      </c>
      <c r="H2672" t="n">
        <v>0</v>
      </c>
      <c r="I2672" t="n">
        <v>0</v>
      </c>
      <c r="J2672" t="n">
        <v>0</v>
      </c>
      <c r="K2672" t="n">
        <v>0</v>
      </c>
      <c r="L2672" t="n">
        <v>0</v>
      </c>
      <c r="M2672" t="n">
        <v>0</v>
      </c>
      <c r="N2672" t="n">
        <v>0</v>
      </c>
      <c r="O2672" t="n">
        <v>0</v>
      </c>
      <c r="P2672" t="n">
        <v>0</v>
      </c>
      <c r="Q2672" t="n">
        <v>0</v>
      </c>
      <c r="R2672" s="2" t="inlineStr"/>
    </row>
    <row r="2673" ht="15" customHeight="1">
      <c r="A2673" t="inlineStr">
        <is>
          <t>A 8011-2023</t>
        </is>
      </c>
      <c r="B2673" s="1" t="n">
        <v>44973</v>
      </c>
      <c r="C2673" s="1" t="n">
        <v>45358</v>
      </c>
      <c r="D2673" t="inlineStr">
        <is>
          <t>HALLANDS LÄN</t>
        </is>
      </c>
      <c r="E2673" t="inlineStr">
        <is>
          <t>LAHOLM</t>
        </is>
      </c>
      <c r="F2673" t="inlineStr">
        <is>
          <t>Kommuner</t>
        </is>
      </c>
      <c r="G2673" t="n">
        <v>5.8</v>
      </c>
      <c r="H2673" t="n">
        <v>0</v>
      </c>
      <c r="I2673" t="n">
        <v>0</v>
      </c>
      <c r="J2673" t="n">
        <v>0</v>
      </c>
      <c r="K2673" t="n">
        <v>0</v>
      </c>
      <c r="L2673" t="n">
        <v>0</v>
      </c>
      <c r="M2673" t="n">
        <v>0</v>
      </c>
      <c r="N2673" t="n">
        <v>0</v>
      </c>
      <c r="O2673" t="n">
        <v>0</v>
      </c>
      <c r="P2673" t="n">
        <v>0</v>
      </c>
      <c r="Q2673" t="n">
        <v>0</v>
      </c>
      <c r="R2673" s="2" t="inlineStr"/>
    </row>
    <row r="2674" ht="15" customHeight="1">
      <c r="A2674" t="inlineStr">
        <is>
          <t>A 8017-2023</t>
        </is>
      </c>
      <c r="B2674" s="1" t="n">
        <v>44973</v>
      </c>
      <c r="C2674" s="1" t="n">
        <v>45358</v>
      </c>
      <c r="D2674" t="inlineStr">
        <is>
          <t>HALLANDS LÄN</t>
        </is>
      </c>
      <c r="E2674" t="inlineStr">
        <is>
          <t>LAHOLM</t>
        </is>
      </c>
      <c r="G2674" t="n">
        <v>4.6</v>
      </c>
      <c r="H2674" t="n">
        <v>0</v>
      </c>
      <c r="I2674" t="n">
        <v>0</v>
      </c>
      <c r="J2674" t="n">
        <v>0</v>
      </c>
      <c r="K2674" t="n">
        <v>0</v>
      </c>
      <c r="L2674" t="n">
        <v>0</v>
      </c>
      <c r="M2674" t="n">
        <v>0</v>
      </c>
      <c r="N2674" t="n">
        <v>0</v>
      </c>
      <c r="O2674" t="n">
        <v>0</v>
      </c>
      <c r="P2674" t="n">
        <v>0</v>
      </c>
      <c r="Q2674" t="n">
        <v>0</v>
      </c>
      <c r="R2674" s="2" t="inlineStr"/>
    </row>
    <row r="2675" ht="15" customHeight="1">
      <c r="A2675" t="inlineStr">
        <is>
          <t>A 8040-2023</t>
        </is>
      </c>
      <c r="B2675" s="1" t="n">
        <v>44974</v>
      </c>
      <c r="C2675" s="1" t="n">
        <v>45358</v>
      </c>
      <c r="D2675" t="inlineStr">
        <is>
          <t>HALLANDS LÄN</t>
        </is>
      </c>
      <c r="E2675" t="inlineStr">
        <is>
          <t>FALKENBERG</t>
        </is>
      </c>
      <c r="G2675" t="n">
        <v>1.6</v>
      </c>
      <c r="H2675" t="n">
        <v>0</v>
      </c>
      <c r="I2675" t="n">
        <v>0</v>
      </c>
      <c r="J2675" t="n">
        <v>0</v>
      </c>
      <c r="K2675" t="n">
        <v>0</v>
      </c>
      <c r="L2675" t="n">
        <v>0</v>
      </c>
      <c r="M2675" t="n">
        <v>0</v>
      </c>
      <c r="N2675" t="n">
        <v>0</v>
      </c>
      <c r="O2675" t="n">
        <v>0</v>
      </c>
      <c r="P2675" t="n">
        <v>0</v>
      </c>
      <c r="Q2675" t="n">
        <v>0</v>
      </c>
      <c r="R2675" s="2" t="inlineStr"/>
    </row>
    <row r="2676" ht="15" customHeight="1">
      <c r="A2676" t="inlineStr">
        <is>
          <t>A 8062-2023</t>
        </is>
      </c>
      <c r="B2676" s="1" t="n">
        <v>44974</v>
      </c>
      <c r="C2676" s="1" t="n">
        <v>45358</v>
      </c>
      <c r="D2676" t="inlineStr">
        <is>
          <t>HALLANDS LÄN</t>
        </is>
      </c>
      <c r="E2676" t="inlineStr">
        <is>
          <t>HALMSTAD</t>
        </is>
      </c>
      <c r="G2676" t="n">
        <v>1.3</v>
      </c>
      <c r="H2676" t="n">
        <v>0</v>
      </c>
      <c r="I2676" t="n">
        <v>0</v>
      </c>
      <c r="J2676" t="n">
        <v>0</v>
      </c>
      <c r="K2676" t="n">
        <v>0</v>
      </c>
      <c r="L2676" t="n">
        <v>0</v>
      </c>
      <c r="M2676" t="n">
        <v>0</v>
      </c>
      <c r="N2676" t="n">
        <v>0</v>
      </c>
      <c r="O2676" t="n">
        <v>0</v>
      </c>
      <c r="P2676" t="n">
        <v>0</v>
      </c>
      <c r="Q2676" t="n">
        <v>0</v>
      </c>
      <c r="R2676" s="2" t="inlineStr"/>
    </row>
    <row r="2677" ht="15" customHeight="1">
      <c r="A2677" t="inlineStr">
        <is>
          <t>A 8123-2023</t>
        </is>
      </c>
      <c r="B2677" s="1" t="n">
        <v>44974</v>
      </c>
      <c r="C2677" s="1" t="n">
        <v>45358</v>
      </c>
      <c r="D2677" t="inlineStr">
        <is>
          <t>HALLANDS LÄN</t>
        </is>
      </c>
      <c r="E2677" t="inlineStr">
        <is>
          <t>HALMSTAD</t>
        </is>
      </c>
      <c r="G2677" t="n">
        <v>1.5</v>
      </c>
      <c r="H2677" t="n">
        <v>0</v>
      </c>
      <c r="I2677" t="n">
        <v>0</v>
      </c>
      <c r="J2677" t="n">
        <v>0</v>
      </c>
      <c r="K2677" t="n">
        <v>0</v>
      </c>
      <c r="L2677" t="n">
        <v>0</v>
      </c>
      <c r="M2677" t="n">
        <v>0</v>
      </c>
      <c r="N2677" t="n">
        <v>0</v>
      </c>
      <c r="O2677" t="n">
        <v>0</v>
      </c>
      <c r="P2677" t="n">
        <v>0</v>
      </c>
      <c r="Q2677" t="n">
        <v>0</v>
      </c>
      <c r="R2677" s="2" t="inlineStr"/>
    </row>
    <row r="2678" ht="15" customHeight="1">
      <c r="A2678" t="inlineStr">
        <is>
          <t>A 8142-2023</t>
        </is>
      </c>
      <c r="B2678" s="1" t="n">
        <v>44974</v>
      </c>
      <c r="C2678" s="1" t="n">
        <v>45358</v>
      </c>
      <c r="D2678" t="inlineStr">
        <is>
          <t>HALLANDS LÄN</t>
        </is>
      </c>
      <c r="E2678" t="inlineStr">
        <is>
          <t>HALMSTAD</t>
        </is>
      </c>
      <c r="G2678" t="n">
        <v>1.9</v>
      </c>
      <c r="H2678" t="n">
        <v>0</v>
      </c>
      <c r="I2678" t="n">
        <v>0</v>
      </c>
      <c r="J2678" t="n">
        <v>0</v>
      </c>
      <c r="K2678" t="n">
        <v>0</v>
      </c>
      <c r="L2678" t="n">
        <v>0</v>
      </c>
      <c r="M2678" t="n">
        <v>0</v>
      </c>
      <c r="N2678" t="n">
        <v>0</v>
      </c>
      <c r="O2678" t="n">
        <v>0</v>
      </c>
      <c r="P2678" t="n">
        <v>0</v>
      </c>
      <c r="Q2678" t="n">
        <v>0</v>
      </c>
      <c r="R2678" s="2" t="inlineStr"/>
    </row>
    <row r="2679" ht="15" customHeight="1">
      <c r="A2679" t="inlineStr">
        <is>
          <t>A 8210-2023</t>
        </is>
      </c>
      <c r="B2679" s="1" t="n">
        <v>44974</v>
      </c>
      <c r="C2679" s="1" t="n">
        <v>45358</v>
      </c>
      <c r="D2679" t="inlineStr">
        <is>
          <t>HALLANDS LÄN</t>
        </is>
      </c>
      <c r="E2679" t="inlineStr">
        <is>
          <t>HALMSTAD</t>
        </is>
      </c>
      <c r="G2679" t="n">
        <v>2.3</v>
      </c>
      <c r="H2679" t="n">
        <v>0</v>
      </c>
      <c r="I2679" t="n">
        <v>0</v>
      </c>
      <c r="J2679" t="n">
        <v>0</v>
      </c>
      <c r="K2679" t="n">
        <v>0</v>
      </c>
      <c r="L2679" t="n">
        <v>0</v>
      </c>
      <c r="M2679" t="n">
        <v>0</v>
      </c>
      <c r="N2679" t="n">
        <v>0</v>
      </c>
      <c r="O2679" t="n">
        <v>0</v>
      </c>
      <c r="P2679" t="n">
        <v>0</v>
      </c>
      <c r="Q2679" t="n">
        <v>0</v>
      </c>
      <c r="R2679" s="2" t="inlineStr"/>
    </row>
    <row r="2680" ht="15" customHeight="1">
      <c r="A2680" t="inlineStr">
        <is>
          <t>A 8114-2023</t>
        </is>
      </c>
      <c r="B2680" s="1" t="n">
        <v>44974</v>
      </c>
      <c r="C2680" s="1" t="n">
        <v>45358</v>
      </c>
      <c r="D2680" t="inlineStr">
        <is>
          <t>HALLANDS LÄN</t>
        </is>
      </c>
      <c r="E2680" t="inlineStr">
        <is>
          <t>HALMSTAD</t>
        </is>
      </c>
      <c r="G2680" t="n">
        <v>3.4</v>
      </c>
      <c r="H2680" t="n">
        <v>0</v>
      </c>
      <c r="I2680" t="n">
        <v>0</v>
      </c>
      <c r="J2680" t="n">
        <v>0</v>
      </c>
      <c r="K2680" t="n">
        <v>0</v>
      </c>
      <c r="L2680" t="n">
        <v>0</v>
      </c>
      <c r="M2680" t="n">
        <v>0</v>
      </c>
      <c r="N2680" t="n">
        <v>0</v>
      </c>
      <c r="O2680" t="n">
        <v>0</v>
      </c>
      <c r="P2680" t="n">
        <v>0</v>
      </c>
      <c r="Q2680" t="n">
        <v>0</v>
      </c>
      <c r="R2680" s="2" t="inlineStr"/>
    </row>
    <row r="2681" ht="15" customHeight="1">
      <c r="A2681" t="inlineStr">
        <is>
          <t>A 8203-2023</t>
        </is>
      </c>
      <c r="B2681" s="1" t="n">
        <v>44974</v>
      </c>
      <c r="C2681" s="1" t="n">
        <v>45358</v>
      </c>
      <c r="D2681" t="inlineStr">
        <is>
          <t>HALLANDS LÄN</t>
        </is>
      </c>
      <c r="E2681" t="inlineStr">
        <is>
          <t>HYLTE</t>
        </is>
      </c>
      <c r="G2681" t="n">
        <v>2.2</v>
      </c>
      <c r="H2681" t="n">
        <v>0</v>
      </c>
      <c r="I2681" t="n">
        <v>0</v>
      </c>
      <c r="J2681" t="n">
        <v>0</v>
      </c>
      <c r="K2681" t="n">
        <v>0</v>
      </c>
      <c r="L2681" t="n">
        <v>0</v>
      </c>
      <c r="M2681" t="n">
        <v>0</v>
      </c>
      <c r="N2681" t="n">
        <v>0</v>
      </c>
      <c r="O2681" t="n">
        <v>0</v>
      </c>
      <c r="P2681" t="n">
        <v>0</v>
      </c>
      <c r="Q2681" t="n">
        <v>0</v>
      </c>
      <c r="R2681" s="2" t="inlineStr"/>
    </row>
    <row r="2682" ht="15" customHeight="1">
      <c r="A2682" t="inlineStr">
        <is>
          <t>A 8248-2023</t>
        </is>
      </c>
      <c r="B2682" s="1" t="n">
        <v>44974</v>
      </c>
      <c r="C2682" s="1" t="n">
        <v>45358</v>
      </c>
      <c r="D2682" t="inlineStr">
        <is>
          <t>HALLANDS LÄN</t>
        </is>
      </c>
      <c r="E2682" t="inlineStr">
        <is>
          <t>HYLTE</t>
        </is>
      </c>
      <c r="G2682" t="n">
        <v>3.3</v>
      </c>
      <c r="H2682" t="n">
        <v>0</v>
      </c>
      <c r="I2682" t="n">
        <v>0</v>
      </c>
      <c r="J2682" t="n">
        <v>0</v>
      </c>
      <c r="K2682" t="n">
        <v>0</v>
      </c>
      <c r="L2682" t="n">
        <v>0</v>
      </c>
      <c r="M2682" t="n">
        <v>0</v>
      </c>
      <c r="N2682" t="n">
        <v>0</v>
      </c>
      <c r="O2682" t="n">
        <v>0</v>
      </c>
      <c r="P2682" t="n">
        <v>0</v>
      </c>
      <c r="Q2682" t="n">
        <v>0</v>
      </c>
      <c r="R2682" s="2" t="inlineStr"/>
    </row>
    <row r="2683" ht="15" customHeight="1">
      <c r="A2683" t="inlineStr">
        <is>
          <t>A 8252-2023</t>
        </is>
      </c>
      <c r="B2683" s="1" t="n">
        <v>44974</v>
      </c>
      <c r="C2683" s="1" t="n">
        <v>45358</v>
      </c>
      <c r="D2683" t="inlineStr">
        <is>
          <t>HALLANDS LÄN</t>
        </is>
      </c>
      <c r="E2683" t="inlineStr">
        <is>
          <t>FALKENBERG</t>
        </is>
      </c>
      <c r="G2683" t="n">
        <v>1.3</v>
      </c>
      <c r="H2683" t="n">
        <v>0</v>
      </c>
      <c r="I2683" t="n">
        <v>0</v>
      </c>
      <c r="J2683" t="n">
        <v>0</v>
      </c>
      <c r="K2683" t="n">
        <v>0</v>
      </c>
      <c r="L2683" t="n">
        <v>0</v>
      </c>
      <c r="M2683" t="n">
        <v>0</v>
      </c>
      <c r="N2683" t="n">
        <v>0</v>
      </c>
      <c r="O2683" t="n">
        <v>0</v>
      </c>
      <c r="P2683" t="n">
        <v>0</v>
      </c>
      <c r="Q2683" t="n">
        <v>0</v>
      </c>
      <c r="R2683" s="2" t="inlineStr"/>
    </row>
    <row r="2684" ht="15" customHeight="1">
      <c r="A2684" t="inlineStr">
        <is>
          <t>A 8091-2023</t>
        </is>
      </c>
      <c r="B2684" s="1" t="n">
        <v>44974</v>
      </c>
      <c r="C2684" s="1" t="n">
        <v>45358</v>
      </c>
      <c r="D2684" t="inlineStr">
        <is>
          <t>HALLANDS LÄN</t>
        </is>
      </c>
      <c r="E2684" t="inlineStr">
        <is>
          <t>HYLTE</t>
        </is>
      </c>
      <c r="G2684" t="n">
        <v>0.6</v>
      </c>
      <c r="H2684" t="n">
        <v>0</v>
      </c>
      <c r="I2684" t="n">
        <v>0</v>
      </c>
      <c r="J2684" t="n">
        <v>0</v>
      </c>
      <c r="K2684" t="n">
        <v>0</v>
      </c>
      <c r="L2684" t="n">
        <v>0</v>
      </c>
      <c r="M2684" t="n">
        <v>0</v>
      </c>
      <c r="N2684" t="n">
        <v>0</v>
      </c>
      <c r="O2684" t="n">
        <v>0</v>
      </c>
      <c r="P2684" t="n">
        <v>0</v>
      </c>
      <c r="Q2684" t="n">
        <v>0</v>
      </c>
      <c r="R2684" s="2" t="inlineStr"/>
    </row>
    <row r="2685" ht="15" customHeight="1">
      <c r="A2685" t="inlineStr">
        <is>
          <t>A 8222-2023</t>
        </is>
      </c>
      <c r="B2685" s="1" t="n">
        <v>44974</v>
      </c>
      <c r="C2685" s="1" t="n">
        <v>45358</v>
      </c>
      <c r="D2685" t="inlineStr">
        <is>
          <t>HALLANDS LÄN</t>
        </is>
      </c>
      <c r="E2685" t="inlineStr">
        <is>
          <t>HYLTE</t>
        </is>
      </c>
      <c r="G2685" t="n">
        <v>1.6</v>
      </c>
      <c r="H2685" t="n">
        <v>0</v>
      </c>
      <c r="I2685" t="n">
        <v>0</v>
      </c>
      <c r="J2685" t="n">
        <v>0</v>
      </c>
      <c r="K2685" t="n">
        <v>0</v>
      </c>
      <c r="L2685" t="n">
        <v>0</v>
      </c>
      <c r="M2685" t="n">
        <v>0</v>
      </c>
      <c r="N2685" t="n">
        <v>0</v>
      </c>
      <c r="O2685" t="n">
        <v>0</v>
      </c>
      <c r="P2685" t="n">
        <v>0</v>
      </c>
      <c r="Q2685" t="n">
        <v>0</v>
      </c>
      <c r="R2685" s="2" t="inlineStr"/>
    </row>
    <row r="2686" ht="15" customHeight="1">
      <c r="A2686" t="inlineStr">
        <is>
          <t>A 8230-2023</t>
        </is>
      </c>
      <c r="B2686" s="1" t="n">
        <v>44974</v>
      </c>
      <c r="C2686" s="1" t="n">
        <v>45358</v>
      </c>
      <c r="D2686" t="inlineStr">
        <is>
          <t>HALLANDS LÄN</t>
        </is>
      </c>
      <c r="E2686" t="inlineStr">
        <is>
          <t>HALMSTAD</t>
        </is>
      </c>
      <c r="G2686" t="n">
        <v>0.6</v>
      </c>
      <c r="H2686" t="n">
        <v>0</v>
      </c>
      <c r="I2686" t="n">
        <v>0</v>
      </c>
      <c r="J2686" t="n">
        <v>0</v>
      </c>
      <c r="K2686" t="n">
        <v>0</v>
      </c>
      <c r="L2686" t="n">
        <v>0</v>
      </c>
      <c r="M2686" t="n">
        <v>0</v>
      </c>
      <c r="N2686" t="n">
        <v>0</v>
      </c>
      <c r="O2686" t="n">
        <v>0</v>
      </c>
      <c r="P2686" t="n">
        <v>0</v>
      </c>
      <c r="Q2686" t="n">
        <v>0</v>
      </c>
      <c r="R2686" s="2" t="inlineStr"/>
    </row>
    <row r="2687" ht="15" customHeight="1">
      <c r="A2687" t="inlineStr">
        <is>
          <t>A 8263-2023</t>
        </is>
      </c>
      <c r="B2687" s="1" t="n">
        <v>44974</v>
      </c>
      <c r="C2687" s="1" t="n">
        <v>45358</v>
      </c>
      <c r="D2687" t="inlineStr">
        <is>
          <t>HALLANDS LÄN</t>
        </is>
      </c>
      <c r="E2687" t="inlineStr">
        <is>
          <t>VARBERG</t>
        </is>
      </c>
      <c r="G2687" t="n">
        <v>0.7</v>
      </c>
      <c r="H2687" t="n">
        <v>0</v>
      </c>
      <c r="I2687" t="n">
        <v>0</v>
      </c>
      <c r="J2687" t="n">
        <v>0</v>
      </c>
      <c r="K2687" t="n">
        <v>0</v>
      </c>
      <c r="L2687" t="n">
        <v>0</v>
      </c>
      <c r="M2687" t="n">
        <v>0</v>
      </c>
      <c r="N2687" t="n">
        <v>0</v>
      </c>
      <c r="O2687" t="n">
        <v>0</v>
      </c>
      <c r="P2687" t="n">
        <v>0</v>
      </c>
      <c r="Q2687" t="n">
        <v>0</v>
      </c>
      <c r="R2687" s="2" t="inlineStr"/>
    </row>
    <row r="2688" ht="15" customHeight="1">
      <c r="A2688" t="inlineStr">
        <is>
          <t>A 8303-2023</t>
        </is>
      </c>
      <c r="B2688" s="1" t="n">
        <v>44974</v>
      </c>
      <c r="C2688" s="1" t="n">
        <v>45358</v>
      </c>
      <c r="D2688" t="inlineStr">
        <is>
          <t>HALLANDS LÄN</t>
        </is>
      </c>
      <c r="E2688" t="inlineStr">
        <is>
          <t>FALKENBERG</t>
        </is>
      </c>
      <c r="G2688" t="n">
        <v>1.5</v>
      </c>
      <c r="H2688" t="n">
        <v>0</v>
      </c>
      <c r="I2688" t="n">
        <v>0</v>
      </c>
      <c r="J2688" t="n">
        <v>0</v>
      </c>
      <c r="K2688" t="n">
        <v>0</v>
      </c>
      <c r="L2688" t="n">
        <v>0</v>
      </c>
      <c r="M2688" t="n">
        <v>0</v>
      </c>
      <c r="N2688" t="n">
        <v>0</v>
      </c>
      <c r="O2688" t="n">
        <v>0</v>
      </c>
      <c r="P2688" t="n">
        <v>0</v>
      </c>
      <c r="Q2688" t="n">
        <v>0</v>
      </c>
      <c r="R2688" s="2" t="inlineStr"/>
    </row>
    <row r="2689" ht="15" customHeight="1">
      <c r="A2689" t="inlineStr">
        <is>
          <t>A 8262-2023</t>
        </is>
      </c>
      <c r="B2689" s="1" t="n">
        <v>44974</v>
      </c>
      <c r="C2689" s="1" t="n">
        <v>45358</v>
      </c>
      <c r="D2689" t="inlineStr">
        <is>
          <t>HALLANDS LÄN</t>
        </is>
      </c>
      <c r="E2689" t="inlineStr">
        <is>
          <t>FALKENBERG</t>
        </is>
      </c>
      <c r="G2689" t="n">
        <v>2.4</v>
      </c>
      <c r="H2689" t="n">
        <v>0</v>
      </c>
      <c r="I2689" t="n">
        <v>0</v>
      </c>
      <c r="J2689" t="n">
        <v>0</v>
      </c>
      <c r="K2689" t="n">
        <v>0</v>
      </c>
      <c r="L2689" t="n">
        <v>0</v>
      </c>
      <c r="M2689" t="n">
        <v>0</v>
      </c>
      <c r="N2689" t="n">
        <v>0</v>
      </c>
      <c r="O2689" t="n">
        <v>0</v>
      </c>
      <c r="P2689" t="n">
        <v>0</v>
      </c>
      <c r="Q2689" t="n">
        <v>0</v>
      </c>
      <c r="R2689" s="2" t="inlineStr"/>
    </row>
    <row r="2690" ht="15" customHeight="1">
      <c r="A2690" t="inlineStr">
        <is>
          <t>A 8266-2023</t>
        </is>
      </c>
      <c r="B2690" s="1" t="n">
        <v>44974</v>
      </c>
      <c r="C2690" s="1" t="n">
        <v>45358</v>
      </c>
      <c r="D2690" t="inlineStr">
        <is>
          <t>HALLANDS LÄN</t>
        </is>
      </c>
      <c r="E2690" t="inlineStr">
        <is>
          <t>FALKENBERG</t>
        </is>
      </c>
      <c r="G2690" t="n">
        <v>1.4</v>
      </c>
      <c r="H2690" t="n">
        <v>0</v>
      </c>
      <c r="I2690" t="n">
        <v>0</v>
      </c>
      <c r="J2690" t="n">
        <v>0</v>
      </c>
      <c r="K2690" t="n">
        <v>0</v>
      </c>
      <c r="L2690" t="n">
        <v>0</v>
      </c>
      <c r="M2690" t="n">
        <v>0</v>
      </c>
      <c r="N2690" t="n">
        <v>0</v>
      </c>
      <c r="O2690" t="n">
        <v>0</v>
      </c>
      <c r="P2690" t="n">
        <v>0</v>
      </c>
      <c r="Q2690" t="n">
        <v>0</v>
      </c>
      <c r="R2690" s="2" t="inlineStr"/>
    </row>
    <row r="2691" ht="15" customHeight="1">
      <c r="A2691" t="inlineStr">
        <is>
          <t>A 8350-2023</t>
        </is>
      </c>
      <c r="B2691" s="1" t="n">
        <v>44977</v>
      </c>
      <c r="C2691" s="1" t="n">
        <v>45358</v>
      </c>
      <c r="D2691" t="inlineStr">
        <is>
          <t>HALLANDS LÄN</t>
        </is>
      </c>
      <c r="E2691" t="inlineStr">
        <is>
          <t>FALKENBERG</t>
        </is>
      </c>
      <c r="F2691" t="inlineStr">
        <is>
          <t>Bergvik skog väst AB</t>
        </is>
      </c>
      <c r="G2691" t="n">
        <v>6.3</v>
      </c>
      <c r="H2691" t="n">
        <v>0</v>
      </c>
      <c r="I2691" t="n">
        <v>0</v>
      </c>
      <c r="J2691" t="n">
        <v>0</v>
      </c>
      <c r="K2691" t="n">
        <v>0</v>
      </c>
      <c r="L2691" t="n">
        <v>0</v>
      </c>
      <c r="M2691" t="n">
        <v>0</v>
      </c>
      <c r="N2691" t="n">
        <v>0</v>
      </c>
      <c r="O2691" t="n">
        <v>0</v>
      </c>
      <c r="P2691" t="n">
        <v>0</v>
      </c>
      <c r="Q2691" t="n">
        <v>0</v>
      </c>
      <c r="R2691" s="2" t="inlineStr"/>
    </row>
    <row r="2692" ht="15" customHeight="1">
      <c r="A2692" t="inlineStr">
        <is>
          <t>A 8574-2023</t>
        </is>
      </c>
      <c r="B2692" s="1" t="n">
        <v>44977</v>
      </c>
      <c r="C2692" s="1" t="n">
        <v>45358</v>
      </c>
      <c r="D2692" t="inlineStr">
        <is>
          <t>HALLANDS LÄN</t>
        </is>
      </c>
      <c r="E2692" t="inlineStr">
        <is>
          <t>LAHOLM</t>
        </is>
      </c>
      <c r="G2692" t="n">
        <v>3.2</v>
      </c>
      <c r="H2692" t="n">
        <v>0</v>
      </c>
      <c r="I2692" t="n">
        <v>0</v>
      </c>
      <c r="J2692" t="n">
        <v>0</v>
      </c>
      <c r="K2692" t="n">
        <v>0</v>
      </c>
      <c r="L2692" t="n">
        <v>0</v>
      </c>
      <c r="M2692" t="n">
        <v>0</v>
      </c>
      <c r="N2692" t="n">
        <v>0</v>
      </c>
      <c r="O2692" t="n">
        <v>0</v>
      </c>
      <c r="P2692" t="n">
        <v>0</v>
      </c>
      <c r="Q2692" t="n">
        <v>0</v>
      </c>
      <c r="R2692" s="2" t="inlineStr"/>
    </row>
    <row r="2693" ht="15" customHeight="1">
      <c r="A2693" t="inlineStr">
        <is>
          <t>A 8575-2023</t>
        </is>
      </c>
      <c r="B2693" s="1" t="n">
        <v>44977</v>
      </c>
      <c r="C2693" s="1" t="n">
        <v>45358</v>
      </c>
      <c r="D2693" t="inlineStr">
        <is>
          <t>HALLANDS LÄN</t>
        </is>
      </c>
      <c r="E2693" t="inlineStr">
        <is>
          <t>LAHOLM</t>
        </is>
      </c>
      <c r="G2693" t="n">
        <v>6.1</v>
      </c>
      <c r="H2693" t="n">
        <v>0</v>
      </c>
      <c r="I2693" t="n">
        <v>0</v>
      </c>
      <c r="J2693" t="n">
        <v>0</v>
      </c>
      <c r="K2693" t="n">
        <v>0</v>
      </c>
      <c r="L2693" t="n">
        <v>0</v>
      </c>
      <c r="M2693" t="n">
        <v>0</v>
      </c>
      <c r="N2693" t="n">
        <v>0</v>
      </c>
      <c r="O2693" t="n">
        <v>0</v>
      </c>
      <c r="P2693" t="n">
        <v>0</v>
      </c>
      <c r="Q2693" t="n">
        <v>0</v>
      </c>
      <c r="R2693" s="2" t="inlineStr"/>
    </row>
    <row r="2694" ht="15" customHeight="1">
      <c r="A2694" t="inlineStr">
        <is>
          <t>A 9205-2023</t>
        </is>
      </c>
      <c r="B2694" s="1" t="n">
        <v>44977</v>
      </c>
      <c r="C2694" s="1" t="n">
        <v>45358</v>
      </c>
      <c r="D2694" t="inlineStr">
        <is>
          <t>HALLANDS LÄN</t>
        </is>
      </c>
      <c r="E2694" t="inlineStr">
        <is>
          <t>FALKENBERG</t>
        </is>
      </c>
      <c r="G2694" t="n">
        <v>3.2</v>
      </c>
      <c r="H2694" t="n">
        <v>0</v>
      </c>
      <c r="I2694" t="n">
        <v>0</v>
      </c>
      <c r="J2694" t="n">
        <v>0</v>
      </c>
      <c r="K2694" t="n">
        <v>0</v>
      </c>
      <c r="L2694" t="n">
        <v>0</v>
      </c>
      <c r="M2694" t="n">
        <v>0</v>
      </c>
      <c r="N2694" t="n">
        <v>0</v>
      </c>
      <c r="O2694" t="n">
        <v>0</v>
      </c>
      <c r="P2694" t="n">
        <v>0</v>
      </c>
      <c r="Q2694" t="n">
        <v>0</v>
      </c>
      <c r="R2694" s="2" t="inlineStr"/>
    </row>
    <row r="2695" ht="15" customHeight="1">
      <c r="A2695" t="inlineStr">
        <is>
          <t>A 8724-2023</t>
        </is>
      </c>
      <c r="B2695" s="1" t="n">
        <v>44978</v>
      </c>
      <c r="C2695" s="1" t="n">
        <v>45358</v>
      </c>
      <c r="D2695" t="inlineStr">
        <is>
          <t>HALLANDS LÄN</t>
        </is>
      </c>
      <c r="E2695" t="inlineStr">
        <is>
          <t>LAHOLM</t>
        </is>
      </c>
      <c r="G2695" t="n">
        <v>2.6</v>
      </c>
      <c r="H2695" t="n">
        <v>0</v>
      </c>
      <c r="I2695" t="n">
        <v>0</v>
      </c>
      <c r="J2695" t="n">
        <v>0</v>
      </c>
      <c r="K2695" t="n">
        <v>0</v>
      </c>
      <c r="L2695" t="n">
        <v>0</v>
      </c>
      <c r="M2695" t="n">
        <v>0</v>
      </c>
      <c r="N2695" t="n">
        <v>0</v>
      </c>
      <c r="O2695" t="n">
        <v>0</v>
      </c>
      <c r="P2695" t="n">
        <v>0</v>
      </c>
      <c r="Q2695" t="n">
        <v>0</v>
      </c>
      <c r="R2695" s="2" t="inlineStr"/>
    </row>
    <row r="2696" ht="15" customHeight="1">
      <c r="A2696" t="inlineStr">
        <is>
          <t>A 8738-2023</t>
        </is>
      </c>
      <c r="B2696" s="1" t="n">
        <v>44978</v>
      </c>
      <c r="C2696" s="1" t="n">
        <v>45358</v>
      </c>
      <c r="D2696" t="inlineStr">
        <is>
          <t>HALLANDS LÄN</t>
        </is>
      </c>
      <c r="E2696" t="inlineStr">
        <is>
          <t>LAHOLM</t>
        </is>
      </c>
      <c r="G2696" t="n">
        <v>0.5</v>
      </c>
      <c r="H2696" t="n">
        <v>0</v>
      </c>
      <c r="I2696" t="n">
        <v>0</v>
      </c>
      <c r="J2696" t="n">
        <v>0</v>
      </c>
      <c r="K2696" t="n">
        <v>0</v>
      </c>
      <c r="L2696" t="n">
        <v>0</v>
      </c>
      <c r="M2696" t="n">
        <v>0</v>
      </c>
      <c r="N2696" t="n">
        <v>0</v>
      </c>
      <c r="O2696" t="n">
        <v>0</v>
      </c>
      <c r="P2696" t="n">
        <v>0</v>
      </c>
      <c r="Q2696" t="n">
        <v>0</v>
      </c>
      <c r="R2696" s="2" t="inlineStr"/>
    </row>
    <row r="2697" ht="15" customHeight="1">
      <c r="A2697" t="inlineStr">
        <is>
          <t>A 8849-2023</t>
        </is>
      </c>
      <c r="B2697" s="1" t="n">
        <v>44978</v>
      </c>
      <c r="C2697" s="1" t="n">
        <v>45358</v>
      </c>
      <c r="D2697" t="inlineStr">
        <is>
          <t>HALLANDS LÄN</t>
        </is>
      </c>
      <c r="E2697" t="inlineStr">
        <is>
          <t>FALKENBERG</t>
        </is>
      </c>
      <c r="G2697" t="n">
        <v>1.3</v>
      </c>
      <c r="H2697" t="n">
        <v>0</v>
      </c>
      <c r="I2697" t="n">
        <v>0</v>
      </c>
      <c r="J2697" t="n">
        <v>0</v>
      </c>
      <c r="K2697" t="n">
        <v>0</v>
      </c>
      <c r="L2697" t="n">
        <v>0</v>
      </c>
      <c r="M2697" t="n">
        <v>0</v>
      </c>
      <c r="N2697" t="n">
        <v>0</v>
      </c>
      <c r="O2697" t="n">
        <v>0</v>
      </c>
      <c r="P2697" t="n">
        <v>0</v>
      </c>
      <c r="Q2697" t="n">
        <v>0</v>
      </c>
      <c r="R2697" s="2" t="inlineStr"/>
    </row>
    <row r="2698" ht="15" customHeight="1">
      <c r="A2698" t="inlineStr">
        <is>
          <t>A 9007-2023</t>
        </is>
      </c>
      <c r="B2698" s="1" t="n">
        <v>44979</v>
      </c>
      <c r="C2698" s="1" t="n">
        <v>45358</v>
      </c>
      <c r="D2698" t="inlineStr">
        <is>
          <t>HALLANDS LÄN</t>
        </is>
      </c>
      <c r="E2698" t="inlineStr">
        <is>
          <t>KUNGSBACKA</t>
        </is>
      </c>
      <c r="G2698" t="n">
        <v>1.9</v>
      </c>
      <c r="H2698" t="n">
        <v>0</v>
      </c>
      <c r="I2698" t="n">
        <v>0</v>
      </c>
      <c r="J2698" t="n">
        <v>0</v>
      </c>
      <c r="K2698" t="n">
        <v>0</v>
      </c>
      <c r="L2698" t="n">
        <v>0</v>
      </c>
      <c r="M2698" t="n">
        <v>0</v>
      </c>
      <c r="N2698" t="n">
        <v>0</v>
      </c>
      <c r="O2698" t="n">
        <v>0</v>
      </c>
      <c r="P2698" t="n">
        <v>0</v>
      </c>
      <c r="Q2698" t="n">
        <v>0</v>
      </c>
      <c r="R2698" s="2" t="inlineStr"/>
    </row>
    <row r="2699" ht="15" customHeight="1">
      <c r="A2699" t="inlineStr">
        <is>
          <t>A 9235-2023</t>
        </is>
      </c>
      <c r="B2699" s="1" t="n">
        <v>44980</v>
      </c>
      <c r="C2699" s="1" t="n">
        <v>45358</v>
      </c>
      <c r="D2699" t="inlineStr">
        <is>
          <t>HALLANDS LÄN</t>
        </is>
      </c>
      <c r="E2699" t="inlineStr">
        <is>
          <t>VARBERG</t>
        </is>
      </c>
      <c r="G2699" t="n">
        <v>0.7</v>
      </c>
      <c r="H2699" t="n">
        <v>0</v>
      </c>
      <c r="I2699" t="n">
        <v>0</v>
      </c>
      <c r="J2699" t="n">
        <v>0</v>
      </c>
      <c r="K2699" t="n">
        <v>0</v>
      </c>
      <c r="L2699" t="n">
        <v>0</v>
      </c>
      <c r="M2699" t="n">
        <v>0</v>
      </c>
      <c r="N2699" t="n">
        <v>0</v>
      </c>
      <c r="O2699" t="n">
        <v>0</v>
      </c>
      <c r="P2699" t="n">
        <v>0</v>
      </c>
      <c r="Q2699" t="n">
        <v>0</v>
      </c>
      <c r="R2699" s="2" t="inlineStr"/>
    </row>
    <row r="2700" ht="15" customHeight="1">
      <c r="A2700" t="inlineStr">
        <is>
          <t>A 10229-2023</t>
        </is>
      </c>
      <c r="B2700" s="1" t="n">
        <v>44980</v>
      </c>
      <c r="C2700" s="1" t="n">
        <v>45358</v>
      </c>
      <c r="D2700" t="inlineStr">
        <is>
          <t>HALLANDS LÄN</t>
        </is>
      </c>
      <c r="E2700" t="inlineStr">
        <is>
          <t>VARBERG</t>
        </is>
      </c>
      <c r="F2700" t="inlineStr">
        <is>
          <t>Övriga statliga verk och myndigheter</t>
        </is>
      </c>
      <c r="G2700" t="n">
        <v>0.2</v>
      </c>
      <c r="H2700" t="n">
        <v>0</v>
      </c>
      <c r="I2700" t="n">
        <v>0</v>
      </c>
      <c r="J2700" t="n">
        <v>0</v>
      </c>
      <c r="K2700" t="n">
        <v>0</v>
      </c>
      <c r="L2700" t="n">
        <v>0</v>
      </c>
      <c r="M2700" t="n">
        <v>0</v>
      </c>
      <c r="N2700" t="n">
        <v>0</v>
      </c>
      <c r="O2700" t="n">
        <v>0</v>
      </c>
      <c r="P2700" t="n">
        <v>0</v>
      </c>
      <c r="Q2700" t="n">
        <v>0</v>
      </c>
      <c r="R2700" s="2" t="inlineStr"/>
    </row>
    <row r="2701" ht="15" customHeight="1">
      <c r="A2701" t="inlineStr">
        <is>
          <t>A 10364-2023</t>
        </is>
      </c>
      <c r="B2701" s="1" t="n">
        <v>44980</v>
      </c>
      <c r="C2701" s="1" t="n">
        <v>45358</v>
      </c>
      <c r="D2701" t="inlineStr">
        <is>
          <t>HALLANDS LÄN</t>
        </is>
      </c>
      <c r="E2701" t="inlineStr">
        <is>
          <t>HYLTE</t>
        </is>
      </c>
      <c r="G2701" t="n">
        <v>0.5</v>
      </c>
      <c r="H2701" t="n">
        <v>0</v>
      </c>
      <c r="I2701" t="n">
        <v>0</v>
      </c>
      <c r="J2701" t="n">
        <v>0</v>
      </c>
      <c r="K2701" t="n">
        <v>0</v>
      </c>
      <c r="L2701" t="n">
        <v>0</v>
      </c>
      <c r="M2701" t="n">
        <v>0</v>
      </c>
      <c r="N2701" t="n">
        <v>0</v>
      </c>
      <c r="O2701" t="n">
        <v>0</v>
      </c>
      <c r="P2701" t="n">
        <v>0</v>
      </c>
      <c r="Q2701" t="n">
        <v>0</v>
      </c>
      <c r="R2701" s="2" t="inlineStr"/>
    </row>
    <row r="2702" ht="15" customHeight="1">
      <c r="A2702" t="inlineStr">
        <is>
          <t>A 9415-2023</t>
        </is>
      </c>
      <c r="B2702" s="1" t="n">
        <v>44981</v>
      </c>
      <c r="C2702" s="1" t="n">
        <v>45358</v>
      </c>
      <c r="D2702" t="inlineStr">
        <is>
          <t>HALLANDS LÄN</t>
        </is>
      </c>
      <c r="E2702" t="inlineStr">
        <is>
          <t>KUNGSBACKA</t>
        </is>
      </c>
      <c r="G2702" t="n">
        <v>0.9</v>
      </c>
      <c r="H2702" t="n">
        <v>0</v>
      </c>
      <c r="I2702" t="n">
        <v>0</v>
      </c>
      <c r="J2702" t="n">
        <v>0</v>
      </c>
      <c r="K2702" t="n">
        <v>0</v>
      </c>
      <c r="L2702" t="n">
        <v>0</v>
      </c>
      <c r="M2702" t="n">
        <v>0</v>
      </c>
      <c r="N2702" t="n">
        <v>0</v>
      </c>
      <c r="O2702" t="n">
        <v>0</v>
      </c>
      <c r="P2702" t="n">
        <v>0</v>
      </c>
      <c r="Q2702" t="n">
        <v>0</v>
      </c>
      <c r="R2702" s="2" t="inlineStr"/>
    </row>
    <row r="2703" ht="15" customHeight="1">
      <c r="A2703" t="inlineStr">
        <is>
          <t>A 9419-2023</t>
        </is>
      </c>
      <c r="B2703" s="1" t="n">
        <v>44981</v>
      </c>
      <c r="C2703" s="1" t="n">
        <v>45358</v>
      </c>
      <c r="D2703" t="inlineStr">
        <is>
          <t>HALLANDS LÄN</t>
        </is>
      </c>
      <c r="E2703" t="inlineStr">
        <is>
          <t>KUNGSBACKA</t>
        </is>
      </c>
      <c r="G2703" t="n">
        <v>0.8</v>
      </c>
      <c r="H2703" t="n">
        <v>0</v>
      </c>
      <c r="I2703" t="n">
        <v>0</v>
      </c>
      <c r="J2703" t="n">
        <v>0</v>
      </c>
      <c r="K2703" t="n">
        <v>0</v>
      </c>
      <c r="L2703" t="n">
        <v>0</v>
      </c>
      <c r="M2703" t="n">
        <v>0</v>
      </c>
      <c r="N2703" t="n">
        <v>0</v>
      </c>
      <c r="O2703" t="n">
        <v>0</v>
      </c>
      <c r="P2703" t="n">
        <v>0</v>
      </c>
      <c r="Q2703" t="n">
        <v>0</v>
      </c>
      <c r="R2703" s="2" t="inlineStr"/>
    </row>
    <row r="2704" ht="15" customHeight="1">
      <c r="A2704" t="inlineStr">
        <is>
          <t>A 9445-2023</t>
        </is>
      </c>
      <c r="B2704" s="1" t="n">
        <v>44981</v>
      </c>
      <c r="C2704" s="1" t="n">
        <v>45358</v>
      </c>
      <c r="D2704" t="inlineStr">
        <is>
          <t>HALLANDS LÄN</t>
        </is>
      </c>
      <c r="E2704" t="inlineStr">
        <is>
          <t>FALKENBERG</t>
        </is>
      </c>
      <c r="G2704" t="n">
        <v>0.8</v>
      </c>
      <c r="H2704" t="n">
        <v>0</v>
      </c>
      <c r="I2704" t="n">
        <v>0</v>
      </c>
      <c r="J2704" t="n">
        <v>0</v>
      </c>
      <c r="K2704" t="n">
        <v>0</v>
      </c>
      <c r="L2704" t="n">
        <v>0</v>
      </c>
      <c r="M2704" t="n">
        <v>0</v>
      </c>
      <c r="N2704" t="n">
        <v>0</v>
      </c>
      <c r="O2704" t="n">
        <v>0</v>
      </c>
      <c r="P2704" t="n">
        <v>0</v>
      </c>
      <c r="Q2704" t="n">
        <v>0</v>
      </c>
      <c r="R2704" s="2" t="inlineStr"/>
    </row>
    <row r="2705" ht="15" customHeight="1">
      <c r="A2705" t="inlineStr">
        <is>
          <t>A 9404-2023</t>
        </is>
      </c>
      <c r="B2705" s="1" t="n">
        <v>44981</v>
      </c>
      <c r="C2705" s="1" t="n">
        <v>45358</v>
      </c>
      <c r="D2705" t="inlineStr">
        <is>
          <t>HALLANDS LÄN</t>
        </is>
      </c>
      <c r="E2705" t="inlineStr">
        <is>
          <t>KUNGSBACKA</t>
        </is>
      </c>
      <c r="G2705" t="n">
        <v>2.5</v>
      </c>
      <c r="H2705" t="n">
        <v>0</v>
      </c>
      <c r="I2705" t="n">
        <v>0</v>
      </c>
      <c r="J2705" t="n">
        <v>0</v>
      </c>
      <c r="K2705" t="n">
        <v>0</v>
      </c>
      <c r="L2705" t="n">
        <v>0</v>
      </c>
      <c r="M2705" t="n">
        <v>0</v>
      </c>
      <c r="N2705" t="n">
        <v>0</v>
      </c>
      <c r="O2705" t="n">
        <v>0</v>
      </c>
      <c r="P2705" t="n">
        <v>0</v>
      </c>
      <c r="Q2705" t="n">
        <v>0</v>
      </c>
      <c r="R2705" s="2" t="inlineStr"/>
    </row>
    <row r="2706" ht="15" customHeight="1">
      <c r="A2706" t="inlineStr">
        <is>
          <t>A 9421-2023</t>
        </is>
      </c>
      <c r="B2706" s="1" t="n">
        <v>44981</v>
      </c>
      <c r="C2706" s="1" t="n">
        <v>45358</v>
      </c>
      <c r="D2706" t="inlineStr">
        <is>
          <t>HALLANDS LÄN</t>
        </is>
      </c>
      <c r="E2706" t="inlineStr">
        <is>
          <t>HYLTE</t>
        </is>
      </c>
      <c r="G2706" t="n">
        <v>0.9</v>
      </c>
      <c r="H2706" t="n">
        <v>0</v>
      </c>
      <c r="I2706" t="n">
        <v>0</v>
      </c>
      <c r="J2706" t="n">
        <v>0</v>
      </c>
      <c r="K2706" t="n">
        <v>0</v>
      </c>
      <c r="L2706" t="n">
        <v>0</v>
      </c>
      <c r="M2706" t="n">
        <v>0</v>
      </c>
      <c r="N2706" t="n">
        <v>0</v>
      </c>
      <c r="O2706" t="n">
        <v>0</v>
      </c>
      <c r="P2706" t="n">
        <v>0</v>
      </c>
      <c r="Q2706" t="n">
        <v>0</v>
      </c>
      <c r="R2706" s="2" t="inlineStr"/>
    </row>
    <row r="2707" ht="15" customHeight="1">
      <c r="A2707" t="inlineStr">
        <is>
          <t>A 9417-2023</t>
        </is>
      </c>
      <c r="B2707" s="1" t="n">
        <v>44981</v>
      </c>
      <c r="C2707" s="1" t="n">
        <v>45358</v>
      </c>
      <c r="D2707" t="inlineStr">
        <is>
          <t>HALLANDS LÄN</t>
        </is>
      </c>
      <c r="E2707" t="inlineStr">
        <is>
          <t>KUNGSBACKA</t>
        </is>
      </c>
      <c r="G2707" t="n">
        <v>0.5</v>
      </c>
      <c r="H2707" t="n">
        <v>0</v>
      </c>
      <c r="I2707" t="n">
        <v>0</v>
      </c>
      <c r="J2707" t="n">
        <v>0</v>
      </c>
      <c r="K2707" t="n">
        <v>0</v>
      </c>
      <c r="L2707" t="n">
        <v>0</v>
      </c>
      <c r="M2707" t="n">
        <v>0</v>
      </c>
      <c r="N2707" t="n">
        <v>0</v>
      </c>
      <c r="O2707" t="n">
        <v>0</v>
      </c>
      <c r="P2707" t="n">
        <v>0</v>
      </c>
      <c r="Q2707" t="n">
        <v>0</v>
      </c>
      <c r="R2707" s="2" t="inlineStr"/>
    </row>
    <row r="2708" ht="15" customHeight="1">
      <c r="A2708" t="inlineStr">
        <is>
          <t>A 9465-2023</t>
        </is>
      </c>
      <c r="B2708" s="1" t="n">
        <v>44981</v>
      </c>
      <c r="C2708" s="1" t="n">
        <v>45358</v>
      </c>
      <c r="D2708" t="inlineStr">
        <is>
          <t>HALLANDS LÄN</t>
        </is>
      </c>
      <c r="E2708" t="inlineStr">
        <is>
          <t>VARBERG</t>
        </is>
      </c>
      <c r="G2708" t="n">
        <v>9.9</v>
      </c>
      <c r="H2708" t="n">
        <v>0</v>
      </c>
      <c r="I2708" t="n">
        <v>0</v>
      </c>
      <c r="J2708" t="n">
        <v>0</v>
      </c>
      <c r="K2708" t="n">
        <v>0</v>
      </c>
      <c r="L2708" t="n">
        <v>0</v>
      </c>
      <c r="M2708" t="n">
        <v>0</v>
      </c>
      <c r="N2708" t="n">
        <v>0</v>
      </c>
      <c r="O2708" t="n">
        <v>0</v>
      </c>
      <c r="P2708" t="n">
        <v>0</v>
      </c>
      <c r="Q2708" t="n">
        <v>0</v>
      </c>
      <c r="R2708" s="2" t="inlineStr"/>
    </row>
    <row r="2709" ht="15" customHeight="1">
      <c r="A2709" t="inlineStr">
        <is>
          <t>A 9479-2023</t>
        </is>
      </c>
      <c r="B2709" s="1" t="n">
        <v>44981</v>
      </c>
      <c r="C2709" s="1" t="n">
        <v>45358</v>
      </c>
      <c r="D2709" t="inlineStr">
        <is>
          <t>HALLANDS LÄN</t>
        </is>
      </c>
      <c r="E2709" t="inlineStr">
        <is>
          <t>LAHOLM</t>
        </is>
      </c>
      <c r="G2709" t="n">
        <v>3.7</v>
      </c>
      <c r="H2709" t="n">
        <v>0</v>
      </c>
      <c r="I2709" t="n">
        <v>0</v>
      </c>
      <c r="J2709" t="n">
        <v>0</v>
      </c>
      <c r="K2709" t="n">
        <v>0</v>
      </c>
      <c r="L2709" t="n">
        <v>0</v>
      </c>
      <c r="M2709" t="n">
        <v>0</v>
      </c>
      <c r="N2709" t="n">
        <v>0</v>
      </c>
      <c r="O2709" t="n">
        <v>0</v>
      </c>
      <c r="P2709" t="n">
        <v>0</v>
      </c>
      <c r="Q2709" t="n">
        <v>0</v>
      </c>
      <c r="R2709" s="2" t="inlineStr"/>
    </row>
    <row r="2710" ht="15" customHeight="1">
      <c r="A2710" t="inlineStr">
        <is>
          <t>A 9514-2023</t>
        </is>
      </c>
      <c r="B2710" s="1" t="n">
        <v>44981</v>
      </c>
      <c r="C2710" s="1" t="n">
        <v>45358</v>
      </c>
      <c r="D2710" t="inlineStr">
        <is>
          <t>HALLANDS LÄN</t>
        </is>
      </c>
      <c r="E2710" t="inlineStr">
        <is>
          <t>VARBERG</t>
        </is>
      </c>
      <c r="G2710" t="n">
        <v>9</v>
      </c>
      <c r="H2710" t="n">
        <v>0</v>
      </c>
      <c r="I2710" t="n">
        <v>0</v>
      </c>
      <c r="J2710" t="n">
        <v>0</v>
      </c>
      <c r="K2710" t="n">
        <v>0</v>
      </c>
      <c r="L2710" t="n">
        <v>0</v>
      </c>
      <c r="M2710" t="n">
        <v>0</v>
      </c>
      <c r="N2710" t="n">
        <v>0</v>
      </c>
      <c r="O2710" t="n">
        <v>0</v>
      </c>
      <c r="P2710" t="n">
        <v>0</v>
      </c>
      <c r="Q2710" t="n">
        <v>0</v>
      </c>
      <c r="R2710" s="2" t="inlineStr"/>
    </row>
    <row r="2711" ht="15" customHeight="1">
      <c r="A2711" t="inlineStr">
        <is>
          <t>A 9519-2023</t>
        </is>
      </c>
      <c r="B2711" s="1" t="n">
        <v>44981</v>
      </c>
      <c r="C2711" s="1" t="n">
        <v>45358</v>
      </c>
      <c r="D2711" t="inlineStr">
        <is>
          <t>HALLANDS LÄN</t>
        </is>
      </c>
      <c r="E2711" t="inlineStr">
        <is>
          <t>VARBERG</t>
        </is>
      </c>
      <c r="G2711" t="n">
        <v>1.4</v>
      </c>
      <c r="H2711" t="n">
        <v>0</v>
      </c>
      <c r="I2711" t="n">
        <v>0</v>
      </c>
      <c r="J2711" t="n">
        <v>0</v>
      </c>
      <c r="K2711" t="n">
        <v>0</v>
      </c>
      <c r="L2711" t="n">
        <v>0</v>
      </c>
      <c r="M2711" t="n">
        <v>0</v>
      </c>
      <c r="N2711" t="n">
        <v>0</v>
      </c>
      <c r="O2711" t="n">
        <v>0</v>
      </c>
      <c r="P2711" t="n">
        <v>0</v>
      </c>
      <c r="Q2711" t="n">
        <v>0</v>
      </c>
      <c r="R2711" s="2" t="inlineStr"/>
    </row>
    <row r="2712" ht="15" customHeight="1">
      <c r="A2712" t="inlineStr">
        <is>
          <t>A 9572-2023</t>
        </is>
      </c>
      <c r="B2712" s="1" t="n">
        <v>44982</v>
      </c>
      <c r="C2712" s="1" t="n">
        <v>45358</v>
      </c>
      <c r="D2712" t="inlineStr">
        <is>
          <t>HALLANDS LÄN</t>
        </is>
      </c>
      <c r="E2712" t="inlineStr">
        <is>
          <t>VARBERG</t>
        </is>
      </c>
      <c r="G2712" t="n">
        <v>1.9</v>
      </c>
      <c r="H2712" t="n">
        <v>0</v>
      </c>
      <c r="I2712" t="n">
        <v>0</v>
      </c>
      <c r="J2712" t="n">
        <v>0</v>
      </c>
      <c r="K2712" t="n">
        <v>0</v>
      </c>
      <c r="L2712" t="n">
        <v>0</v>
      </c>
      <c r="M2712" t="n">
        <v>0</v>
      </c>
      <c r="N2712" t="n">
        <v>0</v>
      </c>
      <c r="O2712" t="n">
        <v>0</v>
      </c>
      <c r="P2712" t="n">
        <v>0</v>
      </c>
      <c r="Q2712" t="n">
        <v>0</v>
      </c>
      <c r="R2712" s="2" t="inlineStr"/>
    </row>
    <row r="2713" ht="15" customHeight="1">
      <c r="A2713" t="inlineStr">
        <is>
          <t>A 9608-2023</t>
        </is>
      </c>
      <c r="B2713" s="1" t="n">
        <v>44983</v>
      </c>
      <c r="C2713" s="1" t="n">
        <v>45358</v>
      </c>
      <c r="D2713" t="inlineStr">
        <is>
          <t>HALLANDS LÄN</t>
        </is>
      </c>
      <c r="E2713" t="inlineStr">
        <is>
          <t>VARBERG</t>
        </is>
      </c>
      <c r="G2713" t="n">
        <v>3.4</v>
      </c>
      <c r="H2713" t="n">
        <v>0</v>
      </c>
      <c r="I2713" t="n">
        <v>0</v>
      </c>
      <c r="J2713" t="n">
        <v>0</v>
      </c>
      <c r="K2713" t="n">
        <v>0</v>
      </c>
      <c r="L2713" t="n">
        <v>0</v>
      </c>
      <c r="M2713" t="n">
        <v>0</v>
      </c>
      <c r="N2713" t="n">
        <v>0</v>
      </c>
      <c r="O2713" t="n">
        <v>0</v>
      </c>
      <c r="P2713" t="n">
        <v>0</v>
      </c>
      <c r="Q2713" t="n">
        <v>0</v>
      </c>
      <c r="R2713" s="2" t="inlineStr"/>
    </row>
    <row r="2714" ht="15" customHeight="1">
      <c r="A2714" t="inlineStr">
        <is>
          <t>A 9666-2023</t>
        </is>
      </c>
      <c r="B2714" s="1" t="n">
        <v>44984</v>
      </c>
      <c r="C2714" s="1" t="n">
        <v>45358</v>
      </c>
      <c r="D2714" t="inlineStr">
        <is>
          <t>HALLANDS LÄN</t>
        </is>
      </c>
      <c r="E2714" t="inlineStr">
        <is>
          <t>LAHOLM</t>
        </is>
      </c>
      <c r="G2714" t="n">
        <v>0.6</v>
      </c>
      <c r="H2714" t="n">
        <v>0</v>
      </c>
      <c r="I2714" t="n">
        <v>0</v>
      </c>
      <c r="J2714" t="n">
        <v>0</v>
      </c>
      <c r="K2714" t="n">
        <v>0</v>
      </c>
      <c r="L2714" t="n">
        <v>0</v>
      </c>
      <c r="M2714" t="n">
        <v>0</v>
      </c>
      <c r="N2714" t="n">
        <v>0</v>
      </c>
      <c r="O2714" t="n">
        <v>0</v>
      </c>
      <c r="P2714" t="n">
        <v>0</v>
      </c>
      <c r="Q2714" t="n">
        <v>0</v>
      </c>
      <c r="R2714" s="2" t="inlineStr"/>
    </row>
    <row r="2715" ht="15" customHeight="1">
      <c r="A2715" t="inlineStr">
        <is>
          <t>A 9807-2023</t>
        </is>
      </c>
      <c r="B2715" s="1" t="n">
        <v>44984</v>
      </c>
      <c r="C2715" s="1" t="n">
        <v>45358</v>
      </c>
      <c r="D2715" t="inlineStr">
        <is>
          <t>HALLANDS LÄN</t>
        </is>
      </c>
      <c r="E2715" t="inlineStr">
        <is>
          <t>FALKENBERG</t>
        </is>
      </c>
      <c r="G2715" t="n">
        <v>2.5</v>
      </c>
      <c r="H2715" t="n">
        <v>0</v>
      </c>
      <c r="I2715" t="n">
        <v>0</v>
      </c>
      <c r="J2715" t="n">
        <v>0</v>
      </c>
      <c r="K2715" t="n">
        <v>0</v>
      </c>
      <c r="L2715" t="n">
        <v>0</v>
      </c>
      <c r="M2715" t="n">
        <v>0</v>
      </c>
      <c r="N2715" t="n">
        <v>0</v>
      </c>
      <c r="O2715" t="n">
        <v>0</v>
      </c>
      <c r="P2715" t="n">
        <v>0</v>
      </c>
      <c r="Q2715" t="n">
        <v>0</v>
      </c>
      <c r="R2715" s="2" t="inlineStr"/>
    </row>
    <row r="2716" ht="15" customHeight="1">
      <c r="A2716" t="inlineStr">
        <is>
          <t>A 9798-2023</t>
        </is>
      </c>
      <c r="B2716" s="1" t="n">
        <v>44984</v>
      </c>
      <c r="C2716" s="1" t="n">
        <v>45358</v>
      </c>
      <c r="D2716" t="inlineStr">
        <is>
          <t>HALLANDS LÄN</t>
        </is>
      </c>
      <c r="E2716" t="inlineStr">
        <is>
          <t>FALKENBERG</t>
        </is>
      </c>
      <c r="G2716" t="n">
        <v>1.4</v>
      </c>
      <c r="H2716" t="n">
        <v>0</v>
      </c>
      <c r="I2716" t="n">
        <v>0</v>
      </c>
      <c r="J2716" t="n">
        <v>0</v>
      </c>
      <c r="K2716" t="n">
        <v>0</v>
      </c>
      <c r="L2716" t="n">
        <v>0</v>
      </c>
      <c r="M2716" t="n">
        <v>0</v>
      </c>
      <c r="N2716" t="n">
        <v>0</v>
      </c>
      <c r="O2716" t="n">
        <v>0</v>
      </c>
      <c r="P2716" t="n">
        <v>0</v>
      </c>
      <c r="Q2716" t="n">
        <v>0</v>
      </c>
      <c r="R2716" s="2" t="inlineStr"/>
    </row>
    <row r="2717" ht="15" customHeight="1">
      <c r="A2717" t="inlineStr">
        <is>
          <t>A 9885-2023</t>
        </is>
      </c>
      <c r="B2717" s="1" t="n">
        <v>44985</v>
      </c>
      <c r="C2717" s="1" t="n">
        <v>45358</v>
      </c>
      <c r="D2717" t="inlineStr">
        <is>
          <t>HALLANDS LÄN</t>
        </is>
      </c>
      <c r="E2717" t="inlineStr">
        <is>
          <t>VARBERG</t>
        </is>
      </c>
      <c r="G2717" t="n">
        <v>6.6</v>
      </c>
      <c r="H2717" t="n">
        <v>0</v>
      </c>
      <c r="I2717" t="n">
        <v>0</v>
      </c>
      <c r="J2717" t="n">
        <v>0</v>
      </c>
      <c r="K2717" t="n">
        <v>0</v>
      </c>
      <c r="L2717" t="n">
        <v>0</v>
      </c>
      <c r="M2717" t="n">
        <v>0</v>
      </c>
      <c r="N2717" t="n">
        <v>0</v>
      </c>
      <c r="O2717" t="n">
        <v>0</v>
      </c>
      <c r="P2717" t="n">
        <v>0</v>
      </c>
      <c r="Q2717" t="n">
        <v>0</v>
      </c>
      <c r="R2717" s="2" t="inlineStr"/>
    </row>
    <row r="2718" ht="15" customHeight="1">
      <c r="A2718" t="inlineStr">
        <is>
          <t>A 9887-2023</t>
        </is>
      </c>
      <c r="B2718" s="1" t="n">
        <v>44985</v>
      </c>
      <c r="C2718" s="1" t="n">
        <v>45358</v>
      </c>
      <c r="D2718" t="inlineStr">
        <is>
          <t>HALLANDS LÄN</t>
        </is>
      </c>
      <c r="E2718" t="inlineStr">
        <is>
          <t>VARBERG</t>
        </is>
      </c>
      <c r="G2718" t="n">
        <v>1</v>
      </c>
      <c r="H2718" t="n">
        <v>0</v>
      </c>
      <c r="I2718" t="n">
        <v>0</v>
      </c>
      <c r="J2718" t="n">
        <v>0</v>
      </c>
      <c r="K2718" t="n">
        <v>0</v>
      </c>
      <c r="L2718" t="n">
        <v>0</v>
      </c>
      <c r="M2718" t="n">
        <v>0</v>
      </c>
      <c r="N2718" t="n">
        <v>0</v>
      </c>
      <c r="O2718" t="n">
        <v>0</v>
      </c>
      <c r="P2718" t="n">
        <v>0</v>
      </c>
      <c r="Q2718" t="n">
        <v>0</v>
      </c>
      <c r="R2718" s="2" t="inlineStr"/>
    </row>
    <row r="2719" ht="15" customHeight="1">
      <c r="A2719" t="inlineStr">
        <is>
          <t>A 9917-2023</t>
        </is>
      </c>
      <c r="B2719" s="1" t="n">
        <v>44985</v>
      </c>
      <c r="C2719" s="1" t="n">
        <v>45358</v>
      </c>
      <c r="D2719" t="inlineStr">
        <is>
          <t>HALLANDS LÄN</t>
        </is>
      </c>
      <c r="E2719" t="inlineStr">
        <is>
          <t>FALKENBERG</t>
        </is>
      </c>
      <c r="G2719" t="n">
        <v>1</v>
      </c>
      <c r="H2719" t="n">
        <v>0</v>
      </c>
      <c r="I2719" t="n">
        <v>0</v>
      </c>
      <c r="J2719" t="n">
        <v>0</v>
      </c>
      <c r="K2719" t="n">
        <v>0</v>
      </c>
      <c r="L2719" t="n">
        <v>0</v>
      </c>
      <c r="M2719" t="n">
        <v>0</v>
      </c>
      <c r="N2719" t="n">
        <v>0</v>
      </c>
      <c r="O2719" t="n">
        <v>0</v>
      </c>
      <c r="P2719" t="n">
        <v>0</v>
      </c>
      <c r="Q2719" t="n">
        <v>0</v>
      </c>
      <c r="R2719" s="2" t="inlineStr"/>
    </row>
    <row r="2720" ht="15" customHeight="1">
      <c r="A2720" t="inlineStr">
        <is>
          <t>A 10238-2023</t>
        </is>
      </c>
      <c r="B2720" s="1" t="n">
        <v>44986</v>
      </c>
      <c r="C2720" s="1" t="n">
        <v>45358</v>
      </c>
      <c r="D2720" t="inlineStr">
        <is>
          <t>HALLANDS LÄN</t>
        </is>
      </c>
      <c r="E2720" t="inlineStr">
        <is>
          <t>FALKENBERG</t>
        </is>
      </c>
      <c r="G2720" t="n">
        <v>1.4</v>
      </c>
      <c r="H2720" t="n">
        <v>0</v>
      </c>
      <c r="I2720" t="n">
        <v>0</v>
      </c>
      <c r="J2720" t="n">
        <v>0</v>
      </c>
      <c r="K2720" t="n">
        <v>0</v>
      </c>
      <c r="L2720" t="n">
        <v>0</v>
      </c>
      <c r="M2720" t="n">
        <v>0</v>
      </c>
      <c r="N2720" t="n">
        <v>0</v>
      </c>
      <c r="O2720" t="n">
        <v>0</v>
      </c>
      <c r="P2720" t="n">
        <v>0</v>
      </c>
      <c r="Q2720" t="n">
        <v>0</v>
      </c>
      <c r="R2720" s="2" t="inlineStr"/>
    </row>
    <row r="2721" ht="15" customHeight="1">
      <c r="A2721" t="inlineStr">
        <is>
          <t>A 10245-2023</t>
        </is>
      </c>
      <c r="B2721" s="1" t="n">
        <v>44986</v>
      </c>
      <c r="C2721" s="1" t="n">
        <v>45358</v>
      </c>
      <c r="D2721" t="inlineStr">
        <is>
          <t>HALLANDS LÄN</t>
        </is>
      </c>
      <c r="E2721" t="inlineStr">
        <is>
          <t>FALKENBERG</t>
        </is>
      </c>
      <c r="G2721" t="n">
        <v>0.8</v>
      </c>
      <c r="H2721" t="n">
        <v>0</v>
      </c>
      <c r="I2721" t="n">
        <v>0</v>
      </c>
      <c r="J2721" t="n">
        <v>0</v>
      </c>
      <c r="K2721" t="n">
        <v>0</v>
      </c>
      <c r="L2721" t="n">
        <v>0</v>
      </c>
      <c r="M2721" t="n">
        <v>0</v>
      </c>
      <c r="N2721" t="n">
        <v>0</v>
      </c>
      <c r="O2721" t="n">
        <v>0</v>
      </c>
      <c r="P2721" t="n">
        <v>0</v>
      </c>
      <c r="Q2721" t="n">
        <v>0</v>
      </c>
      <c r="R2721" s="2" t="inlineStr"/>
    </row>
    <row r="2722" ht="15" customHeight="1">
      <c r="A2722" t="inlineStr">
        <is>
          <t>A 10252-2023</t>
        </is>
      </c>
      <c r="B2722" s="1" t="n">
        <v>44986</v>
      </c>
      <c r="C2722" s="1" t="n">
        <v>45358</v>
      </c>
      <c r="D2722" t="inlineStr">
        <is>
          <t>HALLANDS LÄN</t>
        </is>
      </c>
      <c r="E2722" t="inlineStr">
        <is>
          <t>FALKENBERG</t>
        </is>
      </c>
      <c r="G2722" t="n">
        <v>4.1</v>
      </c>
      <c r="H2722" t="n">
        <v>0</v>
      </c>
      <c r="I2722" t="n">
        <v>0</v>
      </c>
      <c r="J2722" t="n">
        <v>0</v>
      </c>
      <c r="K2722" t="n">
        <v>0</v>
      </c>
      <c r="L2722" t="n">
        <v>0</v>
      </c>
      <c r="M2722" t="n">
        <v>0</v>
      </c>
      <c r="N2722" t="n">
        <v>0</v>
      </c>
      <c r="O2722" t="n">
        <v>0</v>
      </c>
      <c r="P2722" t="n">
        <v>0</v>
      </c>
      <c r="Q2722" t="n">
        <v>0</v>
      </c>
      <c r="R2722" s="2" t="inlineStr"/>
    </row>
    <row r="2723" ht="15" customHeight="1">
      <c r="A2723" t="inlineStr">
        <is>
          <t>A 10269-2023</t>
        </is>
      </c>
      <c r="B2723" s="1" t="n">
        <v>44986</v>
      </c>
      <c r="C2723" s="1" t="n">
        <v>45358</v>
      </c>
      <c r="D2723" t="inlineStr">
        <is>
          <t>HALLANDS LÄN</t>
        </is>
      </c>
      <c r="E2723" t="inlineStr">
        <is>
          <t>KUNGSBACKA</t>
        </is>
      </c>
      <c r="G2723" t="n">
        <v>1.3</v>
      </c>
      <c r="H2723" t="n">
        <v>0</v>
      </c>
      <c r="I2723" t="n">
        <v>0</v>
      </c>
      <c r="J2723" t="n">
        <v>0</v>
      </c>
      <c r="K2723" t="n">
        <v>0</v>
      </c>
      <c r="L2723" t="n">
        <v>0</v>
      </c>
      <c r="M2723" t="n">
        <v>0</v>
      </c>
      <c r="N2723" t="n">
        <v>0</v>
      </c>
      <c r="O2723" t="n">
        <v>0</v>
      </c>
      <c r="P2723" t="n">
        <v>0</v>
      </c>
      <c r="Q2723" t="n">
        <v>0</v>
      </c>
      <c r="R2723" s="2" t="inlineStr"/>
    </row>
    <row r="2724" ht="15" customHeight="1">
      <c r="A2724" t="inlineStr">
        <is>
          <t>A 10237-2023</t>
        </is>
      </c>
      <c r="B2724" s="1" t="n">
        <v>44986</v>
      </c>
      <c r="C2724" s="1" t="n">
        <v>45358</v>
      </c>
      <c r="D2724" t="inlineStr">
        <is>
          <t>HALLANDS LÄN</t>
        </is>
      </c>
      <c r="E2724" t="inlineStr">
        <is>
          <t>FALKENBERG</t>
        </is>
      </c>
      <c r="G2724" t="n">
        <v>3.1</v>
      </c>
      <c r="H2724" t="n">
        <v>0</v>
      </c>
      <c r="I2724" t="n">
        <v>0</v>
      </c>
      <c r="J2724" t="n">
        <v>0</v>
      </c>
      <c r="K2724" t="n">
        <v>0</v>
      </c>
      <c r="L2724" t="n">
        <v>0</v>
      </c>
      <c r="M2724" t="n">
        <v>0</v>
      </c>
      <c r="N2724" t="n">
        <v>0</v>
      </c>
      <c r="O2724" t="n">
        <v>0</v>
      </c>
      <c r="P2724" t="n">
        <v>0</v>
      </c>
      <c r="Q2724" t="n">
        <v>0</v>
      </c>
      <c r="R2724" s="2" t="inlineStr"/>
    </row>
    <row r="2725" ht="15" customHeight="1">
      <c r="A2725" t="inlineStr">
        <is>
          <t>A 10244-2023</t>
        </is>
      </c>
      <c r="B2725" s="1" t="n">
        <v>44986</v>
      </c>
      <c r="C2725" s="1" t="n">
        <v>45358</v>
      </c>
      <c r="D2725" t="inlineStr">
        <is>
          <t>HALLANDS LÄN</t>
        </is>
      </c>
      <c r="E2725" t="inlineStr">
        <is>
          <t>FALKENBERG</t>
        </is>
      </c>
      <c r="G2725" t="n">
        <v>2.8</v>
      </c>
      <c r="H2725" t="n">
        <v>0</v>
      </c>
      <c r="I2725" t="n">
        <v>0</v>
      </c>
      <c r="J2725" t="n">
        <v>0</v>
      </c>
      <c r="K2725" t="n">
        <v>0</v>
      </c>
      <c r="L2725" t="n">
        <v>0</v>
      </c>
      <c r="M2725" t="n">
        <v>0</v>
      </c>
      <c r="N2725" t="n">
        <v>0</v>
      </c>
      <c r="O2725" t="n">
        <v>0</v>
      </c>
      <c r="P2725" t="n">
        <v>0</v>
      </c>
      <c r="Q2725" t="n">
        <v>0</v>
      </c>
      <c r="R2725" s="2" t="inlineStr"/>
    </row>
    <row r="2726" ht="15" customHeight="1">
      <c r="A2726" t="inlineStr">
        <is>
          <t>A 10249-2023</t>
        </is>
      </c>
      <c r="B2726" s="1" t="n">
        <v>44986</v>
      </c>
      <c r="C2726" s="1" t="n">
        <v>45358</v>
      </c>
      <c r="D2726" t="inlineStr">
        <is>
          <t>HALLANDS LÄN</t>
        </is>
      </c>
      <c r="E2726" t="inlineStr">
        <is>
          <t>FALKENBERG</t>
        </is>
      </c>
      <c r="G2726" t="n">
        <v>0.9</v>
      </c>
      <c r="H2726" t="n">
        <v>0</v>
      </c>
      <c r="I2726" t="n">
        <v>0</v>
      </c>
      <c r="J2726" t="n">
        <v>0</v>
      </c>
      <c r="K2726" t="n">
        <v>0</v>
      </c>
      <c r="L2726" t="n">
        <v>0</v>
      </c>
      <c r="M2726" t="n">
        <v>0</v>
      </c>
      <c r="N2726" t="n">
        <v>0</v>
      </c>
      <c r="O2726" t="n">
        <v>0</v>
      </c>
      <c r="P2726" t="n">
        <v>0</v>
      </c>
      <c r="Q2726" t="n">
        <v>0</v>
      </c>
      <c r="R2726" s="2" t="inlineStr"/>
    </row>
    <row r="2727" ht="15" customHeight="1">
      <c r="A2727" t="inlineStr">
        <is>
          <t>A 10400-2023</t>
        </is>
      </c>
      <c r="B2727" s="1" t="n">
        <v>44987</v>
      </c>
      <c r="C2727" s="1" t="n">
        <v>45358</v>
      </c>
      <c r="D2727" t="inlineStr">
        <is>
          <t>HALLANDS LÄN</t>
        </is>
      </c>
      <c r="E2727" t="inlineStr">
        <is>
          <t>HALMSTAD</t>
        </is>
      </c>
      <c r="G2727" t="n">
        <v>3.6</v>
      </c>
      <c r="H2727" t="n">
        <v>0</v>
      </c>
      <c r="I2727" t="n">
        <v>0</v>
      </c>
      <c r="J2727" t="n">
        <v>0</v>
      </c>
      <c r="K2727" t="n">
        <v>0</v>
      </c>
      <c r="L2727" t="n">
        <v>0</v>
      </c>
      <c r="M2727" t="n">
        <v>0</v>
      </c>
      <c r="N2727" t="n">
        <v>0</v>
      </c>
      <c r="O2727" t="n">
        <v>0</v>
      </c>
      <c r="P2727" t="n">
        <v>0</v>
      </c>
      <c r="Q2727" t="n">
        <v>0</v>
      </c>
      <c r="R2727" s="2" t="inlineStr"/>
    </row>
    <row r="2728" ht="15" customHeight="1">
      <c r="A2728" t="inlineStr">
        <is>
          <t>A 10377-2023</t>
        </is>
      </c>
      <c r="B2728" s="1" t="n">
        <v>44987</v>
      </c>
      <c r="C2728" s="1" t="n">
        <v>45358</v>
      </c>
      <c r="D2728" t="inlineStr">
        <is>
          <t>HALLANDS LÄN</t>
        </is>
      </c>
      <c r="E2728" t="inlineStr">
        <is>
          <t>VARBERG</t>
        </is>
      </c>
      <c r="G2728" t="n">
        <v>1.4</v>
      </c>
      <c r="H2728" t="n">
        <v>0</v>
      </c>
      <c r="I2728" t="n">
        <v>0</v>
      </c>
      <c r="J2728" t="n">
        <v>0</v>
      </c>
      <c r="K2728" t="n">
        <v>0</v>
      </c>
      <c r="L2728" t="n">
        <v>0</v>
      </c>
      <c r="M2728" t="n">
        <v>0</v>
      </c>
      <c r="N2728" t="n">
        <v>0</v>
      </c>
      <c r="O2728" t="n">
        <v>0</v>
      </c>
      <c r="P2728" t="n">
        <v>0</v>
      </c>
      <c r="Q2728" t="n">
        <v>0</v>
      </c>
      <c r="R2728" s="2" t="inlineStr"/>
    </row>
    <row r="2729" ht="15" customHeight="1">
      <c r="A2729" t="inlineStr">
        <is>
          <t>A 10626-2023</t>
        </is>
      </c>
      <c r="B2729" s="1" t="n">
        <v>44988</v>
      </c>
      <c r="C2729" s="1" t="n">
        <v>45358</v>
      </c>
      <c r="D2729" t="inlineStr">
        <is>
          <t>HALLANDS LÄN</t>
        </is>
      </c>
      <c r="E2729" t="inlineStr">
        <is>
          <t>LAHOLM</t>
        </is>
      </c>
      <c r="G2729" t="n">
        <v>0.8</v>
      </c>
      <c r="H2729" t="n">
        <v>0</v>
      </c>
      <c r="I2729" t="n">
        <v>0</v>
      </c>
      <c r="J2729" t="n">
        <v>0</v>
      </c>
      <c r="K2729" t="n">
        <v>0</v>
      </c>
      <c r="L2729" t="n">
        <v>0</v>
      </c>
      <c r="M2729" t="n">
        <v>0</v>
      </c>
      <c r="N2729" t="n">
        <v>0</v>
      </c>
      <c r="O2729" t="n">
        <v>0</v>
      </c>
      <c r="P2729" t="n">
        <v>0</v>
      </c>
      <c r="Q2729" t="n">
        <v>0</v>
      </c>
      <c r="R2729" s="2" t="inlineStr"/>
    </row>
    <row r="2730" ht="15" customHeight="1">
      <c r="A2730" t="inlineStr">
        <is>
          <t>A 10798-2023</t>
        </is>
      </c>
      <c r="B2730" s="1" t="n">
        <v>44989</v>
      </c>
      <c r="C2730" s="1" t="n">
        <v>45358</v>
      </c>
      <c r="D2730" t="inlineStr">
        <is>
          <t>HALLANDS LÄN</t>
        </is>
      </c>
      <c r="E2730" t="inlineStr">
        <is>
          <t>LAHOLM</t>
        </is>
      </c>
      <c r="G2730" t="n">
        <v>4.2</v>
      </c>
      <c r="H2730" t="n">
        <v>0</v>
      </c>
      <c r="I2730" t="n">
        <v>0</v>
      </c>
      <c r="J2730" t="n">
        <v>0</v>
      </c>
      <c r="K2730" t="n">
        <v>0</v>
      </c>
      <c r="L2730" t="n">
        <v>0</v>
      </c>
      <c r="M2730" t="n">
        <v>0</v>
      </c>
      <c r="N2730" t="n">
        <v>0</v>
      </c>
      <c r="O2730" t="n">
        <v>0</v>
      </c>
      <c r="P2730" t="n">
        <v>0</v>
      </c>
      <c r="Q2730" t="n">
        <v>0</v>
      </c>
      <c r="R2730" s="2" t="inlineStr"/>
    </row>
    <row r="2731" ht="15" customHeight="1">
      <c r="A2731" t="inlineStr">
        <is>
          <t>A 10817-2023</t>
        </is>
      </c>
      <c r="B2731" s="1" t="n">
        <v>44990</v>
      </c>
      <c r="C2731" s="1" t="n">
        <v>45358</v>
      </c>
      <c r="D2731" t="inlineStr">
        <is>
          <t>HALLANDS LÄN</t>
        </is>
      </c>
      <c r="E2731" t="inlineStr">
        <is>
          <t>HYLTE</t>
        </is>
      </c>
      <c r="G2731" t="n">
        <v>0.8</v>
      </c>
      <c r="H2731" t="n">
        <v>0</v>
      </c>
      <c r="I2731" t="n">
        <v>0</v>
      </c>
      <c r="J2731" t="n">
        <v>0</v>
      </c>
      <c r="K2731" t="n">
        <v>0</v>
      </c>
      <c r="L2731" t="n">
        <v>0</v>
      </c>
      <c r="M2731" t="n">
        <v>0</v>
      </c>
      <c r="N2731" t="n">
        <v>0</v>
      </c>
      <c r="O2731" t="n">
        <v>0</v>
      </c>
      <c r="P2731" t="n">
        <v>0</v>
      </c>
      <c r="Q2731" t="n">
        <v>0</v>
      </c>
      <c r="R2731" s="2" t="inlineStr"/>
    </row>
    <row r="2732" ht="15" customHeight="1">
      <c r="A2732" t="inlineStr">
        <is>
          <t>A 10931-2023</t>
        </is>
      </c>
      <c r="B2732" s="1" t="n">
        <v>44991</v>
      </c>
      <c r="C2732" s="1" t="n">
        <v>45358</v>
      </c>
      <c r="D2732" t="inlineStr">
        <is>
          <t>HALLANDS LÄN</t>
        </is>
      </c>
      <c r="E2732" t="inlineStr">
        <is>
          <t>VARBERG</t>
        </is>
      </c>
      <c r="G2732" t="n">
        <v>1.7</v>
      </c>
      <c r="H2732" t="n">
        <v>0</v>
      </c>
      <c r="I2732" t="n">
        <v>0</v>
      </c>
      <c r="J2732" t="n">
        <v>0</v>
      </c>
      <c r="K2732" t="n">
        <v>0</v>
      </c>
      <c r="L2732" t="n">
        <v>0</v>
      </c>
      <c r="M2732" t="n">
        <v>0</v>
      </c>
      <c r="N2732" t="n">
        <v>0</v>
      </c>
      <c r="O2732" t="n">
        <v>0</v>
      </c>
      <c r="P2732" t="n">
        <v>0</v>
      </c>
      <c r="Q2732" t="n">
        <v>0</v>
      </c>
      <c r="R2732" s="2" t="inlineStr"/>
    </row>
    <row r="2733" ht="15" customHeight="1">
      <c r="A2733" t="inlineStr">
        <is>
          <t>A 11068-2023</t>
        </is>
      </c>
      <c r="B2733" s="1" t="n">
        <v>44992</v>
      </c>
      <c r="C2733" s="1" t="n">
        <v>45358</v>
      </c>
      <c r="D2733" t="inlineStr">
        <is>
          <t>HALLANDS LÄN</t>
        </is>
      </c>
      <c r="E2733" t="inlineStr">
        <is>
          <t>KUNGSBACKA</t>
        </is>
      </c>
      <c r="G2733" t="n">
        <v>6.3</v>
      </c>
      <c r="H2733" t="n">
        <v>0</v>
      </c>
      <c r="I2733" t="n">
        <v>0</v>
      </c>
      <c r="J2733" t="n">
        <v>0</v>
      </c>
      <c r="K2733" t="n">
        <v>0</v>
      </c>
      <c r="L2733" t="n">
        <v>0</v>
      </c>
      <c r="M2733" t="n">
        <v>0</v>
      </c>
      <c r="N2733" t="n">
        <v>0</v>
      </c>
      <c r="O2733" t="n">
        <v>0</v>
      </c>
      <c r="P2733" t="n">
        <v>0</v>
      </c>
      <c r="Q2733" t="n">
        <v>0</v>
      </c>
      <c r="R2733" s="2" t="inlineStr"/>
    </row>
    <row r="2734" ht="15" customHeight="1">
      <c r="A2734" t="inlineStr">
        <is>
          <t>A 11072-2023</t>
        </is>
      </c>
      <c r="B2734" s="1" t="n">
        <v>44992</v>
      </c>
      <c r="C2734" s="1" t="n">
        <v>45358</v>
      </c>
      <c r="D2734" t="inlineStr">
        <is>
          <t>HALLANDS LÄN</t>
        </is>
      </c>
      <c r="E2734" t="inlineStr">
        <is>
          <t>HALMSTAD</t>
        </is>
      </c>
      <c r="G2734" t="n">
        <v>0.7</v>
      </c>
      <c r="H2734" t="n">
        <v>0</v>
      </c>
      <c r="I2734" t="n">
        <v>0</v>
      </c>
      <c r="J2734" t="n">
        <v>0</v>
      </c>
      <c r="K2734" t="n">
        <v>0</v>
      </c>
      <c r="L2734" t="n">
        <v>0</v>
      </c>
      <c r="M2734" t="n">
        <v>0</v>
      </c>
      <c r="N2734" t="n">
        <v>0</v>
      </c>
      <c r="O2734" t="n">
        <v>0</v>
      </c>
      <c r="P2734" t="n">
        <v>0</v>
      </c>
      <c r="Q2734" t="n">
        <v>0</v>
      </c>
      <c r="R2734" s="2" t="inlineStr"/>
    </row>
    <row r="2735" ht="15" customHeight="1">
      <c r="A2735" t="inlineStr">
        <is>
          <t>A 11069-2023</t>
        </is>
      </c>
      <c r="B2735" s="1" t="n">
        <v>44992</v>
      </c>
      <c r="C2735" s="1" t="n">
        <v>45358</v>
      </c>
      <c r="D2735" t="inlineStr">
        <is>
          <t>HALLANDS LÄN</t>
        </is>
      </c>
      <c r="E2735" t="inlineStr">
        <is>
          <t>KUNGSBACKA</t>
        </is>
      </c>
      <c r="G2735" t="n">
        <v>0.9</v>
      </c>
      <c r="H2735" t="n">
        <v>0</v>
      </c>
      <c r="I2735" t="n">
        <v>0</v>
      </c>
      <c r="J2735" t="n">
        <v>0</v>
      </c>
      <c r="K2735" t="n">
        <v>0</v>
      </c>
      <c r="L2735" t="n">
        <v>0</v>
      </c>
      <c r="M2735" t="n">
        <v>0</v>
      </c>
      <c r="N2735" t="n">
        <v>0</v>
      </c>
      <c r="O2735" t="n">
        <v>0</v>
      </c>
      <c r="P2735" t="n">
        <v>0</v>
      </c>
      <c r="Q2735" t="n">
        <v>0</v>
      </c>
      <c r="R2735" s="2" t="inlineStr"/>
    </row>
    <row r="2736" ht="15" customHeight="1">
      <c r="A2736" t="inlineStr">
        <is>
          <t>A 11086-2023</t>
        </is>
      </c>
      <c r="B2736" s="1" t="n">
        <v>44992</v>
      </c>
      <c r="C2736" s="1" t="n">
        <v>45358</v>
      </c>
      <c r="D2736" t="inlineStr">
        <is>
          <t>HALLANDS LÄN</t>
        </is>
      </c>
      <c r="E2736" t="inlineStr">
        <is>
          <t>KUNGSBACKA</t>
        </is>
      </c>
      <c r="G2736" t="n">
        <v>3</v>
      </c>
      <c r="H2736" t="n">
        <v>0</v>
      </c>
      <c r="I2736" t="n">
        <v>0</v>
      </c>
      <c r="J2736" t="n">
        <v>0</v>
      </c>
      <c r="K2736" t="n">
        <v>0</v>
      </c>
      <c r="L2736" t="n">
        <v>0</v>
      </c>
      <c r="M2736" t="n">
        <v>0</v>
      </c>
      <c r="N2736" t="n">
        <v>0</v>
      </c>
      <c r="O2736" t="n">
        <v>0</v>
      </c>
      <c r="P2736" t="n">
        <v>0</v>
      </c>
      <c r="Q2736" t="n">
        <v>0</v>
      </c>
      <c r="R2736" s="2" t="inlineStr"/>
    </row>
    <row r="2737" ht="15" customHeight="1">
      <c r="A2737" t="inlineStr">
        <is>
          <t>A 11097-2023</t>
        </is>
      </c>
      <c r="B2737" s="1" t="n">
        <v>44992</v>
      </c>
      <c r="C2737" s="1" t="n">
        <v>45358</v>
      </c>
      <c r="D2737" t="inlineStr">
        <is>
          <t>HALLANDS LÄN</t>
        </is>
      </c>
      <c r="E2737" t="inlineStr">
        <is>
          <t>KUNGSBACKA</t>
        </is>
      </c>
      <c r="G2737" t="n">
        <v>2.2</v>
      </c>
      <c r="H2737" t="n">
        <v>0</v>
      </c>
      <c r="I2737" t="n">
        <v>0</v>
      </c>
      <c r="J2737" t="n">
        <v>0</v>
      </c>
      <c r="K2737" t="n">
        <v>0</v>
      </c>
      <c r="L2737" t="n">
        <v>0</v>
      </c>
      <c r="M2737" t="n">
        <v>0</v>
      </c>
      <c r="N2737" t="n">
        <v>0</v>
      </c>
      <c r="O2737" t="n">
        <v>0</v>
      </c>
      <c r="P2737" t="n">
        <v>0</v>
      </c>
      <c r="Q2737" t="n">
        <v>0</v>
      </c>
      <c r="R2737" s="2" t="inlineStr"/>
    </row>
    <row r="2738" ht="15" customHeight="1">
      <c r="A2738" t="inlineStr">
        <is>
          <t>A 11488-2023</t>
        </is>
      </c>
      <c r="B2738" s="1" t="n">
        <v>44993</v>
      </c>
      <c r="C2738" s="1" t="n">
        <v>45358</v>
      </c>
      <c r="D2738" t="inlineStr">
        <is>
          <t>HALLANDS LÄN</t>
        </is>
      </c>
      <c r="E2738" t="inlineStr">
        <is>
          <t>FALKENBERG</t>
        </is>
      </c>
      <c r="G2738" t="n">
        <v>1.6</v>
      </c>
      <c r="H2738" t="n">
        <v>0</v>
      </c>
      <c r="I2738" t="n">
        <v>0</v>
      </c>
      <c r="J2738" t="n">
        <v>0</v>
      </c>
      <c r="K2738" t="n">
        <v>0</v>
      </c>
      <c r="L2738" t="n">
        <v>0</v>
      </c>
      <c r="M2738" t="n">
        <v>0</v>
      </c>
      <c r="N2738" t="n">
        <v>0</v>
      </c>
      <c r="O2738" t="n">
        <v>0</v>
      </c>
      <c r="P2738" t="n">
        <v>0</v>
      </c>
      <c r="Q2738" t="n">
        <v>0</v>
      </c>
      <c r="R2738" s="2" t="inlineStr"/>
    </row>
    <row r="2739" ht="15" customHeight="1">
      <c r="A2739" t="inlineStr">
        <is>
          <t>A 11961-2023</t>
        </is>
      </c>
      <c r="B2739" s="1" t="n">
        <v>44994</v>
      </c>
      <c r="C2739" s="1" t="n">
        <v>45358</v>
      </c>
      <c r="D2739" t="inlineStr">
        <is>
          <t>HALLANDS LÄN</t>
        </is>
      </c>
      <c r="E2739" t="inlineStr">
        <is>
          <t>KUNGSBACKA</t>
        </is>
      </c>
      <c r="G2739" t="n">
        <v>1.7</v>
      </c>
      <c r="H2739" t="n">
        <v>0</v>
      </c>
      <c r="I2739" t="n">
        <v>0</v>
      </c>
      <c r="J2739" t="n">
        <v>0</v>
      </c>
      <c r="K2739" t="n">
        <v>0</v>
      </c>
      <c r="L2739" t="n">
        <v>0</v>
      </c>
      <c r="M2739" t="n">
        <v>0</v>
      </c>
      <c r="N2739" t="n">
        <v>0</v>
      </c>
      <c r="O2739" t="n">
        <v>0</v>
      </c>
      <c r="P2739" t="n">
        <v>0</v>
      </c>
      <c r="Q2739" t="n">
        <v>0</v>
      </c>
      <c r="R2739" s="2" t="inlineStr"/>
    </row>
    <row r="2740" ht="15" customHeight="1">
      <c r="A2740" t="inlineStr">
        <is>
          <t>A 11958-2023</t>
        </is>
      </c>
      <c r="B2740" s="1" t="n">
        <v>44994</v>
      </c>
      <c r="C2740" s="1" t="n">
        <v>45358</v>
      </c>
      <c r="D2740" t="inlineStr">
        <is>
          <t>HALLANDS LÄN</t>
        </is>
      </c>
      <c r="E2740" t="inlineStr">
        <is>
          <t>KUNGSBACKA</t>
        </is>
      </c>
      <c r="G2740" t="n">
        <v>3.2</v>
      </c>
      <c r="H2740" t="n">
        <v>0</v>
      </c>
      <c r="I2740" t="n">
        <v>0</v>
      </c>
      <c r="J2740" t="n">
        <v>0</v>
      </c>
      <c r="K2740" t="n">
        <v>0</v>
      </c>
      <c r="L2740" t="n">
        <v>0</v>
      </c>
      <c r="M2740" t="n">
        <v>0</v>
      </c>
      <c r="N2740" t="n">
        <v>0</v>
      </c>
      <c r="O2740" t="n">
        <v>0</v>
      </c>
      <c r="P2740" t="n">
        <v>0</v>
      </c>
      <c r="Q2740" t="n">
        <v>0</v>
      </c>
      <c r="R2740" s="2" t="inlineStr"/>
    </row>
    <row r="2741" ht="15" customHeight="1">
      <c r="A2741" t="inlineStr">
        <is>
          <t>A 11862-2023</t>
        </is>
      </c>
      <c r="B2741" s="1" t="n">
        <v>44995</v>
      </c>
      <c r="C2741" s="1" t="n">
        <v>45358</v>
      </c>
      <c r="D2741" t="inlineStr">
        <is>
          <t>HALLANDS LÄN</t>
        </is>
      </c>
      <c r="E2741" t="inlineStr">
        <is>
          <t>HYLTE</t>
        </is>
      </c>
      <c r="G2741" t="n">
        <v>1.9</v>
      </c>
      <c r="H2741" t="n">
        <v>0</v>
      </c>
      <c r="I2741" t="n">
        <v>0</v>
      </c>
      <c r="J2741" t="n">
        <v>0</v>
      </c>
      <c r="K2741" t="n">
        <v>0</v>
      </c>
      <c r="L2741" t="n">
        <v>0</v>
      </c>
      <c r="M2741" t="n">
        <v>0</v>
      </c>
      <c r="N2741" t="n">
        <v>0</v>
      </c>
      <c r="O2741" t="n">
        <v>0</v>
      </c>
      <c r="P2741" t="n">
        <v>0</v>
      </c>
      <c r="Q2741" t="n">
        <v>0</v>
      </c>
      <c r="R2741" s="2" t="inlineStr"/>
    </row>
    <row r="2742" ht="15" customHeight="1">
      <c r="A2742" t="inlineStr">
        <is>
          <t>A 11865-2023</t>
        </is>
      </c>
      <c r="B2742" s="1" t="n">
        <v>44995</v>
      </c>
      <c r="C2742" s="1" t="n">
        <v>45358</v>
      </c>
      <c r="D2742" t="inlineStr">
        <is>
          <t>HALLANDS LÄN</t>
        </is>
      </c>
      <c r="E2742" t="inlineStr">
        <is>
          <t>HYLTE</t>
        </is>
      </c>
      <c r="G2742" t="n">
        <v>1.1</v>
      </c>
      <c r="H2742" t="n">
        <v>0</v>
      </c>
      <c r="I2742" t="n">
        <v>0</v>
      </c>
      <c r="J2742" t="n">
        <v>0</v>
      </c>
      <c r="K2742" t="n">
        <v>0</v>
      </c>
      <c r="L2742" t="n">
        <v>0</v>
      </c>
      <c r="M2742" t="n">
        <v>0</v>
      </c>
      <c r="N2742" t="n">
        <v>0</v>
      </c>
      <c r="O2742" t="n">
        <v>0</v>
      </c>
      <c r="P2742" t="n">
        <v>0</v>
      </c>
      <c r="Q2742" t="n">
        <v>0</v>
      </c>
      <c r="R2742" s="2" t="inlineStr"/>
    </row>
    <row r="2743" ht="15" customHeight="1">
      <c r="A2743" t="inlineStr">
        <is>
          <t>A 11959-2023</t>
        </is>
      </c>
      <c r="B2743" s="1" t="n">
        <v>44995</v>
      </c>
      <c r="C2743" s="1" t="n">
        <v>45358</v>
      </c>
      <c r="D2743" t="inlineStr">
        <is>
          <t>HALLANDS LÄN</t>
        </is>
      </c>
      <c r="E2743" t="inlineStr">
        <is>
          <t>FALKENBERG</t>
        </is>
      </c>
      <c r="G2743" t="n">
        <v>1.2</v>
      </c>
      <c r="H2743" t="n">
        <v>0</v>
      </c>
      <c r="I2743" t="n">
        <v>0</v>
      </c>
      <c r="J2743" t="n">
        <v>0</v>
      </c>
      <c r="K2743" t="n">
        <v>0</v>
      </c>
      <c r="L2743" t="n">
        <v>0</v>
      </c>
      <c r="M2743" t="n">
        <v>0</v>
      </c>
      <c r="N2743" t="n">
        <v>0</v>
      </c>
      <c r="O2743" t="n">
        <v>0</v>
      </c>
      <c r="P2743" t="n">
        <v>0</v>
      </c>
      <c r="Q2743" t="n">
        <v>0</v>
      </c>
      <c r="R2743" s="2" t="inlineStr"/>
    </row>
    <row r="2744" ht="15" customHeight="1">
      <c r="A2744" t="inlineStr">
        <is>
          <t>A 12064-2023</t>
        </is>
      </c>
      <c r="B2744" s="1" t="n">
        <v>44997</v>
      </c>
      <c r="C2744" s="1" t="n">
        <v>45358</v>
      </c>
      <c r="D2744" t="inlineStr">
        <is>
          <t>HALLANDS LÄN</t>
        </is>
      </c>
      <c r="E2744" t="inlineStr">
        <is>
          <t>KUNGSBACKA</t>
        </is>
      </c>
      <c r="G2744" t="n">
        <v>10.5</v>
      </c>
      <c r="H2744" t="n">
        <v>0</v>
      </c>
      <c r="I2744" t="n">
        <v>0</v>
      </c>
      <c r="J2744" t="n">
        <v>0</v>
      </c>
      <c r="K2744" t="n">
        <v>0</v>
      </c>
      <c r="L2744" t="n">
        <v>0</v>
      </c>
      <c r="M2744" t="n">
        <v>0</v>
      </c>
      <c r="N2744" t="n">
        <v>0</v>
      </c>
      <c r="O2744" t="n">
        <v>0</v>
      </c>
      <c r="P2744" t="n">
        <v>0</v>
      </c>
      <c r="Q2744" t="n">
        <v>0</v>
      </c>
      <c r="R2744" s="2" t="inlineStr"/>
    </row>
    <row r="2745" ht="15" customHeight="1">
      <c r="A2745" t="inlineStr">
        <is>
          <t>A 12089-2023</t>
        </is>
      </c>
      <c r="B2745" s="1" t="n">
        <v>44998</v>
      </c>
      <c r="C2745" s="1" t="n">
        <v>45358</v>
      </c>
      <c r="D2745" t="inlineStr">
        <is>
          <t>HALLANDS LÄN</t>
        </is>
      </c>
      <c r="E2745" t="inlineStr">
        <is>
          <t>LAHOLM</t>
        </is>
      </c>
      <c r="G2745" t="n">
        <v>0.9</v>
      </c>
      <c r="H2745" t="n">
        <v>0</v>
      </c>
      <c r="I2745" t="n">
        <v>0</v>
      </c>
      <c r="J2745" t="n">
        <v>0</v>
      </c>
      <c r="K2745" t="n">
        <v>0</v>
      </c>
      <c r="L2745" t="n">
        <v>0</v>
      </c>
      <c r="M2745" t="n">
        <v>0</v>
      </c>
      <c r="N2745" t="n">
        <v>0</v>
      </c>
      <c r="O2745" t="n">
        <v>0</v>
      </c>
      <c r="P2745" t="n">
        <v>0</v>
      </c>
      <c r="Q2745" t="n">
        <v>0</v>
      </c>
      <c r="R2745" s="2" t="inlineStr"/>
    </row>
    <row r="2746" ht="15" customHeight="1">
      <c r="A2746" t="inlineStr">
        <is>
          <t>A 12244-2023</t>
        </is>
      </c>
      <c r="B2746" s="1" t="n">
        <v>44998</v>
      </c>
      <c r="C2746" s="1" t="n">
        <v>45358</v>
      </c>
      <c r="D2746" t="inlineStr">
        <is>
          <t>HALLANDS LÄN</t>
        </is>
      </c>
      <c r="E2746" t="inlineStr">
        <is>
          <t>HALMSTAD</t>
        </is>
      </c>
      <c r="G2746" t="n">
        <v>3.9</v>
      </c>
      <c r="H2746" t="n">
        <v>0</v>
      </c>
      <c r="I2746" t="n">
        <v>0</v>
      </c>
      <c r="J2746" t="n">
        <v>0</v>
      </c>
      <c r="K2746" t="n">
        <v>0</v>
      </c>
      <c r="L2746" t="n">
        <v>0</v>
      </c>
      <c r="M2746" t="n">
        <v>0</v>
      </c>
      <c r="N2746" t="n">
        <v>0</v>
      </c>
      <c r="O2746" t="n">
        <v>0</v>
      </c>
      <c r="P2746" t="n">
        <v>0</v>
      </c>
      <c r="Q2746" t="n">
        <v>0</v>
      </c>
      <c r="R2746" s="2" t="inlineStr"/>
    </row>
    <row r="2747" ht="15" customHeight="1">
      <c r="A2747" t="inlineStr">
        <is>
          <t>A 12315-2023</t>
        </is>
      </c>
      <c r="B2747" s="1" t="n">
        <v>44999</v>
      </c>
      <c r="C2747" s="1" t="n">
        <v>45358</v>
      </c>
      <c r="D2747" t="inlineStr">
        <is>
          <t>HALLANDS LÄN</t>
        </is>
      </c>
      <c r="E2747" t="inlineStr">
        <is>
          <t>HYLTE</t>
        </is>
      </c>
      <c r="G2747" t="n">
        <v>0.5</v>
      </c>
      <c r="H2747" t="n">
        <v>0</v>
      </c>
      <c r="I2747" t="n">
        <v>0</v>
      </c>
      <c r="J2747" t="n">
        <v>0</v>
      </c>
      <c r="K2747" t="n">
        <v>0</v>
      </c>
      <c r="L2747" t="n">
        <v>0</v>
      </c>
      <c r="M2747" t="n">
        <v>0</v>
      </c>
      <c r="N2747" t="n">
        <v>0</v>
      </c>
      <c r="O2747" t="n">
        <v>0</v>
      </c>
      <c r="P2747" t="n">
        <v>0</v>
      </c>
      <c r="Q2747" t="n">
        <v>0</v>
      </c>
      <c r="R2747" s="2" t="inlineStr"/>
    </row>
    <row r="2748" ht="15" customHeight="1">
      <c r="A2748" t="inlineStr">
        <is>
          <t>A 12400-2023</t>
        </is>
      </c>
      <c r="B2748" s="1" t="n">
        <v>44999</v>
      </c>
      <c r="C2748" s="1" t="n">
        <v>45358</v>
      </c>
      <c r="D2748" t="inlineStr">
        <is>
          <t>HALLANDS LÄN</t>
        </is>
      </c>
      <c r="E2748" t="inlineStr">
        <is>
          <t>KUNGSBACKA</t>
        </is>
      </c>
      <c r="G2748" t="n">
        <v>0.9</v>
      </c>
      <c r="H2748" t="n">
        <v>0</v>
      </c>
      <c r="I2748" t="n">
        <v>0</v>
      </c>
      <c r="J2748" t="n">
        <v>0</v>
      </c>
      <c r="K2748" t="n">
        <v>0</v>
      </c>
      <c r="L2748" t="n">
        <v>0</v>
      </c>
      <c r="M2748" t="n">
        <v>0</v>
      </c>
      <c r="N2748" t="n">
        <v>0</v>
      </c>
      <c r="O2748" t="n">
        <v>0</v>
      </c>
      <c r="P2748" t="n">
        <v>0</v>
      </c>
      <c r="Q2748" t="n">
        <v>0</v>
      </c>
      <c r="R2748" s="2" t="inlineStr"/>
    </row>
    <row r="2749" ht="15" customHeight="1">
      <c r="A2749" t="inlineStr">
        <is>
          <t>A 12320-2023</t>
        </is>
      </c>
      <c r="B2749" s="1" t="n">
        <v>44999</v>
      </c>
      <c r="C2749" s="1" t="n">
        <v>45358</v>
      </c>
      <c r="D2749" t="inlineStr">
        <is>
          <t>HALLANDS LÄN</t>
        </is>
      </c>
      <c r="E2749" t="inlineStr">
        <is>
          <t>KUNGSBACKA</t>
        </is>
      </c>
      <c r="G2749" t="n">
        <v>1.8</v>
      </c>
      <c r="H2749" t="n">
        <v>0</v>
      </c>
      <c r="I2749" t="n">
        <v>0</v>
      </c>
      <c r="J2749" t="n">
        <v>0</v>
      </c>
      <c r="K2749" t="n">
        <v>0</v>
      </c>
      <c r="L2749" t="n">
        <v>0</v>
      </c>
      <c r="M2749" t="n">
        <v>0</v>
      </c>
      <c r="N2749" t="n">
        <v>0</v>
      </c>
      <c r="O2749" t="n">
        <v>0</v>
      </c>
      <c r="P2749" t="n">
        <v>0</v>
      </c>
      <c r="Q2749" t="n">
        <v>0</v>
      </c>
      <c r="R2749" s="2" t="inlineStr"/>
    </row>
    <row r="2750" ht="15" customHeight="1">
      <c r="A2750" t="inlineStr">
        <is>
          <t>A 12404-2023</t>
        </is>
      </c>
      <c r="B2750" s="1" t="n">
        <v>44999</v>
      </c>
      <c r="C2750" s="1" t="n">
        <v>45358</v>
      </c>
      <c r="D2750" t="inlineStr">
        <is>
          <t>HALLANDS LÄN</t>
        </is>
      </c>
      <c r="E2750" t="inlineStr">
        <is>
          <t>KUNGSBACKA</t>
        </is>
      </c>
      <c r="G2750" t="n">
        <v>0.5</v>
      </c>
      <c r="H2750" t="n">
        <v>0</v>
      </c>
      <c r="I2750" t="n">
        <v>0</v>
      </c>
      <c r="J2750" t="n">
        <v>0</v>
      </c>
      <c r="K2750" t="n">
        <v>0</v>
      </c>
      <c r="L2750" t="n">
        <v>0</v>
      </c>
      <c r="M2750" t="n">
        <v>0</v>
      </c>
      <c r="N2750" t="n">
        <v>0</v>
      </c>
      <c r="O2750" t="n">
        <v>0</v>
      </c>
      <c r="P2750" t="n">
        <v>0</v>
      </c>
      <c r="Q2750" t="n">
        <v>0</v>
      </c>
      <c r="R2750" s="2" t="inlineStr"/>
    </row>
    <row r="2751" ht="15" customHeight="1">
      <c r="A2751" t="inlineStr">
        <is>
          <t>A 12470-2023</t>
        </is>
      </c>
      <c r="B2751" s="1" t="n">
        <v>44999</v>
      </c>
      <c r="C2751" s="1" t="n">
        <v>45358</v>
      </c>
      <c r="D2751" t="inlineStr">
        <is>
          <t>HALLANDS LÄN</t>
        </is>
      </c>
      <c r="E2751" t="inlineStr">
        <is>
          <t>FALKENBERG</t>
        </is>
      </c>
      <c r="G2751" t="n">
        <v>0.7</v>
      </c>
      <c r="H2751" t="n">
        <v>0</v>
      </c>
      <c r="I2751" t="n">
        <v>0</v>
      </c>
      <c r="J2751" t="n">
        <v>0</v>
      </c>
      <c r="K2751" t="n">
        <v>0</v>
      </c>
      <c r="L2751" t="n">
        <v>0</v>
      </c>
      <c r="M2751" t="n">
        <v>0</v>
      </c>
      <c r="N2751" t="n">
        <v>0</v>
      </c>
      <c r="O2751" t="n">
        <v>0</v>
      </c>
      <c r="P2751" t="n">
        <v>0</v>
      </c>
      <c r="Q2751" t="n">
        <v>0</v>
      </c>
      <c r="R2751" s="2" t="inlineStr"/>
    </row>
    <row r="2752" ht="15" customHeight="1">
      <c r="A2752" t="inlineStr">
        <is>
          <t>A 12690-2023</t>
        </is>
      </c>
      <c r="B2752" s="1" t="n">
        <v>44999</v>
      </c>
      <c r="C2752" s="1" t="n">
        <v>45358</v>
      </c>
      <c r="D2752" t="inlineStr">
        <is>
          <t>HALLANDS LÄN</t>
        </is>
      </c>
      <c r="E2752" t="inlineStr">
        <is>
          <t>HYLTE</t>
        </is>
      </c>
      <c r="G2752" t="n">
        <v>2.6</v>
      </c>
      <c r="H2752" t="n">
        <v>0</v>
      </c>
      <c r="I2752" t="n">
        <v>0</v>
      </c>
      <c r="J2752" t="n">
        <v>0</v>
      </c>
      <c r="K2752" t="n">
        <v>0</v>
      </c>
      <c r="L2752" t="n">
        <v>0</v>
      </c>
      <c r="M2752" t="n">
        <v>0</v>
      </c>
      <c r="N2752" t="n">
        <v>0</v>
      </c>
      <c r="O2752" t="n">
        <v>0</v>
      </c>
      <c r="P2752" t="n">
        <v>0</v>
      </c>
      <c r="Q2752" t="n">
        <v>0</v>
      </c>
      <c r="R2752" s="2" t="inlineStr"/>
    </row>
    <row r="2753" ht="15" customHeight="1">
      <c r="A2753" t="inlineStr">
        <is>
          <t>A 12642-2023</t>
        </is>
      </c>
      <c r="B2753" s="1" t="n">
        <v>45000</v>
      </c>
      <c r="C2753" s="1" t="n">
        <v>45358</v>
      </c>
      <c r="D2753" t="inlineStr">
        <is>
          <t>HALLANDS LÄN</t>
        </is>
      </c>
      <c r="E2753" t="inlineStr">
        <is>
          <t>HALMSTAD</t>
        </is>
      </c>
      <c r="G2753" t="n">
        <v>1.4</v>
      </c>
      <c r="H2753" t="n">
        <v>0</v>
      </c>
      <c r="I2753" t="n">
        <v>0</v>
      </c>
      <c r="J2753" t="n">
        <v>0</v>
      </c>
      <c r="K2753" t="n">
        <v>0</v>
      </c>
      <c r="L2753" t="n">
        <v>0</v>
      </c>
      <c r="M2753" t="n">
        <v>0</v>
      </c>
      <c r="N2753" t="n">
        <v>0</v>
      </c>
      <c r="O2753" t="n">
        <v>0</v>
      </c>
      <c r="P2753" t="n">
        <v>0</v>
      </c>
      <c r="Q2753" t="n">
        <v>0</v>
      </c>
      <c r="R2753" s="2" t="inlineStr"/>
    </row>
    <row r="2754" ht="15" customHeight="1">
      <c r="A2754" t="inlineStr">
        <is>
          <t>A 12717-2023</t>
        </is>
      </c>
      <c r="B2754" s="1" t="n">
        <v>45000</v>
      </c>
      <c r="C2754" s="1" t="n">
        <v>45358</v>
      </c>
      <c r="D2754" t="inlineStr">
        <is>
          <t>HALLANDS LÄN</t>
        </is>
      </c>
      <c r="E2754" t="inlineStr">
        <is>
          <t>HALMSTAD</t>
        </is>
      </c>
      <c r="G2754" t="n">
        <v>1.9</v>
      </c>
      <c r="H2754" t="n">
        <v>0</v>
      </c>
      <c r="I2754" t="n">
        <v>0</v>
      </c>
      <c r="J2754" t="n">
        <v>0</v>
      </c>
      <c r="K2754" t="n">
        <v>0</v>
      </c>
      <c r="L2754" t="n">
        <v>0</v>
      </c>
      <c r="M2754" t="n">
        <v>0</v>
      </c>
      <c r="N2754" t="n">
        <v>0</v>
      </c>
      <c r="O2754" t="n">
        <v>0</v>
      </c>
      <c r="P2754" t="n">
        <v>0</v>
      </c>
      <c r="Q2754" t="n">
        <v>0</v>
      </c>
      <c r="R2754" s="2" t="inlineStr"/>
    </row>
    <row r="2755" ht="15" customHeight="1">
      <c r="A2755" t="inlineStr">
        <is>
          <t>A 12661-2023</t>
        </is>
      </c>
      <c r="B2755" s="1" t="n">
        <v>45000</v>
      </c>
      <c r="C2755" s="1" t="n">
        <v>45358</v>
      </c>
      <c r="D2755" t="inlineStr">
        <is>
          <t>HALLANDS LÄN</t>
        </is>
      </c>
      <c r="E2755" t="inlineStr">
        <is>
          <t>LAHOLM</t>
        </is>
      </c>
      <c r="G2755" t="n">
        <v>1.3</v>
      </c>
      <c r="H2755" t="n">
        <v>0</v>
      </c>
      <c r="I2755" t="n">
        <v>0</v>
      </c>
      <c r="J2755" t="n">
        <v>0</v>
      </c>
      <c r="K2755" t="n">
        <v>0</v>
      </c>
      <c r="L2755" t="n">
        <v>0</v>
      </c>
      <c r="M2755" t="n">
        <v>0</v>
      </c>
      <c r="N2755" t="n">
        <v>0</v>
      </c>
      <c r="O2755" t="n">
        <v>0</v>
      </c>
      <c r="P2755" t="n">
        <v>0</v>
      </c>
      <c r="Q2755" t="n">
        <v>0</v>
      </c>
      <c r="R2755" s="2" t="inlineStr"/>
    </row>
    <row r="2756" ht="15" customHeight="1">
      <c r="A2756" t="inlineStr">
        <is>
          <t>A 12632-2023</t>
        </is>
      </c>
      <c r="B2756" s="1" t="n">
        <v>45000</v>
      </c>
      <c r="C2756" s="1" t="n">
        <v>45358</v>
      </c>
      <c r="D2756" t="inlineStr">
        <is>
          <t>HALLANDS LÄN</t>
        </is>
      </c>
      <c r="E2756" t="inlineStr">
        <is>
          <t>HALMSTAD</t>
        </is>
      </c>
      <c r="G2756" t="n">
        <v>3.4</v>
      </c>
      <c r="H2756" t="n">
        <v>0</v>
      </c>
      <c r="I2756" t="n">
        <v>0</v>
      </c>
      <c r="J2756" t="n">
        <v>0</v>
      </c>
      <c r="K2756" t="n">
        <v>0</v>
      </c>
      <c r="L2756" t="n">
        <v>0</v>
      </c>
      <c r="M2756" t="n">
        <v>0</v>
      </c>
      <c r="N2756" t="n">
        <v>0</v>
      </c>
      <c r="O2756" t="n">
        <v>0</v>
      </c>
      <c r="P2756" t="n">
        <v>0</v>
      </c>
      <c r="Q2756" t="n">
        <v>0</v>
      </c>
      <c r="R2756" s="2" t="inlineStr"/>
    </row>
    <row r="2757" ht="15" customHeight="1">
      <c r="A2757" t="inlineStr">
        <is>
          <t>A 12659-2023</t>
        </is>
      </c>
      <c r="B2757" s="1" t="n">
        <v>45000</v>
      </c>
      <c r="C2757" s="1" t="n">
        <v>45358</v>
      </c>
      <c r="D2757" t="inlineStr">
        <is>
          <t>HALLANDS LÄN</t>
        </is>
      </c>
      <c r="E2757" t="inlineStr">
        <is>
          <t>LAHOLM</t>
        </is>
      </c>
      <c r="G2757" t="n">
        <v>2.7</v>
      </c>
      <c r="H2757" t="n">
        <v>0</v>
      </c>
      <c r="I2757" t="n">
        <v>0</v>
      </c>
      <c r="J2757" t="n">
        <v>0</v>
      </c>
      <c r="K2757" t="n">
        <v>0</v>
      </c>
      <c r="L2757" t="n">
        <v>0</v>
      </c>
      <c r="M2757" t="n">
        <v>0</v>
      </c>
      <c r="N2757" t="n">
        <v>0</v>
      </c>
      <c r="O2757" t="n">
        <v>0</v>
      </c>
      <c r="P2757" t="n">
        <v>0</v>
      </c>
      <c r="Q2757" t="n">
        <v>0</v>
      </c>
      <c r="R2757" s="2" t="inlineStr"/>
    </row>
    <row r="2758" ht="15" customHeight="1">
      <c r="A2758" t="inlineStr">
        <is>
          <t>A 12762-2023</t>
        </is>
      </c>
      <c r="B2758" s="1" t="n">
        <v>45001</v>
      </c>
      <c r="C2758" s="1" t="n">
        <v>45358</v>
      </c>
      <c r="D2758" t="inlineStr">
        <is>
          <t>HALLANDS LÄN</t>
        </is>
      </c>
      <c r="E2758" t="inlineStr">
        <is>
          <t>HALMSTAD</t>
        </is>
      </c>
      <c r="G2758" t="n">
        <v>1.2</v>
      </c>
      <c r="H2758" t="n">
        <v>0</v>
      </c>
      <c r="I2758" t="n">
        <v>0</v>
      </c>
      <c r="J2758" t="n">
        <v>0</v>
      </c>
      <c r="K2758" t="n">
        <v>0</v>
      </c>
      <c r="L2758" t="n">
        <v>0</v>
      </c>
      <c r="M2758" t="n">
        <v>0</v>
      </c>
      <c r="N2758" t="n">
        <v>0</v>
      </c>
      <c r="O2758" t="n">
        <v>0</v>
      </c>
      <c r="P2758" t="n">
        <v>0</v>
      </c>
      <c r="Q2758" t="n">
        <v>0</v>
      </c>
      <c r="R2758" s="2" t="inlineStr"/>
    </row>
    <row r="2759" ht="15" customHeight="1">
      <c r="A2759" t="inlineStr">
        <is>
          <t>A 12928-2023</t>
        </is>
      </c>
      <c r="B2759" s="1" t="n">
        <v>45001</v>
      </c>
      <c r="C2759" s="1" t="n">
        <v>45358</v>
      </c>
      <c r="D2759" t="inlineStr">
        <is>
          <t>HALLANDS LÄN</t>
        </is>
      </c>
      <c r="E2759" t="inlineStr">
        <is>
          <t>FALKENBERG</t>
        </is>
      </c>
      <c r="G2759" t="n">
        <v>3.8</v>
      </c>
      <c r="H2759" t="n">
        <v>0</v>
      </c>
      <c r="I2759" t="n">
        <v>0</v>
      </c>
      <c r="J2759" t="n">
        <v>0</v>
      </c>
      <c r="K2759" t="n">
        <v>0</v>
      </c>
      <c r="L2759" t="n">
        <v>0</v>
      </c>
      <c r="M2759" t="n">
        <v>0</v>
      </c>
      <c r="N2759" t="n">
        <v>0</v>
      </c>
      <c r="O2759" t="n">
        <v>0</v>
      </c>
      <c r="P2759" t="n">
        <v>0</v>
      </c>
      <c r="Q2759" t="n">
        <v>0</v>
      </c>
      <c r="R2759" s="2" t="inlineStr"/>
    </row>
    <row r="2760" ht="15" customHeight="1">
      <c r="A2760" t="inlineStr">
        <is>
          <t>A 12931-2023</t>
        </is>
      </c>
      <c r="B2760" s="1" t="n">
        <v>45001</v>
      </c>
      <c r="C2760" s="1" t="n">
        <v>45358</v>
      </c>
      <c r="D2760" t="inlineStr">
        <is>
          <t>HALLANDS LÄN</t>
        </is>
      </c>
      <c r="E2760" t="inlineStr">
        <is>
          <t>FALKENBERG</t>
        </is>
      </c>
      <c r="G2760" t="n">
        <v>1.7</v>
      </c>
      <c r="H2760" t="n">
        <v>0</v>
      </c>
      <c r="I2760" t="n">
        <v>0</v>
      </c>
      <c r="J2760" t="n">
        <v>0</v>
      </c>
      <c r="K2760" t="n">
        <v>0</v>
      </c>
      <c r="L2760" t="n">
        <v>0</v>
      </c>
      <c r="M2760" t="n">
        <v>0</v>
      </c>
      <c r="N2760" t="n">
        <v>0</v>
      </c>
      <c r="O2760" t="n">
        <v>0</v>
      </c>
      <c r="P2760" t="n">
        <v>0</v>
      </c>
      <c r="Q2760" t="n">
        <v>0</v>
      </c>
      <c r="R2760" s="2" t="inlineStr"/>
    </row>
    <row r="2761" ht="15" customHeight="1">
      <c r="A2761" t="inlineStr">
        <is>
          <t>A 12939-2023</t>
        </is>
      </c>
      <c r="B2761" s="1" t="n">
        <v>45001</v>
      </c>
      <c r="C2761" s="1" t="n">
        <v>45358</v>
      </c>
      <c r="D2761" t="inlineStr">
        <is>
          <t>HALLANDS LÄN</t>
        </is>
      </c>
      <c r="E2761" t="inlineStr">
        <is>
          <t>FALKENBERG</t>
        </is>
      </c>
      <c r="G2761" t="n">
        <v>3</v>
      </c>
      <c r="H2761" t="n">
        <v>0</v>
      </c>
      <c r="I2761" t="n">
        <v>0</v>
      </c>
      <c r="J2761" t="n">
        <v>0</v>
      </c>
      <c r="K2761" t="n">
        <v>0</v>
      </c>
      <c r="L2761" t="n">
        <v>0</v>
      </c>
      <c r="M2761" t="n">
        <v>0</v>
      </c>
      <c r="N2761" t="n">
        <v>0</v>
      </c>
      <c r="O2761" t="n">
        <v>0</v>
      </c>
      <c r="P2761" t="n">
        <v>0</v>
      </c>
      <c r="Q2761" t="n">
        <v>0</v>
      </c>
      <c r="R2761" s="2" t="inlineStr"/>
    </row>
    <row r="2762" ht="15" customHeight="1">
      <c r="A2762" t="inlineStr">
        <is>
          <t>A 12924-2023</t>
        </is>
      </c>
      <c r="B2762" s="1" t="n">
        <v>45001</v>
      </c>
      <c r="C2762" s="1" t="n">
        <v>45358</v>
      </c>
      <c r="D2762" t="inlineStr">
        <is>
          <t>HALLANDS LÄN</t>
        </is>
      </c>
      <c r="E2762" t="inlineStr">
        <is>
          <t>FALKENBERG</t>
        </is>
      </c>
      <c r="G2762" t="n">
        <v>5.3</v>
      </c>
      <c r="H2762" t="n">
        <v>0</v>
      </c>
      <c r="I2762" t="n">
        <v>0</v>
      </c>
      <c r="J2762" t="n">
        <v>0</v>
      </c>
      <c r="K2762" t="n">
        <v>0</v>
      </c>
      <c r="L2762" t="n">
        <v>0</v>
      </c>
      <c r="M2762" t="n">
        <v>0</v>
      </c>
      <c r="N2762" t="n">
        <v>0</v>
      </c>
      <c r="O2762" t="n">
        <v>0</v>
      </c>
      <c r="P2762" t="n">
        <v>0</v>
      </c>
      <c r="Q2762" t="n">
        <v>0</v>
      </c>
      <c r="R2762" s="2" t="inlineStr"/>
    </row>
    <row r="2763" ht="15" customHeight="1">
      <c r="A2763" t="inlineStr">
        <is>
          <t>A 13052-2023</t>
        </is>
      </c>
      <c r="B2763" s="1" t="n">
        <v>45002</v>
      </c>
      <c r="C2763" s="1" t="n">
        <v>45358</v>
      </c>
      <c r="D2763" t="inlineStr">
        <is>
          <t>HALLANDS LÄN</t>
        </is>
      </c>
      <c r="E2763" t="inlineStr">
        <is>
          <t>LAHOLM</t>
        </is>
      </c>
      <c r="G2763" t="n">
        <v>1.7</v>
      </c>
      <c r="H2763" t="n">
        <v>0</v>
      </c>
      <c r="I2763" t="n">
        <v>0</v>
      </c>
      <c r="J2763" t="n">
        <v>0</v>
      </c>
      <c r="K2763" t="n">
        <v>0</v>
      </c>
      <c r="L2763" t="n">
        <v>0</v>
      </c>
      <c r="M2763" t="n">
        <v>0</v>
      </c>
      <c r="N2763" t="n">
        <v>0</v>
      </c>
      <c r="O2763" t="n">
        <v>0</v>
      </c>
      <c r="P2763" t="n">
        <v>0</v>
      </c>
      <c r="Q2763" t="n">
        <v>0</v>
      </c>
      <c r="R2763" s="2" t="inlineStr"/>
    </row>
    <row r="2764" ht="15" customHeight="1">
      <c r="A2764" t="inlineStr">
        <is>
          <t>A 13092-2023</t>
        </is>
      </c>
      <c r="B2764" s="1" t="n">
        <v>45002</v>
      </c>
      <c r="C2764" s="1" t="n">
        <v>45358</v>
      </c>
      <c r="D2764" t="inlineStr">
        <is>
          <t>HALLANDS LÄN</t>
        </is>
      </c>
      <c r="E2764" t="inlineStr">
        <is>
          <t>LAHOLM</t>
        </is>
      </c>
      <c r="F2764" t="inlineStr">
        <is>
          <t>Sveaskog</t>
        </is>
      </c>
      <c r="G2764" t="n">
        <v>4.7</v>
      </c>
      <c r="H2764" t="n">
        <v>0</v>
      </c>
      <c r="I2764" t="n">
        <v>0</v>
      </c>
      <c r="J2764" t="n">
        <v>0</v>
      </c>
      <c r="K2764" t="n">
        <v>0</v>
      </c>
      <c r="L2764" t="n">
        <v>0</v>
      </c>
      <c r="M2764" t="n">
        <v>0</v>
      </c>
      <c r="N2764" t="n">
        <v>0</v>
      </c>
      <c r="O2764" t="n">
        <v>0</v>
      </c>
      <c r="P2764" t="n">
        <v>0</v>
      </c>
      <c r="Q2764" t="n">
        <v>0</v>
      </c>
      <c r="R2764" s="2" t="inlineStr"/>
    </row>
    <row r="2765" ht="15" customHeight="1">
      <c r="A2765" t="inlineStr">
        <is>
          <t>A 13096-2023</t>
        </is>
      </c>
      <c r="B2765" s="1" t="n">
        <v>45002</v>
      </c>
      <c r="C2765" s="1" t="n">
        <v>45358</v>
      </c>
      <c r="D2765" t="inlineStr">
        <is>
          <t>HALLANDS LÄN</t>
        </is>
      </c>
      <c r="E2765" t="inlineStr">
        <is>
          <t>HYLTE</t>
        </is>
      </c>
      <c r="G2765" t="n">
        <v>2.1</v>
      </c>
      <c r="H2765" t="n">
        <v>0</v>
      </c>
      <c r="I2765" t="n">
        <v>0</v>
      </c>
      <c r="J2765" t="n">
        <v>0</v>
      </c>
      <c r="K2765" t="n">
        <v>0</v>
      </c>
      <c r="L2765" t="n">
        <v>0</v>
      </c>
      <c r="M2765" t="n">
        <v>0</v>
      </c>
      <c r="N2765" t="n">
        <v>0</v>
      </c>
      <c r="O2765" t="n">
        <v>0</v>
      </c>
      <c r="P2765" t="n">
        <v>0</v>
      </c>
      <c r="Q2765" t="n">
        <v>0</v>
      </c>
      <c r="R2765" s="2" t="inlineStr"/>
    </row>
    <row r="2766" ht="15" customHeight="1">
      <c r="A2766" t="inlineStr">
        <is>
          <t>A 13205-2023</t>
        </is>
      </c>
      <c r="B2766" s="1" t="n">
        <v>45002</v>
      </c>
      <c r="C2766" s="1" t="n">
        <v>45358</v>
      </c>
      <c r="D2766" t="inlineStr">
        <is>
          <t>HALLANDS LÄN</t>
        </is>
      </c>
      <c r="E2766" t="inlineStr">
        <is>
          <t>FALKENBERG</t>
        </is>
      </c>
      <c r="G2766" t="n">
        <v>1.4</v>
      </c>
      <c r="H2766" t="n">
        <v>0</v>
      </c>
      <c r="I2766" t="n">
        <v>0</v>
      </c>
      <c r="J2766" t="n">
        <v>0</v>
      </c>
      <c r="K2766" t="n">
        <v>0</v>
      </c>
      <c r="L2766" t="n">
        <v>0</v>
      </c>
      <c r="M2766" t="n">
        <v>0</v>
      </c>
      <c r="N2766" t="n">
        <v>0</v>
      </c>
      <c r="O2766" t="n">
        <v>0</v>
      </c>
      <c r="P2766" t="n">
        <v>0</v>
      </c>
      <c r="Q2766" t="n">
        <v>0</v>
      </c>
      <c r="R2766" s="2" t="inlineStr"/>
    </row>
    <row r="2767" ht="15" customHeight="1">
      <c r="A2767" t="inlineStr">
        <is>
          <t>A 13214-2023</t>
        </is>
      </c>
      <c r="B2767" s="1" t="n">
        <v>45002</v>
      </c>
      <c r="C2767" s="1" t="n">
        <v>45358</v>
      </c>
      <c r="D2767" t="inlineStr">
        <is>
          <t>HALLANDS LÄN</t>
        </is>
      </c>
      <c r="E2767" t="inlineStr">
        <is>
          <t>HYLTE</t>
        </is>
      </c>
      <c r="G2767" t="n">
        <v>3.9</v>
      </c>
      <c r="H2767" t="n">
        <v>0</v>
      </c>
      <c r="I2767" t="n">
        <v>0</v>
      </c>
      <c r="J2767" t="n">
        <v>0</v>
      </c>
      <c r="K2767" t="n">
        <v>0</v>
      </c>
      <c r="L2767" t="n">
        <v>0</v>
      </c>
      <c r="M2767" t="n">
        <v>0</v>
      </c>
      <c r="N2767" t="n">
        <v>0</v>
      </c>
      <c r="O2767" t="n">
        <v>0</v>
      </c>
      <c r="P2767" t="n">
        <v>0</v>
      </c>
      <c r="Q2767" t="n">
        <v>0</v>
      </c>
      <c r="R2767" s="2" t="inlineStr"/>
    </row>
    <row r="2768" ht="15" customHeight="1">
      <c r="A2768" t="inlineStr">
        <is>
          <t>A 13218-2023</t>
        </is>
      </c>
      <c r="B2768" s="1" t="n">
        <v>45002</v>
      </c>
      <c r="C2768" s="1" t="n">
        <v>45358</v>
      </c>
      <c r="D2768" t="inlineStr">
        <is>
          <t>HALLANDS LÄN</t>
        </is>
      </c>
      <c r="E2768" t="inlineStr">
        <is>
          <t>HALMSTAD</t>
        </is>
      </c>
      <c r="G2768" t="n">
        <v>2.6</v>
      </c>
      <c r="H2768" t="n">
        <v>0</v>
      </c>
      <c r="I2768" t="n">
        <v>0</v>
      </c>
      <c r="J2768" t="n">
        <v>0</v>
      </c>
      <c r="K2768" t="n">
        <v>0</v>
      </c>
      <c r="L2768" t="n">
        <v>0</v>
      </c>
      <c r="M2768" t="n">
        <v>0</v>
      </c>
      <c r="N2768" t="n">
        <v>0</v>
      </c>
      <c r="O2768" t="n">
        <v>0</v>
      </c>
      <c r="P2768" t="n">
        <v>0</v>
      </c>
      <c r="Q2768" t="n">
        <v>0</v>
      </c>
      <c r="R2768" s="2" t="inlineStr"/>
    </row>
    <row r="2769" ht="15" customHeight="1">
      <c r="A2769" t="inlineStr">
        <is>
          <t>A 13222-2023</t>
        </is>
      </c>
      <c r="B2769" s="1" t="n">
        <v>45002</v>
      </c>
      <c r="C2769" s="1" t="n">
        <v>45358</v>
      </c>
      <c r="D2769" t="inlineStr">
        <is>
          <t>HALLANDS LÄN</t>
        </is>
      </c>
      <c r="E2769" t="inlineStr">
        <is>
          <t>HALMSTAD</t>
        </is>
      </c>
      <c r="G2769" t="n">
        <v>1.4</v>
      </c>
      <c r="H2769" t="n">
        <v>0</v>
      </c>
      <c r="I2769" t="n">
        <v>0</v>
      </c>
      <c r="J2769" t="n">
        <v>0</v>
      </c>
      <c r="K2769" t="n">
        <v>0</v>
      </c>
      <c r="L2769" t="n">
        <v>0</v>
      </c>
      <c r="M2769" t="n">
        <v>0</v>
      </c>
      <c r="N2769" t="n">
        <v>0</v>
      </c>
      <c r="O2769" t="n">
        <v>0</v>
      </c>
      <c r="P2769" t="n">
        <v>0</v>
      </c>
      <c r="Q2769" t="n">
        <v>0</v>
      </c>
      <c r="R2769" s="2" t="inlineStr"/>
    </row>
    <row r="2770" ht="15" customHeight="1">
      <c r="A2770" t="inlineStr">
        <is>
          <t>A 13505-2023</t>
        </is>
      </c>
      <c r="B2770" s="1" t="n">
        <v>45006</v>
      </c>
      <c r="C2770" s="1" t="n">
        <v>45358</v>
      </c>
      <c r="D2770" t="inlineStr">
        <is>
          <t>HALLANDS LÄN</t>
        </is>
      </c>
      <c r="E2770" t="inlineStr">
        <is>
          <t>LAHOLM</t>
        </is>
      </c>
      <c r="G2770" t="n">
        <v>1.4</v>
      </c>
      <c r="H2770" t="n">
        <v>0</v>
      </c>
      <c r="I2770" t="n">
        <v>0</v>
      </c>
      <c r="J2770" t="n">
        <v>0</v>
      </c>
      <c r="K2770" t="n">
        <v>0</v>
      </c>
      <c r="L2770" t="n">
        <v>0</v>
      </c>
      <c r="M2770" t="n">
        <v>0</v>
      </c>
      <c r="N2770" t="n">
        <v>0</v>
      </c>
      <c r="O2770" t="n">
        <v>0</v>
      </c>
      <c r="P2770" t="n">
        <v>0</v>
      </c>
      <c r="Q2770" t="n">
        <v>0</v>
      </c>
      <c r="R2770" s="2" t="inlineStr"/>
    </row>
    <row r="2771" ht="15" customHeight="1">
      <c r="A2771" t="inlineStr">
        <is>
          <t>A 13532-2023</t>
        </is>
      </c>
      <c r="B2771" s="1" t="n">
        <v>45006</v>
      </c>
      <c r="C2771" s="1" t="n">
        <v>45358</v>
      </c>
      <c r="D2771" t="inlineStr">
        <is>
          <t>HALLANDS LÄN</t>
        </is>
      </c>
      <c r="E2771" t="inlineStr">
        <is>
          <t>HALMSTAD</t>
        </is>
      </c>
      <c r="G2771" t="n">
        <v>2.1</v>
      </c>
      <c r="H2771" t="n">
        <v>0</v>
      </c>
      <c r="I2771" t="n">
        <v>0</v>
      </c>
      <c r="J2771" t="n">
        <v>0</v>
      </c>
      <c r="K2771" t="n">
        <v>0</v>
      </c>
      <c r="L2771" t="n">
        <v>0</v>
      </c>
      <c r="M2771" t="n">
        <v>0</v>
      </c>
      <c r="N2771" t="n">
        <v>0</v>
      </c>
      <c r="O2771" t="n">
        <v>0</v>
      </c>
      <c r="P2771" t="n">
        <v>0</v>
      </c>
      <c r="Q2771" t="n">
        <v>0</v>
      </c>
      <c r="R2771" s="2" t="inlineStr"/>
    </row>
    <row r="2772" ht="15" customHeight="1">
      <c r="A2772" t="inlineStr">
        <is>
          <t>A 13504-2023</t>
        </is>
      </c>
      <c r="B2772" s="1" t="n">
        <v>45006</v>
      </c>
      <c r="C2772" s="1" t="n">
        <v>45358</v>
      </c>
      <c r="D2772" t="inlineStr">
        <is>
          <t>HALLANDS LÄN</t>
        </is>
      </c>
      <c r="E2772" t="inlineStr">
        <is>
          <t>LAHOLM</t>
        </is>
      </c>
      <c r="G2772" t="n">
        <v>1.2</v>
      </c>
      <c r="H2772" t="n">
        <v>0</v>
      </c>
      <c r="I2772" t="n">
        <v>0</v>
      </c>
      <c r="J2772" t="n">
        <v>0</v>
      </c>
      <c r="K2772" t="n">
        <v>0</v>
      </c>
      <c r="L2772" t="n">
        <v>0</v>
      </c>
      <c r="M2772" t="n">
        <v>0</v>
      </c>
      <c r="N2772" t="n">
        <v>0</v>
      </c>
      <c r="O2772" t="n">
        <v>0</v>
      </c>
      <c r="P2772" t="n">
        <v>0</v>
      </c>
      <c r="Q2772" t="n">
        <v>0</v>
      </c>
      <c r="R2772" s="2" t="inlineStr"/>
    </row>
    <row r="2773" ht="15" customHeight="1">
      <c r="A2773" t="inlineStr">
        <is>
          <t>A 13528-2023</t>
        </is>
      </c>
      <c r="B2773" s="1" t="n">
        <v>45006</v>
      </c>
      <c r="C2773" s="1" t="n">
        <v>45358</v>
      </c>
      <c r="D2773" t="inlineStr">
        <is>
          <t>HALLANDS LÄN</t>
        </is>
      </c>
      <c r="E2773" t="inlineStr">
        <is>
          <t>LAHOLM</t>
        </is>
      </c>
      <c r="G2773" t="n">
        <v>3.7</v>
      </c>
      <c r="H2773" t="n">
        <v>0</v>
      </c>
      <c r="I2773" t="n">
        <v>0</v>
      </c>
      <c r="J2773" t="n">
        <v>0</v>
      </c>
      <c r="K2773" t="n">
        <v>0</v>
      </c>
      <c r="L2773" t="n">
        <v>0</v>
      </c>
      <c r="M2773" t="n">
        <v>0</v>
      </c>
      <c r="N2773" t="n">
        <v>0</v>
      </c>
      <c r="O2773" t="n">
        <v>0</v>
      </c>
      <c r="P2773" t="n">
        <v>0</v>
      </c>
      <c r="Q2773" t="n">
        <v>0</v>
      </c>
      <c r="R2773" s="2" t="inlineStr"/>
    </row>
    <row r="2774" ht="15" customHeight="1">
      <c r="A2774" t="inlineStr">
        <is>
          <t>A 13594-2023</t>
        </is>
      </c>
      <c r="B2774" s="1" t="n">
        <v>45006</v>
      </c>
      <c r="C2774" s="1" t="n">
        <v>45358</v>
      </c>
      <c r="D2774" t="inlineStr">
        <is>
          <t>HALLANDS LÄN</t>
        </is>
      </c>
      <c r="E2774" t="inlineStr">
        <is>
          <t>HALMSTAD</t>
        </is>
      </c>
      <c r="F2774" t="inlineStr">
        <is>
          <t>Bergvik skog väst AB</t>
        </is>
      </c>
      <c r="G2774" t="n">
        <v>8.6</v>
      </c>
      <c r="H2774" t="n">
        <v>0</v>
      </c>
      <c r="I2774" t="n">
        <v>0</v>
      </c>
      <c r="J2774" t="n">
        <v>0</v>
      </c>
      <c r="K2774" t="n">
        <v>0</v>
      </c>
      <c r="L2774" t="n">
        <v>0</v>
      </c>
      <c r="M2774" t="n">
        <v>0</v>
      </c>
      <c r="N2774" t="n">
        <v>0</v>
      </c>
      <c r="O2774" t="n">
        <v>0</v>
      </c>
      <c r="P2774" t="n">
        <v>0</v>
      </c>
      <c r="Q2774" t="n">
        <v>0</v>
      </c>
      <c r="R2774" s="2" t="inlineStr"/>
    </row>
    <row r="2775" ht="15" customHeight="1">
      <c r="A2775" t="inlineStr">
        <is>
          <t>A 13713-2023</t>
        </is>
      </c>
      <c r="B2775" s="1" t="n">
        <v>45007</v>
      </c>
      <c r="C2775" s="1" t="n">
        <v>45358</v>
      </c>
      <c r="D2775" t="inlineStr">
        <is>
          <t>HALLANDS LÄN</t>
        </is>
      </c>
      <c r="E2775" t="inlineStr">
        <is>
          <t>VARBERG</t>
        </is>
      </c>
      <c r="G2775" t="n">
        <v>0.9</v>
      </c>
      <c r="H2775" t="n">
        <v>0</v>
      </c>
      <c r="I2775" t="n">
        <v>0</v>
      </c>
      <c r="J2775" t="n">
        <v>0</v>
      </c>
      <c r="K2775" t="n">
        <v>0</v>
      </c>
      <c r="L2775" t="n">
        <v>0</v>
      </c>
      <c r="M2775" t="n">
        <v>0</v>
      </c>
      <c r="N2775" t="n">
        <v>0</v>
      </c>
      <c r="O2775" t="n">
        <v>0</v>
      </c>
      <c r="P2775" t="n">
        <v>0</v>
      </c>
      <c r="Q2775" t="n">
        <v>0</v>
      </c>
      <c r="R2775" s="2" t="inlineStr"/>
    </row>
    <row r="2776" ht="15" customHeight="1">
      <c r="A2776" t="inlineStr">
        <is>
          <t>A 13712-2023</t>
        </is>
      </c>
      <c r="B2776" s="1" t="n">
        <v>45007</v>
      </c>
      <c r="C2776" s="1" t="n">
        <v>45358</v>
      </c>
      <c r="D2776" t="inlineStr">
        <is>
          <t>HALLANDS LÄN</t>
        </is>
      </c>
      <c r="E2776" t="inlineStr">
        <is>
          <t>VARBERG</t>
        </is>
      </c>
      <c r="G2776" t="n">
        <v>3.4</v>
      </c>
      <c r="H2776" t="n">
        <v>0</v>
      </c>
      <c r="I2776" t="n">
        <v>0</v>
      </c>
      <c r="J2776" t="n">
        <v>0</v>
      </c>
      <c r="K2776" t="n">
        <v>0</v>
      </c>
      <c r="L2776" t="n">
        <v>0</v>
      </c>
      <c r="M2776" t="n">
        <v>0</v>
      </c>
      <c r="N2776" t="n">
        <v>0</v>
      </c>
      <c r="O2776" t="n">
        <v>0</v>
      </c>
      <c r="P2776" t="n">
        <v>0</v>
      </c>
      <c r="Q2776" t="n">
        <v>0</v>
      </c>
      <c r="R2776" s="2" t="inlineStr"/>
    </row>
    <row r="2777" ht="15" customHeight="1">
      <c r="A2777" t="inlineStr">
        <is>
          <t>A 13825-2023</t>
        </is>
      </c>
      <c r="B2777" s="1" t="n">
        <v>45007</v>
      </c>
      <c r="C2777" s="1" t="n">
        <v>45358</v>
      </c>
      <c r="D2777" t="inlineStr">
        <is>
          <t>HALLANDS LÄN</t>
        </is>
      </c>
      <c r="E2777" t="inlineStr">
        <is>
          <t>VARBERG</t>
        </is>
      </c>
      <c r="G2777" t="n">
        <v>1.1</v>
      </c>
      <c r="H2777" t="n">
        <v>0</v>
      </c>
      <c r="I2777" t="n">
        <v>0</v>
      </c>
      <c r="J2777" t="n">
        <v>0</v>
      </c>
      <c r="K2777" t="n">
        <v>0</v>
      </c>
      <c r="L2777" t="n">
        <v>0</v>
      </c>
      <c r="M2777" t="n">
        <v>0</v>
      </c>
      <c r="N2777" t="n">
        <v>0</v>
      </c>
      <c r="O2777" t="n">
        <v>0</v>
      </c>
      <c r="P2777" t="n">
        <v>0</v>
      </c>
      <c r="Q2777" t="n">
        <v>0</v>
      </c>
      <c r="R2777" s="2" t="inlineStr"/>
    </row>
    <row r="2778" ht="15" customHeight="1">
      <c r="A2778" t="inlineStr">
        <is>
          <t>A 13822-2023</t>
        </is>
      </c>
      <c r="B2778" s="1" t="n">
        <v>45007</v>
      </c>
      <c r="C2778" s="1" t="n">
        <v>45358</v>
      </c>
      <c r="D2778" t="inlineStr">
        <is>
          <t>HALLANDS LÄN</t>
        </is>
      </c>
      <c r="E2778" t="inlineStr">
        <is>
          <t>VARBERG</t>
        </is>
      </c>
      <c r="G2778" t="n">
        <v>2.4</v>
      </c>
      <c r="H2778" t="n">
        <v>0</v>
      </c>
      <c r="I2778" t="n">
        <v>0</v>
      </c>
      <c r="J2778" t="n">
        <v>0</v>
      </c>
      <c r="K2778" t="n">
        <v>0</v>
      </c>
      <c r="L2778" t="n">
        <v>0</v>
      </c>
      <c r="M2778" t="n">
        <v>0</v>
      </c>
      <c r="N2778" t="n">
        <v>0</v>
      </c>
      <c r="O2778" t="n">
        <v>0</v>
      </c>
      <c r="P2778" t="n">
        <v>0</v>
      </c>
      <c r="Q2778" t="n">
        <v>0</v>
      </c>
      <c r="R2778" s="2" t="inlineStr"/>
    </row>
    <row r="2779" ht="15" customHeight="1">
      <c r="A2779" t="inlineStr">
        <is>
          <t>A 13842-2023</t>
        </is>
      </c>
      <c r="B2779" s="1" t="n">
        <v>45007</v>
      </c>
      <c r="C2779" s="1" t="n">
        <v>45358</v>
      </c>
      <c r="D2779" t="inlineStr">
        <is>
          <t>HALLANDS LÄN</t>
        </is>
      </c>
      <c r="E2779" t="inlineStr">
        <is>
          <t>VARBERG</t>
        </is>
      </c>
      <c r="G2779" t="n">
        <v>1.7</v>
      </c>
      <c r="H2779" t="n">
        <v>0</v>
      </c>
      <c r="I2779" t="n">
        <v>0</v>
      </c>
      <c r="J2779" t="n">
        <v>0</v>
      </c>
      <c r="K2779" t="n">
        <v>0</v>
      </c>
      <c r="L2779" t="n">
        <v>0</v>
      </c>
      <c r="M2779" t="n">
        <v>0</v>
      </c>
      <c r="N2779" t="n">
        <v>0</v>
      </c>
      <c r="O2779" t="n">
        <v>0</v>
      </c>
      <c r="P2779" t="n">
        <v>0</v>
      </c>
      <c r="Q2779" t="n">
        <v>0</v>
      </c>
      <c r="R2779" s="2" t="inlineStr"/>
    </row>
    <row r="2780" ht="15" customHeight="1">
      <c r="A2780" t="inlineStr">
        <is>
          <t>A 13922-2023</t>
        </is>
      </c>
      <c r="B2780" s="1" t="n">
        <v>45008</v>
      </c>
      <c r="C2780" s="1" t="n">
        <v>45358</v>
      </c>
      <c r="D2780" t="inlineStr">
        <is>
          <t>HALLANDS LÄN</t>
        </is>
      </c>
      <c r="E2780" t="inlineStr">
        <is>
          <t>VARBERG</t>
        </is>
      </c>
      <c r="G2780" t="n">
        <v>1</v>
      </c>
      <c r="H2780" t="n">
        <v>0</v>
      </c>
      <c r="I2780" t="n">
        <v>0</v>
      </c>
      <c r="J2780" t="n">
        <v>0</v>
      </c>
      <c r="K2780" t="n">
        <v>0</v>
      </c>
      <c r="L2780" t="n">
        <v>0</v>
      </c>
      <c r="M2780" t="n">
        <v>0</v>
      </c>
      <c r="N2780" t="n">
        <v>0</v>
      </c>
      <c r="O2780" t="n">
        <v>0</v>
      </c>
      <c r="P2780" t="n">
        <v>0</v>
      </c>
      <c r="Q2780" t="n">
        <v>0</v>
      </c>
      <c r="R2780" s="2" t="inlineStr"/>
    </row>
    <row r="2781" ht="15" customHeight="1">
      <c r="A2781" t="inlineStr">
        <is>
          <t>A 14009-2023</t>
        </is>
      </c>
      <c r="B2781" s="1" t="n">
        <v>45008</v>
      </c>
      <c r="C2781" s="1" t="n">
        <v>45358</v>
      </c>
      <c r="D2781" t="inlineStr">
        <is>
          <t>HALLANDS LÄN</t>
        </is>
      </c>
      <c r="E2781" t="inlineStr">
        <is>
          <t>VARBERG</t>
        </is>
      </c>
      <c r="G2781" t="n">
        <v>3.5</v>
      </c>
      <c r="H2781" t="n">
        <v>0</v>
      </c>
      <c r="I2781" t="n">
        <v>0</v>
      </c>
      <c r="J2781" t="n">
        <v>0</v>
      </c>
      <c r="K2781" t="n">
        <v>0</v>
      </c>
      <c r="L2781" t="n">
        <v>0</v>
      </c>
      <c r="M2781" t="n">
        <v>0</v>
      </c>
      <c r="N2781" t="n">
        <v>0</v>
      </c>
      <c r="O2781" t="n">
        <v>0</v>
      </c>
      <c r="P2781" t="n">
        <v>0</v>
      </c>
      <c r="Q2781" t="n">
        <v>0</v>
      </c>
      <c r="R2781" s="2" t="inlineStr"/>
    </row>
    <row r="2782" ht="15" customHeight="1">
      <c r="A2782" t="inlineStr">
        <is>
          <t>A 14052-2023</t>
        </is>
      </c>
      <c r="B2782" s="1" t="n">
        <v>45008</v>
      </c>
      <c r="C2782" s="1" t="n">
        <v>45358</v>
      </c>
      <c r="D2782" t="inlineStr">
        <is>
          <t>HALLANDS LÄN</t>
        </is>
      </c>
      <c r="E2782" t="inlineStr">
        <is>
          <t>KUNGSBACKA</t>
        </is>
      </c>
      <c r="G2782" t="n">
        <v>2.2</v>
      </c>
      <c r="H2782" t="n">
        <v>0</v>
      </c>
      <c r="I2782" t="n">
        <v>0</v>
      </c>
      <c r="J2782" t="n">
        <v>0</v>
      </c>
      <c r="K2782" t="n">
        <v>0</v>
      </c>
      <c r="L2782" t="n">
        <v>0</v>
      </c>
      <c r="M2782" t="n">
        <v>0</v>
      </c>
      <c r="N2782" t="n">
        <v>0</v>
      </c>
      <c r="O2782" t="n">
        <v>0</v>
      </c>
      <c r="P2782" t="n">
        <v>0</v>
      </c>
      <c r="Q2782" t="n">
        <v>0</v>
      </c>
      <c r="R2782" s="2" t="inlineStr"/>
    </row>
    <row r="2783" ht="15" customHeight="1">
      <c r="A2783" t="inlineStr">
        <is>
          <t>A 14141-2023</t>
        </is>
      </c>
      <c r="B2783" s="1" t="n">
        <v>45009</v>
      </c>
      <c r="C2783" s="1" t="n">
        <v>45358</v>
      </c>
      <c r="D2783" t="inlineStr">
        <is>
          <t>HALLANDS LÄN</t>
        </is>
      </c>
      <c r="E2783" t="inlineStr">
        <is>
          <t>LAHOLM</t>
        </is>
      </c>
      <c r="G2783" t="n">
        <v>2.4</v>
      </c>
      <c r="H2783" t="n">
        <v>0</v>
      </c>
      <c r="I2783" t="n">
        <v>0</v>
      </c>
      <c r="J2783" t="n">
        <v>0</v>
      </c>
      <c r="K2783" t="n">
        <v>0</v>
      </c>
      <c r="L2783" t="n">
        <v>0</v>
      </c>
      <c r="M2783" t="n">
        <v>0</v>
      </c>
      <c r="N2783" t="n">
        <v>0</v>
      </c>
      <c r="O2783" t="n">
        <v>0</v>
      </c>
      <c r="P2783" t="n">
        <v>0</v>
      </c>
      <c r="Q2783" t="n">
        <v>0</v>
      </c>
      <c r="R2783" s="2" t="inlineStr"/>
    </row>
    <row r="2784" ht="15" customHeight="1">
      <c r="A2784" t="inlineStr">
        <is>
          <t>A 14536-2023</t>
        </is>
      </c>
      <c r="B2784" s="1" t="n">
        <v>45013</v>
      </c>
      <c r="C2784" s="1" t="n">
        <v>45358</v>
      </c>
      <c r="D2784" t="inlineStr">
        <is>
          <t>HALLANDS LÄN</t>
        </is>
      </c>
      <c r="E2784" t="inlineStr">
        <is>
          <t>VARBERG</t>
        </is>
      </c>
      <c r="G2784" t="n">
        <v>0.5</v>
      </c>
      <c r="H2784" t="n">
        <v>0</v>
      </c>
      <c r="I2784" t="n">
        <v>0</v>
      </c>
      <c r="J2784" t="n">
        <v>0</v>
      </c>
      <c r="K2784" t="n">
        <v>0</v>
      </c>
      <c r="L2784" t="n">
        <v>0</v>
      </c>
      <c r="M2784" t="n">
        <v>0</v>
      </c>
      <c r="N2784" t="n">
        <v>0</v>
      </c>
      <c r="O2784" t="n">
        <v>0</v>
      </c>
      <c r="P2784" t="n">
        <v>0</v>
      </c>
      <c r="Q2784" t="n">
        <v>0</v>
      </c>
      <c r="R2784" s="2" t="inlineStr"/>
    </row>
    <row r="2785" ht="15" customHeight="1">
      <c r="A2785" t="inlineStr">
        <is>
          <t>A 14546-2023</t>
        </is>
      </c>
      <c r="B2785" s="1" t="n">
        <v>45013</v>
      </c>
      <c r="C2785" s="1" t="n">
        <v>45358</v>
      </c>
      <c r="D2785" t="inlineStr">
        <is>
          <t>HALLANDS LÄN</t>
        </is>
      </c>
      <c r="E2785" t="inlineStr">
        <is>
          <t>VARBERG</t>
        </is>
      </c>
      <c r="G2785" t="n">
        <v>6.2</v>
      </c>
      <c r="H2785" t="n">
        <v>0</v>
      </c>
      <c r="I2785" t="n">
        <v>0</v>
      </c>
      <c r="J2785" t="n">
        <v>0</v>
      </c>
      <c r="K2785" t="n">
        <v>0</v>
      </c>
      <c r="L2785" t="n">
        <v>0</v>
      </c>
      <c r="M2785" t="n">
        <v>0</v>
      </c>
      <c r="N2785" t="n">
        <v>0</v>
      </c>
      <c r="O2785" t="n">
        <v>0</v>
      </c>
      <c r="P2785" t="n">
        <v>0</v>
      </c>
      <c r="Q2785" t="n">
        <v>0</v>
      </c>
      <c r="R2785" s="2" t="inlineStr"/>
    </row>
    <row r="2786" ht="15" customHeight="1">
      <c r="A2786" t="inlineStr">
        <is>
          <t>A 14606-2023</t>
        </is>
      </c>
      <c r="B2786" s="1" t="n">
        <v>45013</v>
      </c>
      <c r="C2786" s="1" t="n">
        <v>45358</v>
      </c>
      <c r="D2786" t="inlineStr">
        <is>
          <t>HALLANDS LÄN</t>
        </is>
      </c>
      <c r="E2786" t="inlineStr">
        <is>
          <t>FALKENBERG</t>
        </is>
      </c>
      <c r="G2786" t="n">
        <v>2.3</v>
      </c>
      <c r="H2786" t="n">
        <v>0</v>
      </c>
      <c r="I2786" t="n">
        <v>0</v>
      </c>
      <c r="J2786" t="n">
        <v>0</v>
      </c>
      <c r="K2786" t="n">
        <v>0</v>
      </c>
      <c r="L2786" t="n">
        <v>0</v>
      </c>
      <c r="M2786" t="n">
        <v>0</v>
      </c>
      <c r="N2786" t="n">
        <v>0</v>
      </c>
      <c r="O2786" t="n">
        <v>0</v>
      </c>
      <c r="P2786" t="n">
        <v>0</v>
      </c>
      <c r="Q2786" t="n">
        <v>0</v>
      </c>
      <c r="R2786" s="2" t="inlineStr"/>
    </row>
    <row r="2787" ht="15" customHeight="1">
      <c r="A2787" t="inlineStr">
        <is>
          <t>A 14602-2023</t>
        </is>
      </c>
      <c r="B2787" s="1" t="n">
        <v>45013</v>
      </c>
      <c r="C2787" s="1" t="n">
        <v>45358</v>
      </c>
      <c r="D2787" t="inlineStr">
        <is>
          <t>HALLANDS LÄN</t>
        </is>
      </c>
      <c r="E2787" t="inlineStr">
        <is>
          <t>FALKENBERG</t>
        </is>
      </c>
      <c r="G2787" t="n">
        <v>2.2</v>
      </c>
      <c r="H2787" t="n">
        <v>0</v>
      </c>
      <c r="I2787" t="n">
        <v>0</v>
      </c>
      <c r="J2787" t="n">
        <v>0</v>
      </c>
      <c r="K2787" t="n">
        <v>0</v>
      </c>
      <c r="L2787" t="n">
        <v>0</v>
      </c>
      <c r="M2787" t="n">
        <v>0</v>
      </c>
      <c r="N2787" t="n">
        <v>0</v>
      </c>
      <c r="O2787" t="n">
        <v>0</v>
      </c>
      <c r="P2787" t="n">
        <v>0</v>
      </c>
      <c r="Q2787" t="n">
        <v>0</v>
      </c>
      <c r="R2787" s="2" t="inlineStr"/>
    </row>
    <row r="2788" ht="15" customHeight="1">
      <c r="A2788" t="inlineStr">
        <is>
          <t>A 14535-2023</t>
        </is>
      </c>
      <c r="B2788" s="1" t="n">
        <v>45013</v>
      </c>
      <c r="C2788" s="1" t="n">
        <v>45358</v>
      </c>
      <c r="D2788" t="inlineStr">
        <is>
          <t>HALLANDS LÄN</t>
        </is>
      </c>
      <c r="E2788" t="inlineStr">
        <is>
          <t>VARBERG</t>
        </is>
      </c>
      <c r="G2788" t="n">
        <v>4.3</v>
      </c>
      <c r="H2788" t="n">
        <v>0</v>
      </c>
      <c r="I2788" t="n">
        <v>0</v>
      </c>
      <c r="J2788" t="n">
        <v>0</v>
      </c>
      <c r="K2788" t="n">
        <v>0</v>
      </c>
      <c r="L2788" t="n">
        <v>0</v>
      </c>
      <c r="M2788" t="n">
        <v>0</v>
      </c>
      <c r="N2788" t="n">
        <v>0</v>
      </c>
      <c r="O2788" t="n">
        <v>0</v>
      </c>
      <c r="P2788" t="n">
        <v>0</v>
      </c>
      <c r="Q2788" t="n">
        <v>0</v>
      </c>
      <c r="R2788" s="2" t="inlineStr"/>
    </row>
    <row r="2789" ht="15" customHeight="1">
      <c r="A2789" t="inlineStr">
        <is>
          <t>A 14653-2023</t>
        </is>
      </c>
      <c r="B2789" s="1" t="n">
        <v>45013</v>
      </c>
      <c r="C2789" s="1" t="n">
        <v>45358</v>
      </c>
      <c r="D2789" t="inlineStr">
        <is>
          <t>HALLANDS LÄN</t>
        </is>
      </c>
      <c r="E2789" t="inlineStr">
        <is>
          <t>HYLTE</t>
        </is>
      </c>
      <c r="G2789" t="n">
        <v>1</v>
      </c>
      <c r="H2789" t="n">
        <v>0</v>
      </c>
      <c r="I2789" t="n">
        <v>0</v>
      </c>
      <c r="J2789" t="n">
        <v>0</v>
      </c>
      <c r="K2789" t="n">
        <v>0</v>
      </c>
      <c r="L2789" t="n">
        <v>0</v>
      </c>
      <c r="M2789" t="n">
        <v>0</v>
      </c>
      <c r="N2789" t="n">
        <v>0</v>
      </c>
      <c r="O2789" t="n">
        <v>0</v>
      </c>
      <c r="P2789" t="n">
        <v>0</v>
      </c>
      <c r="Q2789" t="n">
        <v>0</v>
      </c>
      <c r="R2789" s="2" t="inlineStr"/>
    </row>
    <row r="2790" ht="15" customHeight="1">
      <c r="A2790" t="inlineStr">
        <is>
          <t>A 14752-2023</t>
        </is>
      </c>
      <c r="B2790" s="1" t="n">
        <v>45014</v>
      </c>
      <c r="C2790" s="1" t="n">
        <v>45358</v>
      </c>
      <c r="D2790" t="inlineStr">
        <is>
          <t>HALLANDS LÄN</t>
        </is>
      </c>
      <c r="E2790" t="inlineStr">
        <is>
          <t>HYLTE</t>
        </is>
      </c>
      <c r="G2790" t="n">
        <v>2.5</v>
      </c>
      <c r="H2790" t="n">
        <v>0</v>
      </c>
      <c r="I2790" t="n">
        <v>0</v>
      </c>
      <c r="J2790" t="n">
        <v>0</v>
      </c>
      <c r="K2790" t="n">
        <v>0</v>
      </c>
      <c r="L2790" t="n">
        <v>0</v>
      </c>
      <c r="M2790" t="n">
        <v>0</v>
      </c>
      <c r="N2790" t="n">
        <v>0</v>
      </c>
      <c r="O2790" t="n">
        <v>0</v>
      </c>
      <c r="P2790" t="n">
        <v>0</v>
      </c>
      <c r="Q2790" t="n">
        <v>0</v>
      </c>
      <c r="R2790" s="2" t="inlineStr"/>
    </row>
    <row r="2791" ht="15" customHeight="1">
      <c r="A2791" t="inlineStr">
        <is>
          <t>A 14710-2023</t>
        </is>
      </c>
      <c r="B2791" s="1" t="n">
        <v>45014</v>
      </c>
      <c r="C2791" s="1" t="n">
        <v>45358</v>
      </c>
      <c r="D2791" t="inlineStr">
        <is>
          <t>HALLANDS LÄN</t>
        </is>
      </c>
      <c r="E2791" t="inlineStr">
        <is>
          <t>VARBERG</t>
        </is>
      </c>
      <c r="G2791" t="n">
        <v>0.7</v>
      </c>
      <c r="H2791" t="n">
        <v>0</v>
      </c>
      <c r="I2791" t="n">
        <v>0</v>
      </c>
      <c r="J2791" t="n">
        <v>0</v>
      </c>
      <c r="K2791" t="n">
        <v>0</v>
      </c>
      <c r="L2791" t="n">
        <v>0</v>
      </c>
      <c r="M2791" t="n">
        <v>0</v>
      </c>
      <c r="N2791" t="n">
        <v>0</v>
      </c>
      <c r="O2791" t="n">
        <v>0</v>
      </c>
      <c r="P2791" t="n">
        <v>0</v>
      </c>
      <c r="Q2791" t="n">
        <v>0</v>
      </c>
      <c r="R2791" s="2" t="inlineStr"/>
    </row>
    <row r="2792" ht="15" customHeight="1">
      <c r="A2792" t="inlineStr">
        <is>
          <t>A 14732-2023</t>
        </is>
      </c>
      <c r="B2792" s="1" t="n">
        <v>45014</v>
      </c>
      <c r="C2792" s="1" t="n">
        <v>45358</v>
      </c>
      <c r="D2792" t="inlineStr">
        <is>
          <t>HALLANDS LÄN</t>
        </is>
      </c>
      <c r="E2792" t="inlineStr">
        <is>
          <t>VARBERG</t>
        </is>
      </c>
      <c r="G2792" t="n">
        <v>0.6</v>
      </c>
      <c r="H2792" t="n">
        <v>0</v>
      </c>
      <c r="I2792" t="n">
        <v>0</v>
      </c>
      <c r="J2792" t="n">
        <v>0</v>
      </c>
      <c r="K2792" t="n">
        <v>0</v>
      </c>
      <c r="L2792" t="n">
        <v>0</v>
      </c>
      <c r="M2792" t="n">
        <v>0</v>
      </c>
      <c r="N2792" t="n">
        <v>0</v>
      </c>
      <c r="O2792" t="n">
        <v>0</v>
      </c>
      <c r="P2792" t="n">
        <v>0</v>
      </c>
      <c r="Q2792" t="n">
        <v>0</v>
      </c>
      <c r="R2792" s="2" t="inlineStr"/>
    </row>
    <row r="2793" ht="15" customHeight="1">
      <c r="A2793" t="inlineStr">
        <is>
          <t>A 14898-2023</t>
        </is>
      </c>
      <c r="B2793" s="1" t="n">
        <v>45014</v>
      </c>
      <c r="C2793" s="1" t="n">
        <v>45358</v>
      </c>
      <c r="D2793" t="inlineStr">
        <is>
          <t>HALLANDS LÄN</t>
        </is>
      </c>
      <c r="E2793" t="inlineStr">
        <is>
          <t>KUNGSBACKA</t>
        </is>
      </c>
      <c r="G2793" t="n">
        <v>0.1</v>
      </c>
      <c r="H2793" t="n">
        <v>0</v>
      </c>
      <c r="I2793" t="n">
        <v>0</v>
      </c>
      <c r="J2793" t="n">
        <v>0</v>
      </c>
      <c r="K2793" t="n">
        <v>0</v>
      </c>
      <c r="L2793" t="n">
        <v>0</v>
      </c>
      <c r="M2793" t="n">
        <v>0</v>
      </c>
      <c r="N2793" t="n">
        <v>0</v>
      </c>
      <c r="O2793" t="n">
        <v>0</v>
      </c>
      <c r="P2793" t="n">
        <v>0</v>
      </c>
      <c r="Q2793" t="n">
        <v>0</v>
      </c>
      <c r="R2793" s="2" t="inlineStr"/>
    </row>
    <row r="2794" ht="15" customHeight="1">
      <c r="A2794" t="inlineStr">
        <is>
          <t>A 14895-2023</t>
        </is>
      </c>
      <c r="B2794" s="1" t="n">
        <v>45015</v>
      </c>
      <c r="C2794" s="1" t="n">
        <v>45358</v>
      </c>
      <c r="D2794" t="inlineStr">
        <is>
          <t>HALLANDS LÄN</t>
        </is>
      </c>
      <c r="E2794" t="inlineStr">
        <is>
          <t>FALKENBERG</t>
        </is>
      </c>
      <c r="G2794" t="n">
        <v>0.7</v>
      </c>
      <c r="H2794" t="n">
        <v>0</v>
      </c>
      <c r="I2794" t="n">
        <v>0</v>
      </c>
      <c r="J2794" t="n">
        <v>0</v>
      </c>
      <c r="K2794" t="n">
        <v>0</v>
      </c>
      <c r="L2794" t="n">
        <v>0</v>
      </c>
      <c r="M2794" t="n">
        <v>0</v>
      </c>
      <c r="N2794" t="n">
        <v>0</v>
      </c>
      <c r="O2794" t="n">
        <v>0</v>
      </c>
      <c r="P2794" t="n">
        <v>0</v>
      </c>
      <c r="Q2794" t="n">
        <v>0</v>
      </c>
      <c r="R2794" s="2" t="inlineStr"/>
    </row>
    <row r="2795" ht="15" customHeight="1">
      <c r="A2795" t="inlineStr">
        <is>
          <t>A 14987-2023</t>
        </is>
      </c>
      <c r="B2795" s="1" t="n">
        <v>45015</v>
      </c>
      <c r="C2795" s="1" t="n">
        <v>45358</v>
      </c>
      <c r="D2795" t="inlineStr">
        <is>
          <t>HALLANDS LÄN</t>
        </is>
      </c>
      <c r="E2795" t="inlineStr">
        <is>
          <t>HALMSTAD</t>
        </is>
      </c>
      <c r="G2795" t="n">
        <v>5.5</v>
      </c>
      <c r="H2795" t="n">
        <v>0</v>
      </c>
      <c r="I2795" t="n">
        <v>0</v>
      </c>
      <c r="J2795" t="n">
        <v>0</v>
      </c>
      <c r="K2795" t="n">
        <v>0</v>
      </c>
      <c r="L2795" t="n">
        <v>0</v>
      </c>
      <c r="M2795" t="n">
        <v>0</v>
      </c>
      <c r="N2795" t="n">
        <v>0</v>
      </c>
      <c r="O2795" t="n">
        <v>0</v>
      </c>
      <c r="P2795" t="n">
        <v>0</v>
      </c>
      <c r="Q2795" t="n">
        <v>0</v>
      </c>
      <c r="R2795" s="2" t="inlineStr"/>
    </row>
    <row r="2796" ht="15" customHeight="1">
      <c r="A2796" t="inlineStr">
        <is>
          <t>A 14986-2023</t>
        </is>
      </c>
      <c r="B2796" s="1" t="n">
        <v>45015</v>
      </c>
      <c r="C2796" s="1" t="n">
        <v>45358</v>
      </c>
      <c r="D2796" t="inlineStr">
        <is>
          <t>HALLANDS LÄN</t>
        </is>
      </c>
      <c r="E2796" t="inlineStr">
        <is>
          <t>HALMSTAD</t>
        </is>
      </c>
      <c r="G2796" t="n">
        <v>3.5</v>
      </c>
      <c r="H2796" t="n">
        <v>0</v>
      </c>
      <c r="I2796" t="n">
        <v>0</v>
      </c>
      <c r="J2796" t="n">
        <v>0</v>
      </c>
      <c r="K2796" t="n">
        <v>0</v>
      </c>
      <c r="L2796" t="n">
        <v>0</v>
      </c>
      <c r="M2796" t="n">
        <v>0</v>
      </c>
      <c r="N2796" t="n">
        <v>0</v>
      </c>
      <c r="O2796" t="n">
        <v>0</v>
      </c>
      <c r="P2796" t="n">
        <v>0</v>
      </c>
      <c r="Q2796" t="n">
        <v>0</v>
      </c>
      <c r="R2796" s="2" t="inlineStr"/>
    </row>
    <row r="2797" ht="15" customHeight="1">
      <c r="A2797" t="inlineStr">
        <is>
          <t>A 15028-2023</t>
        </is>
      </c>
      <c r="B2797" s="1" t="n">
        <v>45015</v>
      </c>
      <c r="C2797" s="1" t="n">
        <v>45358</v>
      </c>
      <c r="D2797" t="inlineStr">
        <is>
          <t>HALLANDS LÄN</t>
        </is>
      </c>
      <c r="E2797" t="inlineStr">
        <is>
          <t>HALMSTAD</t>
        </is>
      </c>
      <c r="G2797" t="n">
        <v>1.1</v>
      </c>
      <c r="H2797" t="n">
        <v>0</v>
      </c>
      <c r="I2797" t="n">
        <v>0</v>
      </c>
      <c r="J2797" t="n">
        <v>0</v>
      </c>
      <c r="K2797" t="n">
        <v>0</v>
      </c>
      <c r="L2797" t="n">
        <v>0</v>
      </c>
      <c r="M2797" t="n">
        <v>0</v>
      </c>
      <c r="N2797" t="n">
        <v>0</v>
      </c>
      <c r="O2797" t="n">
        <v>0</v>
      </c>
      <c r="P2797" t="n">
        <v>0</v>
      </c>
      <c r="Q2797" t="n">
        <v>0</v>
      </c>
      <c r="R2797" s="2" t="inlineStr"/>
    </row>
    <row r="2798" ht="15" customHeight="1">
      <c r="A2798" t="inlineStr">
        <is>
          <t>A 15013-2023</t>
        </is>
      </c>
      <c r="B2798" s="1" t="n">
        <v>45015</v>
      </c>
      <c r="C2798" s="1" t="n">
        <v>45358</v>
      </c>
      <c r="D2798" t="inlineStr">
        <is>
          <t>HALLANDS LÄN</t>
        </is>
      </c>
      <c r="E2798" t="inlineStr">
        <is>
          <t>FALKENBERG</t>
        </is>
      </c>
      <c r="F2798" t="inlineStr">
        <is>
          <t>Kyrkan</t>
        </is>
      </c>
      <c r="G2798" t="n">
        <v>8.6</v>
      </c>
      <c r="H2798" t="n">
        <v>0</v>
      </c>
      <c r="I2798" t="n">
        <v>0</v>
      </c>
      <c r="J2798" t="n">
        <v>0</v>
      </c>
      <c r="K2798" t="n">
        <v>0</v>
      </c>
      <c r="L2798" t="n">
        <v>0</v>
      </c>
      <c r="M2798" t="n">
        <v>0</v>
      </c>
      <c r="N2798" t="n">
        <v>0</v>
      </c>
      <c r="O2798" t="n">
        <v>0</v>
      </c>
      <c r="P2798" t="n">
        <v>0</v>
      </c>
      <c r="Q2798" t="n">
        <v>0</v>
      </c>
      <c r="R2798" s="2" t="inlineStr"/>
    </row>
    <row r="2799" ht="15" customHeight="1">
      <c r="A2799" t="inlineStr">
        <is>
          <t>A 15029-2023</t>
        </is>
      </c>
      <c r="B2799" s="1" t="n">
        <v>45015</v>
      </c>
      <c r="C2799" s="1" t="n">
        <v>45358</v>
      </c>
      <c r="D2799" t="inlineStr">
        <is>
          <t>HALLANDS LÄN</t>
        </is>
      </c>
      <c r="E2799" t="inlineStr">
        <is>
          <t>HALMSTAD</t>
        </is>
      </c>
      <c r="G2799" t="n">
        <v>1.5</v>
      </c>
      <c r="H2799" t="n">
        <v>0</v>
      </c>
      <c r="I2799" t="n">
        <v>0</v>
      </c>
      <c r="J2799" t="n">
        <v>0</v>
      </c>
      <c r="K2799" t="n">
        <v>0</v>
      </c>
      <c r="L2799" t="n">
        <v>0</v>
      </c>
      <c r="M2799" t="n">
        <v>0</v>
      </c>
      <c r="N2799" t="n">
        <v>0</v>
      </c>
      <c r="O2799" t="n">
        <v>0</v>
      </c>
      <c r="P2799" t="n">
        <v>0</v>
      </c>
      <c r="Q2799" t="n">
        <v>0</v>
      </c>
      <c r="R2799" s="2" t="inlineStr"/>
    </row>
    <row r="2800" ht="15" customHeight="1">
      <c r="A2800" t="inlineStr">
        <is>
          <t>A 15170-2023</t>
        </is>
      </c>
      <c r="B2800" s="1" t="n">
        <v>45016</v>
      </c>
      <c r="C2800" s="1" t="n">
        <v>45358</v>
      </c>
      <c r="D2800" t="inlineStr">
        <is>
          <t>HALLANDS LÄN</t>
        </is>
      </c>
      <c r="E2800" t="inlineStr">
        <is>
          <t>FALKENBERG</t>
        </is>
      </c>
      <c r="G2800" t="n">
        <v>1.7</v>
      </c>
      <c r="H2800" t="n">
        <v>0</v>
      </c>
      <c r="I2800" t="n">
        <v>0</v>
      </c>
      <c r="J2800" t="n">
        <v>0</v>
      </c>
      <c r="K2800" t="n">
        <v>0</v>
      </c>
      <c r="L2800" t="n">
        <v>0</v>
      </c>
      <c r="M2800" t="n">
        <v>0</v>
      </c>
      <c r="N2800" t="n">
        <v>0</v>
      </c>
      <c r="O2800" t="n">
        <v>0</v>
      </c>
      <c r="P2800" t="n">
        <v>0</v>
      </c>
      <c r="Q2800" t="n">
        <v>0</v>
      </c>
      <c r="R2800" s="2" t="inlineStr"/>
    </row>
    <row r="2801" ht="15" customHeight="1">
      <c r="A2801" t="inlineStr">
        <is>
          <t>A 15313-2023</t>
        </is>
      </c>
      <c r="B2801" s="1" t="n">
        <v>45019</v>
      </c>
      <c r="C2801" s="1" t="n">
        <v>45358</v>
      </c>
      <c r="D2801" t="inlineStr">
        <is>
          <t>HALLANDS LÄN</t>
        </is>
      </c>
      <c r="E2801" t="inlineStr">
        <is>
          <t>HYLTE</t>
        </is>
      </c>
      <c r="G2801" t="n">
        <v>5.9</v>
      </c>
      <c r="H2801" t="n">
        <v>0</v>
      </c>
      <c r="I2801" t="n">
        <v>0</v>
      </c>
      <c r="J2801" t="n">
        <v>0</v>
      </c>
      <c r="K2801" t="n">
        <v>0</v>
      </c>
      <c r="L2801" t="n">
        <v>0</v>
      </c>
      <c r="M2801" t="n">
        <v>0</v>
      </c>
      <c r="N2801" t="n">
        <v>0</v>
      </c>
      <c r="O2801" t="n">
        <v>0</v>
      </c>
      <c r="P2801" t="n">
        <v>0</v>
      </c>
      <c r="Q2801" t="n">
        <v>0</v>
      </c>
      <c r="R2801" s="2" t="inlineStr"/>
    </row>
    <row r="2802" ht="15" customHeight="1">
      <c r="A2802" t="inlineStr">
        <is>
          <t>A 15288-2023</t>
        </is>
      </c>
      <c r="B2802" s="1" t="n">
        <v>45019</v>
      </c>
      <c r="C2802" s="1" t="n">
        <v>45358</v>
      </c>
      <c r="D2802" t="inlineStr">
        <is>
          <t>HALLANDS LÄN</t>
        </is>
      </c>
      <c r="E2802" t="inlineStr">
        <is>
          <t>HYLTE</t>
        </is>
      </c>
      <c r="G2802" t="n">
        <v>5.8</v>
      </c>
      <c r="H2802" t="n">
        <v>0</v>
      </c>
      <c r="I2802" t="n">
        <v>0</v>
      </c>
      <c r="J2802" t="n">
        <v>0</v>
      </c>
      <c r="K2802" t="n">
        <v>0</v>
      </c>
      <c r="L2802" t="n">
        <v>0</v>
      </c>
      <c r="M2802" t="n">
        <v>0</v>
      </c>
      <c r="N2802" t="n">
        <v>0</v>
      </c>
      <c r="O2802" t="n">
        <v>0</v>
      </c>
      <c r="P2802" t="n">
        <v>0</v>
      </c>
      <c r="Q2802" t="n">
        <v>0</v>
      </c>
      <c r="R2802" s="2" t="inlineStr"/>
    </row>
    <row r="2803" ht="15" customHeight="1">
      <c r="A2803" t="inlineStr">
        <is>
          <t>A 15317-2023</t>
        </is>
      </c>
      <c r="B2803" s="1" t="n">
        <v>45019</v>
      </c>
      <c r="C2803" s="1" t="n">
        <v>45358</v>
      </c>
      <c r="D2803" t="inlineStr">
        <is>
          <t>HALLANDS LÄN</t>
        </is>
      </c>
      <c r="E2803" t="inlineStr">
        <is>
          <t>HYLTE</t>
        </is>
      </c>
      <c r="G2803" t="n">
        <v>4.8</v>
      </c>
      <c r="H2803" t="n">
        <v>0</v>
      </c>
      <c r="I2803" t="n">
        <v>0</v>
      </c>
      <c r="J2803" t="n">
        <v>0</v>
      </c>
      <c r="K2803" t="n">
        <v>0</v>
      </c>
      <c r="L2803" t="n">
        <v>0</v>
      </c>
      <c r="M2803" t="n">
        <v>0</v>
      </c>
      <c r="N2803" t="n">
        <v>0</v>
      </c>
      <c r="O2803" t="n">
        <v>0</v>
      </c>
      <c r="P2803" t="n">
        <v>0</v>
      </c>
      <c r="Q2803" t="n">
        <v>0</v>
      </c>
      <c r="R2803" s="2" t="inlineStr"/>
    </row>
    <row r="2804" ht="15" customHeight="1">
      <c r="A2804" t="inlineStr">
        <is>
          <t>A 15420-2023</t>
        </is>
      </c>
      <c r="B2804" s="1" t="n">
        <v>45019</v>
      </c>
      <c r="C2804" s="1" t="n">
        <v>45358</v>
      </c>
      <c r="D2804" t="inlineStr">
        <is>
          <t>HALLANDS LÄN</t>
        </is>
      </c>
      <c r="E2804" t="inlineStr">
        <is>
          <t>FALKENBERG</t>
        </is>
      </c>
      <c r="G2804" t="n">
        <v>0.8</v>
      </c>
      <c r="H2804" t="n">
        <v>0</v>
      </c>
      <c r="I2804" t="n">
        <v>0</v>
      </c>
      <c r="J2804" t="n">
        <v>0</v>
      </c>
      <c r="K2804" t="n">
        <v>0</v>
      </c>
      <c r="L2804" t="n">
        <v>0</v>
      </c>
      <c r="M2804" t="n">
        <v>0</v>
      </c>
      <c r="N2804" t="n">
        <v>0</v>
      </c>
      <c r="O2804" t="n">
        <v>0</v>
      </c>
      <c r="P2804" t="n">
        <v>0</v>
      </c>
      <c r="Q2804" t="n">
        <v>0</v>
      </c>
      <c r="R2804" s="2" t="inlineStr"/>
    </row>
    <row r="2805" ht="15" customHeight="1">
      <c r="A2805" t="inlineStr">
        <is>
          <t>A 15283-2023</t>
        </is>
      </c>
      <c r="B2805" s="1" t="n">
        <v>45019</v>
      </c>
      <c r="C2805" s="1" t="n">
        <v>45358</v>
      </c>
      <c r="D2805" t="inlineStr">
        <is>
          <t>HALLANDS LÄN</t>
        </is>
      </c>
      <c r="E2805" t="inlineStr">
        <is>
          <t>HYLTE</t>
        </is>
      </c>
      <c r="G2805" t="n">
        <v>1.1</v>
      </c>
      <c r="H2805" t="n">
        <v>0</v>
      </c>
      <c r="I2805" t="n">
        <v>0</v>
      </c>
      <c r="J2805" t="n">
        <v>0</v>
      </c>
      <c r="K2805" t="n">
        <v>0</v>
      </c>
      <c r="L2805" t="n">
        <v>0</v>
      </c>
      <c r="M2805" t="n">
        <v>0</v>
      </c>
      <c r="N2805" t="n">
        <v>0</v>
      </c>
      <c r="O2805" t="n">
        <v>0</v>
      </c>
      <c r="P2805" t="n">
        <v>0</v>
      </c>
      <c r="Q2805" t="n">
        <v>0</v>
      </c>
      <c r="R2805" s="2" t="inlineStr"/>
    </row>
    <row r="2806" ht="15" customHeight="1">
      <c r="A2806" t="inlineStr">
        <is>
          <t>A 15394-2023</t>
        </is>
      </c>
      <c r="B2806" s="1" t="n">
        <v>45019</v>
      </c>
      <c r="C2806" s="1" t="n">
        <v>45358</v>
      </c>
      <c r="D2806" t="inlineStr">
        <is>
          <t>HALLANDS LÄN</t>
        </is>
      </c>
      <c r="E2806" t="inlineStr">
        <is>
          <t>HYLTE</t>
        </is>
      </c>
      <c r="G2806" t="n">
        <v>1.8</v>
      </c>
      <c r="H2806" t="n">
        <v>0</v>
      </c>
      <c r="I2806" t="n">
        <v>0</v>
      </c>
      <c r="J2806" t="n">
        <v>0</v>
      </c>
      <c r="K2806" t="n">
        <v>0</v>
      </c>
      <c r="L2806" t="n">
        <v>0</v>
      </c>
      <c r="M2806" t="n">
        <v>0</v>
      </c>
      <c r="N2806" t="n">
        <v>0</v>
      </c>
      <c r="O2806" t="n">
        <v>0</v>
      </c>
      <c r="P2806" t="n">
        <v>0</v>
      </c>
      <c r="Q2806" t="n">
        <v>0</v>
      </c>
      <c r="R2806" s="2" t="inlineStr"/>
    </row>
    <row r="2807" ht="15" customHeight="1">
      <c r="A2807" t="inlineStr">
        <is>
          <t>A 15421-2023</t>
        </is>
      </c>
      <c r="B2807" s="1" t="n">
        <v>45019</v>
      </c>
      <c r="C2807" s="1" t="n">
        <v>45358</v>
      </c>
      <c r="D2807" t="inlineStr">
        <is>
          <t>HALLANDS LÄN</t>
        </is>
      </c>
      <c r="E2807" t="inlineStr">
        <is>
          <t>FALKENBERG</t>
        </is>
      </c>
      <c r="G2807" t="n">
        <v>1.3</v>
      </c>
      <c r="H2807" t="n">
        <v>0</v>
      </c>
      <c r="I2807" t="n">
        <v>0</v>
      </c>
      <c r="J2807" t="n">
        <v>0</v>
      </c>
      <c r="K2807" t="n">
        <v>0</v>
      </c>
      <c r="L2807" t="n">
        <v>0</v>
      </c>
      <c r="M2807" t="n">
        <v>0</v>
      </c>
      <c r="N2807" t="n">
        <v>0</v>
      </c>
      <c r="O2807" t="n">
        <v>0</v>
      </c>
      <c r="P2807" t="n">
        <v>0</v>
      </c>
      <c r="Q2807" t="n">
        <v>0</v>
      </c>
      <c r="R2807" s="2" t="inlineStr"/>
    </row>
    <row r="2808" ht="15" customHeight="1">
      <c r="A2808" t="inlineStr">
        <is>
          <t>A 15587-2023</t>
        </is>
      </c>
      <c r="B2808" s="1" t="n">
        <v>45019</v>
      </c>
      <c r="C2808" s="1" t="n">
        <v>45358</v>
      </c>
      <c r="D2808" t="inlineStr">
        <is>
          <t>HALLANDS LÄN</t>
        </is>
      </c>
      <c r="E2808" t="inlineStr">
        <is>
          <t>LAHOLM</t>
        </is>
      </c>
      <c r="G2808" t="n">
        <v>1.6</v>
      </c>
      <c r="H2808" t="n">
        <v>0</v>
      </c>
      <c r="I2808" t="n">
        <v>0</v>
      </c>
      <c r="J2808" t="n">
        <v>0</v>
      </c>
      <c r="K2808" t="n">
        <v>0</v>
      </c>
      <c r="L2808" t="n">
        <v>0</v>
      </c>
      <c r="M2808" t="n">
        <v>0</v>
      </c>
      <c r="N2808" t="n">
        <v>0</v>
      </c>
      <c r="O2808" t="n">
        <v>0</v>
      </c>
      <c r="P2808" t="n">
        <v>0</v>
      </c>
      <c r="Q2808" t="n">
        <v>0</v>
      </c>
      <c r="R2808" s="2" t="inlineStr"/>
    </row>
    <row r="2809" ht="15" customHeight="1">
      <c r="A2809" t="inlineStr">
        <is>
          <t>A 15428-2023</t>
        </is>
      </c>
      <c r="B2809" s="1" t="n">
        <v>45020</v>
      </c>
      <c r="C2809" s="1" t="n">
        <v>45358</v>
      </c>
      <c r="D2809" t="inlineStr">
        <is>
          <t>HALLANDS LÄN</t>
        </is>
      </c>
      <c r="E2809" t="inlineStr">
        <is>
          <t>LAHOLM</t>
        </is>
      </c>
      <c r="G2809" t="n">
        <v>1.7</v>
      </c>
      <c r="H2809" t="n">
        <v>0</v>
      </c>
      <c r="I2809" t="n">
        <v>0</v>
      </c>
      <c r="J2809" t="n">
        <v>0</v>
      </c>
      <c r="K2809" t="n">
        <v>0</v>
      </c>
      <c r="L2809" t="n">
        <v>0</v>
      </c>
      <c r="M2809" t="n">
        <v>0</v>
      </c>
      <c r="N2809" t="n">
        <v>0</v>
      </c>
      <c r="O2809" t="n">
        <v>0</v>
      </c>
      <c r="P2809" t="n">
        <v>0</v>
      </c>
      <c r="Q2809" t="n">
        <v>0</v>
      </c>
      <c r="R2809" s="2" t="inlineStr"/>
    </row>
    <row r="2810" ht="15" customHeight="1">
      <c r="A2810" t="inlineStr">
        <is>
          <t>A 15640-2023</t>
        </is>
      </c>
      <c r="B2810" s="1" t="n">
        <v>45020</v>
      </c>
      <c r="C2810" s="1" t="n">
        <v>45358</v>
      </c>
      <c r="D2810" t="inlineStr">
        <is>
          <t>HALLANDS LÄN</t>
        </is>
      </c>
      <c r="E2810" t="inlineStr">
        <is>
          <t>LAHOLM</t>
        </is>
      </c>
      <c r="G2810" t="n">
        <v>2.9</v>
      </c>
      <c r="H2810" t="n">
        <v>0</v>
      </c>
      <c r="I2810" t="n">
        <v>0</v>
      </c>
      <c r="J2810" t="n">
        <v>0</v>
      </c>
      <c r="K2810" t="n">
        <v>0</v>
      </c>
      <c r="L2810" t="n">
        <v>0</v>
      </c>
      <c r="M2810" t="n">
        <v>0</v>
      </c>
      <c r="N2810" t="n">
        <v>0</v>
      </c>
      <c r="O2810" t="n">
        <v>0</v>
      </c>
      <c r="P2810" t="n">
        <v>0</v>
      </c>
      <c r="Q2810" t="n">
        <v>0</v>
      </c>
      <c r="R2810" s="2" t="inlineStr"/>
    </row>
    <row r="2811" ht="15" customHeight="1">
      <c r="A2811" t="inlineStr">
        <is>
          <t>A 15618-2023</t>
        </is>
      </c>
      <c r="B2811" s="1" t="n">
        <v>45020</v>
      </c>
      <c r="C2811" s="1" t="n">
        <v>45358</v>
      </c>
      <c r="D2811" t="inlineStr">
        <is>
          <t>HALLANDS LÄN</t>
        </is>
      </c>
      <c r="E2811" t="inlineStr">
        <is>
          <t>HYLTE</t>
        </is>
      </c>
      <c r="G2811" t="n">
        <v>0.7</v>
      </c>
      <c r="H2811" t="n">
        <v>0</v>
      </c>
      <c r="I2811" t="n">
        <v>0</v>
      </c>
      <c r="J2811" t="n">
        <v>0</v>
      </c>
      <c r="K2811" t="n">
        <v>0</v>
      </c>
      <c r="L2811" t="n">
        <v>0</v>
      </c>
      <c r="M2811" t="n">
        <v>0</v>
      </c>
      <c r="N2811" t="n">
        <v>0</v>
      </c>
      <c r="O2811" t="n">
        <v>0</v>
      </c>
      <c r="P2811" t="n">
        <v>0</v>
      </c>
      <c r="Q2811" t="n">
        <v>0</v>
      </c>
      <c r="R2811" s="2" t="inlineStr"/>
    </row>
    <row r="2812" ht="15" customHeight="1">
      <c r="A2812" t="inlineStr">
        <is>
          <t>A 15642-2023</t>
        </is>
      </c>
      <c r="B2812" s="1" t="n">
        <v>45020</v>
      </c>
      <c r="C2812" s="1" t="n">
        <v>45358</v>
      </c>
      <c r="D2812" t="inlineStr">
        <is>
          <t>HALLANDS LÄN</t>
        </is>
      </c>
      <c r="E2812" t="inlineStr">
        <is>
          <t>LAHOLM</t>
        </is>
      </c>
      <c r="G2812" t="n">
        <v>0.6</v>
      </c>
      <c r="H2812" t="n">
        <v>0</v>
      </c>
      <c r="I2812" t="n">
        <v>0</v>
      </c>
      <c r="J2812" t="n">
        <v>0</v>
      </c>
      <c r="K2812" t="n">
        <v>0</v>
      </c>
      <c r="L2812" t="n">
        <v>0</v>
      </c>
      <c r="M2812" t="n">
        <v>0</v>
      </c>
      <c r="N2812" t="n">
        <v>0</v>
      </c>
      <c r="O2812" t="n">
        <v>0</v>
      </c>
      <c r="P2812" t="n">
        <v>0</v>
      </c>
      <c r="Q2812" t="n">
        <v>0</v>
      </c>
      <c r="R2812" s="2" t="inlineStr"/>
    </row>
    <row r="2813" ht="15" customHeight="1">
      <c r="A2813" t="inlineStr">
        <is>
          <t>A 15715-2023</t>
        </is>
      </c>
      <c r="B2813" s="1" t="n">
        <v>45021</v>
      </c>
      <c r="C2813" s="1" t="n">
        <v>45358</v>
      </c>
      <c r="D2813" t="inlineStr">
        <is>
          <t>HALLANDS LÄN</t>
        </is>
      </c>
      <c r="E2813" t="inlineStr">
        <is>
          <t>KUNGSBACKA</t>
        </is>
      </c>
      <c r="G2813" t="n">
        <v>1.9</v>
      </c>
      <c r="H2813" t="n">
        <v>0</v>
      </c>
      <c r="I2813" t="n">
        <v>0</v>
      </c>
      <c r="J2813" t="n">
        <v>0</v>
      </c>
      <c r="K2813" t="n">
        <v>0</v>
      </c>
      <c r="L2813" t="n">
        <v>0</v>
      </c>
      <c r="M2813" t="n">
        <v>0</v>
      </c>
      <c r="N2813" t="n">
        <v>0</v>
      </c>
      <c r="O2813" t="n">
        <v>0</v>
      </c>
      <c r="P2813" t="n">
        <v>0</v>
      </c>
      <c r="Q2813" t="n">
        <v>0</v>
      </c>
      <c r="R2813" s="2" t="inlineStr"/>
    </row>
    <row r="2814" ht="15" customHeight="1">
      <c r="A2814" t="inlineStr">
        <is>
          <t>A 15837-2023</t>
        </is>
      </c>
      <c r="B2814" s="1" t="n">
        <v>45022</v>
      </c>
      <c r="C2814" s="1" t="n">
        <v>45358</v>
      </c>
      <c r="D2814" t="inlineStr">
        <is>
          <t>HALLANDS LÄN</t>
        </is>
      </c>
      <c r="E2814" t="inlineStr">
        <is>
          <t>LAHOLM</t>
        </is>
      </c>
      <c r="F2814" t="inlineStr">
        <is>
          <t>Sveaskog</t>
        </is>
      </c>
      <c r="G2814" t="n">
        <v>0.8</v>
      </c>
      <c r="H2814" t="n">
        <v>0</v>
      </c>
      <c r="I2814" t="n">
        <v>0</v>
      </c>
      <c r="J2814" t="n">
        <v>0</v>
      </c>
      <c r="K2814" t="n">
        <v>0</v>
      </c>
      <c r="L2814" t="n">
        <v>0</v>
      </c>
      <c r="M2814" t="n">
        <v>0</v>
      </c>
      <c r="N2814" t="n">
        <v>0</v>
      </c>
      <c r="O2814" t="n">
        <v>0</v>
      </c>
      <c r="P2814" t="n">
        <v>0</v>
      </c>
      <c r="Q2814" t="n">
        <v>0</v>
      </c>
      <c r="R2814" s="2" t="inlineStr"/>
    </row>
    <row r="2815" ht="15" customHeight="1">
      <c r="A2815" t="inlineStr">
        <is>
          <t>A 16098-2023</t>
        </is>
      </c>
      <c r="B2815" s="1" t="n">
        <v>45027</v>
      </c>
      <c r="C2815" s="1" t="n">
        <v>45358</v>
      </c>
      <c r="D2815" t="inlineStr">
        <is>
          <t>HALLANDS LÄN</t>
        </is>
      </c>
      <c r="E2815" t="inlineStr">
        <is>
          <t>HYLTE</t>
        </is>
      </c>
      <c r="G2815" t="n">
        <v>1.1</v>
      </c>
      <c r="H2815" t="n">
        <v>0</v>
      </c>
      <c r="I2815" t="n">
        <v>0</v>
      </c>
      <c r="J2815" t="n">
        <v>0</v>
      </c>
      <c r="K2815" t="n">
        <v>0</v>
      </c>
      <c r="L2815" t="n">
        <v>0</v>
      </c>
      <c r="M2815" t="n">
        <v>0</v>
      </c>
      <c r="N2815" t="n">
        <v>0</v>
      </c>
      <c r="O2815" t="n">
        <v>0</v>
      </c>
      <c r="P2815" t="n">
        <v>0</v>
      </c>
      <c r="Q2815" t="n">
        <v>0</v>
      </c>
      <c r="R2815" s="2" t="inlineStr"/>
    </row>
    <row r="2816" ht="15" customHeight="1">
      <c r="A2816" t="inlineStr">
        <is>
          <t>A 16109-2023</t>
        </is>
      </c>
      <c r="B2816" s="1" t="n">
        <v>45027</v>
      </c>
      <c r="C2816" s="1" t="n">
        <v>45358</v>
      </c>
      <c r="D2816" t="inlineStr">
        <is>
          <t>HALLANDS LÄN</t>
        </is>
      </c>
      <c r="E2816" t="inlineStr">
        <is>
          <t>KUNGSBACKA</t>
        </is>
      </c>
      <c r="G2816" t="n">
        <v>1.9</v>
      </c>
      <c r="H2816" t="n">
        <v>0</v>
      </c>
      <c r="I2816" t="n">
        <v>0</v>
      </c>
      <c r="J2816" t="n">
        <v>0</v>
      </c>
      <c r="K2816" t="n">
        <v>0</v>
      </c>
      <c r="L2816" t="n">
        <v>0</v>
      </c>
      <c r="M2816" t="n">
        <v>0</v>
      </c>
      <c r="N2816" t="n">
        <v>0</v>
      </c>
      <c r="O2816" t="n">
        <v>0</v>
      </c>
      <c r="P2816" t="n">
        <v>0</v>
      </c>
      <c r="Q2816" t="n">
        <v>0</v>
      </c>
      <c r="R2816" s="2" t="inlineStr"/>
    </row>
    <row r="2817" ht="15" customHeight="1">
      <c r="A2817" t="inlineStr">
        <is>
          <t>A 16148-2023</t>
        </is>
      </c>
      <c r="B2817" s="1" t="n">
        <v>45027</v>
      </c>
      <c r="C2817" s="1" t="n">
        <v>45358</v>
      </c>
      <c r="D2817" t="inlineStr">
        <is>
          <t>HALLANDS LÄN</t>
        </is>
      </c>
      <c r="E2817" t="inlineStr">
        <is>
          <t>HYLTE</t>
        </is>
      </c>
      <c r="G2817" t="n">
        <v>0.8</v>
      </c>
      <c r="H2817" t="n">
        <v>0</v>
      </c>
      <c r="I2817" t="n">
        <v>0</v>
      </c>
      <c r="J2817" t="n">
        <v>0</v>
      </c>
      <c r="K2817" t="n">
        <v>0</v>
      </c>
      <c r="L2817" t="n">
        <v>0</v>
      </c>
      <c r="M2817" t="n">
        <v>0</v>
      </c>
      <c r="N2817" t="n">
        <v>0</v>
      </c>
      <c r="O2817" t="n">
        <v>0</v>
      </c>
      <c r="P2817" t="n">
        <v>0</v>
      </c>
      <c r="Q2817" t="n">
        <v>0</v>
      </c>
      <c r="R2817" s="2" t="inlineStr"/>
    </row>
    <row r="2818" ht="15" customHeight="1">
      <c r="A2818" t="inlineStr">
        <is>
          <t>A 16175-2023</t>
        </is>
      </c>
      <c r="B2818" s="1" t="n">
        <v>45027</v>
      </c>
      <c r="C2818" s="1" t="n">
        <v>45358</v>
      </c>
      <c r="D2818" t="inlineStr">
        <is>
          <t>HALLANDS LÄN</t>
        </is>
      </c>
      <c r="E2818" t="inlineStr">
        <is>
          <t>LAHOLM</t>
        </is>
      </c>
      <c r="G2818" t="n">
        <v>3.6</v>
      </c>
      <c r="H2818" t="n">
        <v>0</v>
      </c>
      <c r="I2818" t="n">
        <v>0</v>
      </c>
      <c r="J2818" t="n">
        <v>0</v>
      </c>
      <c r="K2818" t="n">
        <v>0</v>
      </c>
      <c r="L2818" t="n">
        <v>0</v>
      </c>
      <c r="M2818" t="n">
        <v>0</v>
      </c>
      <c r="N2818" t="n">
        <v>0</v>
      </c>
      <c r="O2818" t="n">
        <v>0</v>
      </c>
      <c r="P2818" t="n">
        <v>0</v>
      </c>
      <c r="Q2818" t="n">
        <v>0</v>
      </c>
      <c r="R2818" s="2" t="inlineStr"/>
    </row>
    <row r="2819" ht="15" customHeight="1">
      <c r="A2819" t="inlineStr">
        <is>
          <t>A 16161-2023</t>
        </is>
      </c>
      <c r="B2819" s="1" t="n">
        <v>45027</v>
      </c>
      <c r="C2819" s="1" t="n">
        <v>45358</v>
      </c>
      <c r="D2819" t="inlineStr">
        <is>
          <t>HALLANDS LÄN</t>
        </is>
      </c>
      <c r="E2819" t="inlineStr">
        <is>
          <t>HYLTE</t>
        </is>
      </c>
      <c r="G2819" t="n">
        <v>1</v>
      </c>
      <c r="H2819" t="n">
        <v>0</v>
      </c>
      <c r="I2819" t="n">
        <v>0</v>
      </c>
      <c r="J2819" t="n">
        <v>0</v>
      </c>
      <c r="K2819" t="n">
        <v>0</v>
      </c>
      <c r="L2819" t="n">
        <v>0</v>
      </c>
      <c r="M2819" t="n">
        <v>0</v>
      </c>
      <c r="N2819" t="n">
        <v>0</v>
      </c>
      <c r="O2819" t="n">
        <v>0</v>
      </c>
      <c r="P2819" t="n">
        <v>0</v>
      </c>
      <c r="Q2819" t="n">
        <v>0</v>
      </c>
      <c r="R2819" s="2" t="inlineStr"/>
    </row>
    <row r="2820" ht="15" customHeight="1">
      <c r="A2820" t="inlineStr">
        <is>
          <t>A 16271-2023</t>
        </is>
      </c>
      <c r="B2820" s="1" t="n">
        <v>45028</v>
      </c>
      <c r="C2820" s="1" t="n">
        <v>45358</v>
      </c>
      <c r="D2820" t="inlineStr">
        <is>
          <t>HALLANDS LÄN</t>
        </is>
      </c>
      <c r="E2820" t="inlineStr">
        <is>
          <t>KUNGSBACKA</t>
        </is>
      </c>
      <c r="G2820" t="n">
        <v>2.5</v>
      </c>
      <c r="H2820" t="n">
        <v>0</v>
      </c>
      <c r="I2820" t="n">
        <v>0</v>
      </c>
      <c r="J2820" t="n">
        <v>0</v>
      </c>
      <c r="K2820" t="n">
        <v>0</v>
      </c>
      <c r="L2820" t="n">
        <v>0</v>
      </c>
      <c r="M2820" t="n">
        <v>0</v>
      </c>
      <c r="N2820" t="n">
        <v>0</v>
      </c>
      <c r="O2820" t="n">
        <v>0</v>
      </c>
      <c r="P2820" t="n">
        <v>0</v>
      </c>
      <c r="Q2820" t="n">
        <v>0</v>
      </c>
      <c r="R2820" s="2" t="inlineStr"/>
    </row>
    <row r="2821" ht="15" customHeight="1">
      <c r="A2821" t="inlineStr">
        <is>
          <t>A 16230-2023</t>
        </is>
      </c>
      <c r="B2821" s="1" t="n">
        <v>45028</v>
      </c>
      <c r="C2821" s="1" t="n">
        <v>45358</v>
      </c>
      <c r="D2821" t="inlineStr">
        <is>
          <t>HALLANDS LÄN</t>
        </is>
      </c>
      <c r="E2821" t="inlineStr">
        <is>
          <t>KUNGSBACKA</t>
        </is>
      </c>
      <c r="G2821" t="n">
        <v>2.5</v>
      </c>
      <c r="H2821" t="n">
        <v>0</v>
      </c>
      <c r="I2821" t="n">
        <v>0</v>
      </c>
      <c r="J2821" t="n">
        <v>0</v>
      </c>
      <c r="K2821" t="n">
        <v>0</v>
      </c>
      <c r="L2821" t="n">
        <v>0</v>
      </c>
      <c r="M2821" t="n">
        <v>0</v>
      </c>
      <c r="N2821" t="n">
        <v>0</v>
      </c>
      <c r="O2821" t="n">
        <v>0</v>
      </c>
      <c r="P2821" t="n">
        <v>0</v>
      </c>
      <c r="Q2821" t="n">
        <v>0</v>
      </c>
      <c r="R2821" s="2" t="inlineStr"/>
    </row>
    <row r="2822" ht="15" customHeight="1">
      <c r="A2822" t="inlineStr">
        <is>
          <t>A 16307-2023</t>
        </is>
      </c>
      <c r="B2822" s="1" t="n">
        <v>45028</v>
      </c>
      <c r="C2822" s="1" t="n">
        <v>45358</v>
      </c>
      <c r="D2822" t="inlineStr">
        <is>
          <t>HALLANDS LÄN</t>
        </is>
      </c>
      <c r="E2822" t="inlineStr">
        <is>
          <t>HYLTE</t>
        </is>
      </c>
      <c r="G2822" t="n">
        <v>1.2</v>
      </c>
      <c r="H2822" t="n">
        <v>0</v>
      </c>
      <c r="I2822" t="n">
        <v>0</v>
      </c>
      <c r="J2822" t="n">
        <v>0</v>
      </c>
      <c r="K2822" t="n">
        <v>0</v>
      </c>
      <c r="L2822" t="n">
        <v>0</v>
      </c>
      <c r="M2822" t="n">
        <v>0</v>
      </c>
      <c r="N2822" t="n">
        <v>0</v>
      </c>
      <c r="O2822" t="n">
        <v>0</v>
      </c>
      <c r="P2822" t="n">
        <v>0</v>
      </c>
      <c r="Q2822" t="n">
        <v>0</v>
      </c>
      <c r="R2822" s="2" t="inlineStr"/>
    </row>
    <row r="2823" ht="15" customHeight="1">
      <c r="A2823" t="inlineStr">
        <is>
          <t>A 16909-2023</t>
        </is>
      </c>
      <c r="B2823" s="1" t="n">
        <v>45028</v>
      </c>
      <c r="C2823" s="1" t="n">
        <v>45358</v>
      </c>
      <c r="D2823" t="inlineStr">
        <is>
          <t>HALLANDS LÄN</t>
        </is>
      </c>
      <c r="E2823" t="inlineStr">
        <is>
          <t>LAHOLM</t>
        </is>
      </c>
      <c r="G2823" t="n">
        <v>1.3</v>
      </c>
      <c r="H2823" t="n">
        <v>0</v>
      </c>
      <c r="I2823" t="n">
        <v>0</v>
      </c>
      <c r="J2823" t="n">
        <v>0</v>
      </c>
      <c r="K2823" t="n">
        <v>0</v>
      </c>
      <c r="L2823" t="n">
        <v>0</v>
      </c>
      <c r="M2823" t="n">
        <v>0</v>
      </c>
      <c r="N2823" t="n">
        <v>0</v>
      </c>
      <c r="O2823" t="n">
        <v>0</v>
      </c>
      <c r="P2823" t="n">
        <v>0</v>
      </c>
      <c r="Q2823" t="n">
        <v>0</v>
      </c>
      <c r="R2823" s="2" t="inlineStr"/>
    </row>
    <row r="2824" ht="15" customHeight="1">
      <c r="A2824" t="inlineStr">
        <is>
          <t>A 16906-2023</t>
        </is>
      </c>
      <c r="B2824" s="1" t="n">
        <v>45028</v>
      </c>
      <c r="C2824" s="1" t="n">
        <v>45358</v>
      </c>
      <c r="D2824" t="inlineStr">
        <is>
          <t>HALLANDS LÄN</t>
        </is>
      </c>
      <c r="E2824" t="inlineStr">
        <is>
          <t>LAHOLM</t>
        </is>
      </c>
      <c r="G2824" t="n">
        <v>1.9</v>
      </c>
      <c r="H2824" t="n">
        <v>0</v>
      </c>
      <c r="I2824" t="n">
        <v>0</v>
      </c>
      <c r="J2824" t="n">
        <v>0</v>
      </c>
      <c r="K2824" t="n">
        <v>0</v>
      </c>
      <c r="L2824" t="n">
        <v>0</v>
      </c>
      <c r="M2824" t="n">
        <v>0</v>
      </c>
      <c r="N2824" t="n">
        <v>0</v>
      </c>
      <c r="O2824" t="n">
        <v>0</v>
      </c>
      <c r="P2824" t="n">
        <v>0</v>
      </c>
      <c r="Q2824" t="n">
        <v>0</v>
      </c>
      <c r="R2824" s="2" t="inlineStr"/>
    </row>
    <row r="2825" ht="15" customHeight="1">
      <c r="A2825" t="inlineStr">
        <is>
          <t>A 16915-2023</t>
        </is>
      </c>
      <c r="B2825" s="1" t="n">
        <v>45028</v>
      </c>
      <c r="C2825" s="1" t="n">
        <v>45358</v>
      </c>
      <c r="D2825" t="inlineStr">
        <is>
          <t>HALLANDS LÄN</t>
        </is>
      </c>
      <c r="E2825" t="inlineStr">
        <is>
          <t>LAHOLM</t>
        </is>
      </c>
      <c r="G2825" t="n">
        <v>1.1</v>
      </c>
      <c r="H2825" t="n">
        <v>0</v>
      </c>
      <c r="I2825" t="n">
        <v>0</v>
      </c>
      <c r="J2825" t="n">
        <v>0</v>
      </c>
      <c r="K2825" t="n">
        <v>0</v>
      </c>
      <c r="L2825" t="n">
        <v>0</v>
      </c>
      <c r="M2825" t="n">
        <v>0</v>
      </c>
      <c r="N2825" t="n">
        <v>0</v>
      </c>
      <c r="O2825" t="n">
        <v>0</v>
      </c>
      <c r="P2825" t="n">
        <v>0</v>
      </c>
      <c r="Q2825" t="n">
        <v>0</v>
      </c>
      <c r="R2825" s="2" t="inlineStr"/>
    </row>
    <row r="2826" ht="15" customHeight="1">
      <c r="A2826" t="inlineStr">
        <is>
          <t>A 16387-2023</t>
        </is>
      </c>
      <c r="B2826" s="1" t="n">
        <v>45029</v>
      </c>
      <c r="C2826" s="1" t="n">
        <v>45358</v>
      </c>
      <c r="D2826" t="inlineStr">
        <is>
          <t>HALLANDS LÄN</t>
        </is>
      </c>
      <c r="E2826" t="inlineStr">
        <is>
          <t>HALMSTAD</t>
        </is>
      </c>
      <c r="G2826" t="n">
        <v>1.2</v>
      </c>
      <c r="H2826" t="n">
        <v>0</v>
      </c>
      <c r="I2826" t="n">
        <v>0</v>
      </c>
      <c r="J2826" t="n">
        <v>0</v>
      </c>
      <c r="K2826" t="n">
        <v>0</v>
      </c>
      <c r="L2826" t="n">
        <v>0</v>
      </c>
      <c r="M2826" t="n">
        <v>0</v>
      </c>
      <c r="N2826" t="n">
        <v>0</v>
      </c>
      <c r="O2826" t="n">
        <v>0</v>
      </c>
      <c r="P2826" t="n">
        <v>0</v>
      </c>
      <c r="Q2826" t="n">
        <v>0</v>
      </c>
      <c r="R2826" s="2" t="inlineStr"/>
    </row>
    <row r="2827" ht="15" customHeight="1">
      <c r="A2827" t="inlineStr">
        <is>
          <t>A 16426-2023</t>
        </is>
      </c>
      <c r="B2827" s="1" t="n">
        <v>45029</v>
      </c>
      <c r="C2827" s="1" t="n">
        <v>45358</v>
      </c>
      <c r="D2827" t="inlineStr">
        <is>
          <t>HALLANDS LÄN</t>
        </is>
      </c>
      <c r="E2827" t="inlineStr">
        <is>
          <t>KUNGSBACKA</t>
        </is>
      </c>
      <c r="G2827" t="n">
        <v>2.9</v>
      </c>
      <c r="H2827" t="n">
        <v>0</v>
      </c>
      <c r="I2827" t="n">
        <v>0</v>
      </c>
      <c r="J2827" t="n">
        <v>0</v>
      </c>
      <c r="K2827" t="n">
        <v>0</v>
      </c>
      <c r="L2827" t="n">
        <v>0</v>
      </c>
      <c r="M2827" t="n">
        <v>0</v>
      </c>
      <c r="N2827" t="n">
        <v>0</v>
      </c>
      <c r="O2827" t="n">
        <v>0</v>
      </c>
      <c r="P2827" t="n">
        <v>0</v>
      </c>
      <c r="Q2827" t="n">
        <v>0</v>
      </c>
      <c r="R2827" s="2" t="inlineStr"/>
    </row>
    <row r="2828" ht="15" customHeight="1">
      <c r="A2828" t="inlineStr">
        <is>
          <t>A 16470-2023</t>
        </is>
      </c>
      <c r="B2828" s="1" t="n">
        <v>45029</v>
      </c>
      <c r="C2828" s="1" t="n">
        <v>45358</v>
      </c>
      <c r="D2828" t="inlineStr">
        <is>
          <t>HALLANDS LÄN</t>
        </is>
      </c>
      <c r="E2828" t="inlineStr">
        <is>
          <t>VARBERG</t>
        </is>
      </c>
      <c r="G2828" t="n">
        <v>9</v>
      </c>
      <c r="H2828" t="n">
        <v>0</v>
      </c>
      <c r="I2828" t="n">
        <v>0</v>
      </c>
      <c r="J2828" t="n">
        <v>0</v>
      </c>
      <c r="K2828" t="n">
        <v>0</v>
      </c>
      <c r="L2828" t="n">
        <v>0</v>
      </c>
      <c r="M2828" t="n">
        <v>0</v>
      </c>
      <c r="N2828" t="n">
        <v>0</v>
      </c>
      <c r="O2828" t="n">
        <v>0</v>
      </c>
      <c r="P2828" t="n">
        <v>0</v>
      </c>
      <c r="Q2828" t="n">
        <v>0</v>
      </c>
      <c r="R2828" s="2" t="inlineStr"/>
    </row>
    <row r="2829" ht="15" customHeight="1">
      <c r="A2829" t="inlineStr">
        <is>
          <t>A 16430-2023</t>
        </is>
      </c>
      <c r="B2829" s="1" t="n">
        <v>45029</v>
      </c>
      <c r="C2829" s="1" t="n">
        <v>45358</v>
      </c>
      <c r="D2829" t="inlineStr">
        <is>
          <t>HALLANDS LÄN</t>
        </is>
      </c>
      <c r="E2829" t="inlineStr">
        <is>
          <t>FALKENBERG</t>
        </is>
      </c>
      <c r="G2829" t="n">
        <v>1.5</v>
      </c>
      <c r="H2829" t="n">
        <v>0</v>
      </c>
      <c r="I2829" t="n">
        <v>0</v>
      </c>
      <c r="J2829" t="n">
        <v>0</v>
      </c>
      <c r="K2829" t="n">
        <v>0</v>
      </c>
      <c r="L2829" t="n">
        <v>0</v>
      </c>
      <c r="M2829" t="n">
        <v>0</v>
      </c>
      <c r="N2829" t="n">
        <v>0</v>
      </c>
      <c r="O2829" t="n">
        <v>0</v>
      </c>
      <c r="P2829" t="n">
        <v>0</v>
      </c>
      <c r="Q2829" t="n">
        <v>0</v>
      </c>
      <c r="R2829" s="2" t="inlineStr"/>
    </row>
    <row r="2830" ht="15" customHeight="1">
      <c r="A2830" t="inlineStr">
        <is>
          <t>A 16669-2023</t>
        </is>
      </c>
      <c r="B2830" s="1" t="n">
        <v>45030</v>
      </c>
      <c r="C2830" s="1" t="n">
        <v>45358</v>
      </c>
      <c r="D2830" t="inlineStr">
        <is>
          <t>HALLANDS LÄN</t>
        </is>
      </c>
      <c r="E2830" t="inlineStr">
        <is>
          <t>HYLTE</t>
        </is>
      </c>
      <c r="F2830" t="inlineStr">
        <is>
          <t>Bergvik skog väst AB</t>
        </is>
      </c>
      <c r="G2830" t="n">
        <v>6.2</v>
      </c>
      <c r="H2830" t="n">
        <v>0</v>
      </c>
      <c r="I2830" t="n">
        <v>0</v>
      </c>
      <c r="J2830" t="n">
        <v>0</v>
      </c>
      <c r="K2830" t="n">
        <v>0</v>
      </c>
      <c r="L2830" t="n">
        <v>0</v>
      </c>
      <c r="M2830" t="n">
        <v>0</v>
      </c>
      <c r="N2830" t="n">
        <v>0</v>
      </c>
      <c r="O2830" t="n">
        <v>0</v>
      </c>
      <c r="P2830" t="n">
        <v>0</v>
      </c>
      <c r="Q2830" t="n">
        <v>0</v>
      </c>
      <c r="R2830" s="2" t="inlineStr"/>
    </row>
    <row r="2831" ht="15" customHeight="1">
      <c r="A2831" t="inlineStr">
        <is>
          <t>A 16672-2023</t>
        </is>
      </c>
      <c r="B2831" s="1" t="n">
        <v>45030</v>
      </c>
      <c r="C2831" s="1" t="n">
        <v>45358</v>
      </c>
      <c r="D2831" t="inlineStr">
        <is>
          <t>HALLANDS LÄN</t>
        </is>
      </c>
      <c r="E2831" t="inlineStr">
        <is>
          <t>HYLTE</t>
        </is>
      </c>
      <c r="F2831" t="inlineStr">
        <is>
          <t>Bergvik skog väst AB</t>
        </is>
      </c>
      <c r="G2831" t="n">
        <v>1.1</v>
      </c>
      <c r="H2831" t="n">
        <v>0</v>
      </c>
      <c r="I2831" t="n">
        <v>0</v>
      </c>
      <c r="J2831" t="n">
        <v>0</v>
      </c>
      <c r="K2831" t="n">
        <v>0</v>
      </c>
      <c r="L2831" t="n">
        <v>0</v>
      </c>
      <c r="M2831" t="n">
        <v>0</v>
      </c>
      <c r="N2831" t="n">
        <v>0</v>
      </c>
      <c r="O2831" t="n">
        <v>0</v>
      </c>
      <c r="P2831" t="n">
        <v>0</v>
      </c>
      <c r="Q2831" t="n">
        <v>0</v>
      </c>
      <c r="R2831" s="2" t="inlineStr"/>
    </row>
    <row r="2832" ht="15" customHeight="1">
      <c r="A2832" t="inlineStr">
        <is>
          <t>A 17266-2023</t>
        </is>
      </c>
      <c r="B2832" s="1" t="n">
        <v>45035</v>
      </c>
      <c r="C2832" s="1" t="n">
        <v>45358</v>
      </c>
      <c r="D2832" t="inlineStr">
        <is>
          <t>HALLANDS LÄN</t>
        </is>
      </c>
      <c r="E2832" t="inlineStr">
        <is>
          <t>HALMSTAD</t>
        </is>
      </c>
      <c r="G2832" t="n">
        <v>1.1</v>
      </c>
      <c r="H2832" t="n">
        <v>0</v>
      </c>
      <c r="I2832" t="n">
        <v>0</v>
      </c>
      <c r="J2832" t="n">
        <v>0</v>
      </c>
      <c r="K2832" t="n">
        <v>0</v>
      </c>
      <c r="L2832" t="n">
        <v>0</v>
      </c>
      <c r="M2832" t="n">
        <v>0</v>
      </c>
      <c r="N2832" t="n">
        <v>0</v>
      </c>
      <c r="O2832" t="n">
        <v>0</v>
      </c>
      <c r="P2832" t="n">
        <v>0</v>
      </c>
      <c r="Q2832" t="n">
        <v>0</v>
      </c>
      <c r="R2832" s="2" t="inlineStr"/>
    </row>
    <row r="2833" ht="15" customHeight="1">
      <c r="A2833" t="inlineStr">
        <is>
          <t>A 17324-2023</t>
        </is>
      </c>
      <c r="B2833" s="1" t="n">
        <v>45035</v>
      </c>
      <c r="C2833" s="1" t="n">
        <v>45358</v>
      </c>
      <c r="D2833" t="inlineStr">
        <is>
          <t>HALLANDS LÄN</t>
        </is>
      </c>
      <c r="E2833" t="inlineStr">
        <is>
          <t>FALKENBERG</t>
        </is>
      </c>
      <c r="G2833" t="n">
        <v>2.7</v>
      </c>
      <c r="H2833" t="n">
        <v>0</v>
      </c>
      <c r="I2833" t="n">
        <v>0</v>
      </c>
      <c r="J2833" t="n">
        <v>0</v>
      </c>
      <c r="K2833" t="n">
        <v>0</v>
      </c>
      <c r="L2833" t="n">
        <v>0</v>
      </c>
      <c r="M2833" t="n">
        <v>0</v>
      </c>
      <c r="N2833" t="n">
        <v>0</v>
      </c>
      <c r="O2833" t="n">
        <v>0</v>
      </c>
      <c r="P2833" t="n">
        <v>0</v>
      </c>
      <c r="Q2833" t="n">
        <v>0</v>
      </c>
      <c r="R2833" s="2" t="inlineStr"/>
    </row>
    <row r="2834" ht="15" customHeight="1">
      <c r="A2834" t="inlineStr">
        <is>
          <t>A 17336-2023</t>
        </is>
      </c>
      <c r="B2834" s="1" t="n">
        <v>45035</v>
      </c>
      <c r="C2834" s="1" t="n">
        <v>45358</v>
      </c>
      <c r="D2834" t="inlineStr">
        <is>
          <t>HALLANDS LÄN</t>
        </is>
      </c>
      <c r="E2834" t="inlineStr">
        <is>
          <t>FALKENBERG</t>
        </is>
      </c>
      <c r="G2834" t="n">
        <v>1.8</v>
      </c>
      <c r="H2834" t="n">
        <v>0</v>
      </c>
      <c r="I2834" t="n">
        <v>0</v>
      </c>
      <c r="J2834" t="n">
        <v>0</v>
      </c>
      <c r="K2834" t="n">
        <v>0</v>
      </c>
      <c r="L2834" t="n">
        <v>0</v>
      </c>
      <c r="M2834" t="n">
        <v>0</v>
      </c>
      <c r="N2834" t="n">
        <v>0</v>
      </c>
      <c r="O2834" t="n">
        <v>0</v>
      </c>
      <c r="P2834" t="n">
        <v>0</v>
      </c>
      <c r="Q2834" t="n">
        <v>0</v>
      </c>
      <c r="R2834" s="2" t="inlineStr"/>
    </row>
    <row r="2835" ht="15" customHeight="1">
      <c r="A2835" t="inlineStr">
        <is>
          <t>A 17379-2023</t>
        </is>
      </c>
      <c r="B2835" s="1" t="n">
        <v>45035</v>
      </c>
      <c r="C2835" s="1" t="n">
        <v>45358</v>
      </c>
      <c r="D2835" t="inlineStr">
        <is>
          <t>HALLANDS LÄN</t>
        </is>
      </c>
      <c r="E2835" t="inlineStr">
        <is>
          <t>HYLTE</t>
        </is>
      </c>
      <c r="G2835" t="n">
        <v>1.3</v>
      </c>
      <c r="H2835" t="n">
        <v>0</v>
      </c>
      <c r="I2835" t="n">
        <v>0</v>
      </c>
      <c r="J2835" t="n">
        <v>0</v>
      </c>
      <c r="K2835" t="n">
        <v>0</v>
      </c>
      <c r="L2835" t="n">
        <v>0</v>
      </c>
      <c r="M2835" t="n">
        <v>0</v>
      </c>
      <c r="N2835" t="n">
        <v>0</v>
      </c>
      <c r="O2835" t="n">
        <v>0</v>
      </c>
      <c r="P2835" t="n">
        <v>0</v>
      </c>
      <c r="Q2835" t="n">
        <v>0</v>
      </c>
      <c r="R2835" s="2" t="inlineStr"/>
    </row>
    <row r="2836" ht="15" customHeight="1">
      <c r="A2836" t="inlineStr">
        <is>
          <t>A 17227-2023</t>
        </is>
      </c>
      <c r="B2836" s="1" t="n">
        <v>45035</v>
      </c>
      <c r="C2836" s="1" t="n">
        <v>45358</v>
      </c>
      <c r="D2836" t="inlineStr">
        <is>
          <t>HALLANDS LÄN</t>
        </is>
      </c>
      <c r="E2836" t="inlineStr">
        <is>
          <t>LAHOLM</t>
        </is>
      </c>
      <c r="G2836" t="n">
        <v>3</v>
      </c>
      <c r="H2836" t="n">
        <v>0</v>
      </c>
      <c r="I2836" t="n">
        <v>0</v>
      </c>
      <c r="J2836" t="n">
        <v>0</v>
      </c>
      <c r="K2836" t="n">
        <v>0</v>
      </c>
      <c r="L2836" t="n">
        <v>0</v>
      </c>
      <c r="M2836" t="n">
        <v>0</v>
      </c>
      <c r="N2836" t="n">
        <v>0</v>
      </c>
      <c r="O2836" t="n">
        <v>0</v>
      </c>
      <c r="P2836" t="n">
        <v>0</v>
      </c>
      <c r="Q2836" t="n">
        <v>0</v>
      </c>
      <c r="R2836" s="2" t="inlineStr"/>
    </row>
    <row r="2837" ht="15" customHeight="1">
      <c r="A2837" t="inlineStr">
        <is>
          <t>A 17376-2023</t>
        </is>
      </c>
      <c r="B2837" s="1" t="n">
        <v>45035</v>
      </c>
      <c r="C2837" s="1" t="n">
        <v>45358</v>
      </c>
      <c r="D2837" t="inlineStr">
        <is>
          <t>HALLANDS LÄN</t>
        </is>
      </c>
      <c r="E2837" t="inlineStr">
        <is>
          <t>FALKENBERG</t>
        </is>
      </c>
      <c r="G2837" t="n">
        <v>0.7</v>
      </c>
      <c r="H2837" t="n">
        <v>0</v>
      </c>
      <c r="I2837" t="n">
        <v>0</v>
      </c>
      <c r="J2837" t="n">
        <v>0</v>
      </c>
      <c r="K2837" t="n">
        <v>0</v>
      </c>
      <c r="L2837" t="n">
        <v>0</v>
      </c>
      <c r="M2837" t="n">
        <v>0</v>
      </c>
      <c r="N2837" t="n">
        <v>0</v>
      </c>
      <c r="O2837" t="n">
        <v>0</v>
      </c>
      <c r="P2837" t="n">
        <v>0</v>
      </c>
      <c r="Q2837" t="n">
        <v>0</v>
      </c>
      <c r="R2837" s="2" t="inlineStr"/>
    </row>
    <row r="2838" ht="15" customHeight="1">
      <c r="A2838" t="inlineStr">
        <is>
          <t>A 17381-2023</t>
        </is>
      </c>
      <c r="B2838" s="1" t="n">
        <v>45035</v>
      </c>
      <c r="C2838" s="1" t="n">
        <v>45358</v>
      </c>
      <c r="D2838" t="inlineStr">
        <is>
          <t>HALLANDS LÄN</t>
        </is>
      </c>
      <c r="E2838" t="inlineStr">
        <is>
          <t>HYLTE</t>
        </is>
      </c>
      <c r="G2838" t="n">
        <v>1.8</v>
      </c>
      <c r="H2838" t="n">
        <v>0</v>
      </c>
      <c r="I2838" t="n">
        <v>0</v>
      </c>
      <c r="J2838" t="n">
        <v>0</v>
      </c>
      <c r="K2838" t="n">
        <v>0</v>
      </c>
      <c r="L2838" t="n">
        <v>0</v>
      </c>
      <c r="M2838" t="n">
        <v>0</v>
      </c>
      <c r="N2838" t="n">
        <v>0</v>
      </c>
      <c r="O2838" t="n">
        <v>0</v>
      </c>
      <c r="P2838" t="n">
        <v>0</v>
      </c>
      <c r="Q2838" t="n">
        <v>0</v>
      </c>
      <c r="R2838" s="2" t="inlineStr"/>
    </row>
    <row r="2839" ht="15" customHeight="1">
      <c r="A2839" t="inlineStr">
        <is>
          <t>A 17226-2023</t>
        </is>
      </c>
      <c r="B2839" s="1" t="n">
        <v>45035</v>
      </c>
      <c r="C2839" s="1" t="n">
        <v>45358</v>
      </c>
      <c r="D2839" t="inlineStr">
        <is>
          <t>HALLANDS LÄN</t>
        </is>
      </c>
      <c r="E2839" t="inlineStr">
        <is>
          <t>LAHOLM</t>
        </is>
      </c>
      <c r="G2839" t="n">
        <v>2.1</v>
      </c>
      <c r="H2839" t="n">
        <v>0</v>
      </c>
      <c r="I2839" t="n">
        <v>0</v>
      </c>
      <c r="J2839" t="n">
        <v>0</v>
      </c>
      <c r="K2839" t="n">
        <v>0</v>
      </c>
      <c r="L2839" t="n">
        <v>0</v>
      </c>
      <c r="M2839" t="n">
        <v>0</v>
      </c>
      <c r="N2839" t="n">
        <v>0</v>
      </c>
      <c r="O2839" t="n">
        <v>0</v>
      </c>
      <c r="P2839" t="n">
        <v>0</v>
      </c>
      <c r="Q2839" t="n">
        <v>0</v>
      </c>
      <c r="R2839" s="2" t="inlineStr"/>
    </row>
    <row r="2840" ht="15" customHeight="1">
      <c r="A2840" t="inlineStr">
        <is>
          <t>A 17259-2023</t>
        </is>
      </c>
      <c r="B2840" s="1" t="n">
        <v>45035</v>
      </c>
      <c r="C2840" s="1" t="n">
        <v>45358</v>
      </c>
      <c r="D2840" t="inlineStr">
        <is>
          <t>HALLANDS LÄN</t>
        </is>
      </c>
      <c r="E2840" t="inlineStr">
        <is>
          <t>LAHOLM</t>
        </is>
      </c>
      <c r="G2840" t="n">
        <v>2.4</v>
      </c>
      <c r="H2840" t="n">
        <v>0</v>
      </c>
      <c r="I2840" t="n">
        <v>0</v>
      </c>
      <c r="J2840" t="n">
        <v>0</v>
      </c>
      <c r="K2840" t="n">
        <v>0</v>
      </c>
      <c r="L2840" t="n">
        <v>0</v>
      </c>
      <c r="M2840" t="n">
        <v>0</v>
      </c>
      <c r="N2840" t="n">
        <v>0</v>
      </c>
      <c r="O2840" t="n">
        <v>0</v>
      </c>
      <c r="P2840" t="n">
        <v>0</v>
      </c>
      <c r="Q2840" t="n">
        <v>0</v>
      </c>
      <c r="R2840" s="2" t="inlineStr"/>
    </row>
    <row r="2841" ht="15" customHeight="1">
      <c r="A2841" t="inlineStr">
        <is>
          <t>A 17326-2023</t>
        </is>
      </c>
      <c r="B2841" s="1" t="n">
        <v>45035</v>
      </c>
      <c r="C2841" s="1" t="n">
        <v>45358</v>
      </c>
      <c r="D2841" t="inlineStr">
        <is>
          <t>HALLANDS LÄN</t>
        </is>
      </c>
      <c r="E2841" t="inlineStr">
        <is>
          <t>FALKENBERG</t>
        </is>
      </c>
      <c r="G2841" t="n">
        <v>2.3</v>
      </c>
      <c r="H2841" t="n">
        <v>0</v>
      </c>
      <c r="I2841" t="n">
        <v>0</v>
      </c>
      <c r="J2841" t="n">
        <v>0</v>
      </c>
      <c r="K2841" t="n">
        <v>0</v>
      </c>
      <c r="L2841" t="n">
        <v>0</v>
      </c>
      <c r="M2841" t="n">
        <v>0</v>
      </c>
      <c r="N2841" t="n">
        <v>0</v>
      </c>
      <c r="O2841" t="n">
        <v>0</v>
      </c>
      <c r="P2841" t="n">
        <v>0</v>
      </c>
      <c r="Q2841" t="n">
        <v>0</v>
      </c>
      <c r="R2841" s="2" t="inlineStr"/>
    </row>
    <row r="2842" ht="15" customHeight="1">
      <c r="A2842" t="inlineStr">
        <is>
          <t>A 17375-2023</t>
        </is>
      </c>
      <c r="B2842" s="1" t="n">
        <v>45035</v>
      </c>
      <c r="C2842" s="1" t="n">
        <v>45358</v>
      </c>
      <c r="D2842" t="inlineStr">
        <is>
          <t>HALLANDS LÄN</t>
        </is>
      </c>
      <c r="E2842" t="inlineStr">
        <is>
          <t>FALKENBERG</t>
        </is>
      </c>
      <c r="G2842" t="n">
        <v>1.2</v>
      </c>
      <c r="H2842" t="n">
        <v>0</v>
      </c>
      <c r="I2842" t="n">
        <v>0</v>
      </c>
      <c r="J2842" t="n">
        <v>0</v>
      </c>
      <c r="K2842" t="n">
        <v>0</v>
      </c>
      <c r="L2842" t="n">
        <v>0</v>
      </c>
      <c r="M2842" t="n">
        <v>0</v>
      </c>
      <c r="N2842" t="n">
        <v>0</v>
      </c>
      <c r="O2842" t="n">
        <v>0</v>
      </c>
      <c r="P2842" t="n">
        <v>0</v>
      </c>
      <c r="Q2842" t="n">
        <v>0</v>
      </c>
      <c r="R2842" s="2" t="inlineStr"/>
    </row>
    <row r="2843" ht="15" customHeight="1">
      <c r="A2843" t="inlineStr">
        <is>
          <t>A 17261-2023</t>
        </is>
      </c>
      <c r="B2843" s="1" t="n">
        <v>45035</v>
      </c>
      <c r="C2843" s="1" t="n">
        <v>45358</v>
      </c>
      <c r="D2843" t="inlineStr">
        <is>
          <t>HALLANDS LÄN</t>
        </is>
      </c>
      <c r="E2843" t="inlineStr">
        <is>
          <t>HALMSTAD</t>
        </is>
      </c>
      <c r="G2843" t="n">
        <v>1.2</v>
      </c>
      <c r="H2843" t="n">
        <v>0</v>
      </c>
      <c r="I2843" t="n">
        <v>0</v>
      </c>
      <c r="J2843" t="n">
        <v>0</v>
      </c>
      <c r="K2843" t="n">
        <v>0</v>
      </c>
      <c r="L2843" t="n">
        <v>0</v>
      </c>
      <c r="M2843" t="n">
        <v>0</v>
      </c>
      <c r="N2843" t="n">
        <v>0</v>
      </c>
      <c r="O2843" t="n">
        <v>0</v>
      </c>
      <c r="P2843" t="n">
        <v>0</v>
      </c>
      <c r="Q2843" t="n">
        <v>0</v>
      </c>
      <c r="R2843" s="2" t="inlineStr"/>
    </row>
    <row r="2844" ht="15" customHeight="1">
      <c r="A2844" t="inlineStr">
        <is>
          <t>A 17401-2023</t>
        </is>
      </c>
      <c r="B2844" s="1" t="n">
        <v>45035</v>
      </c>
      <c r="C2844" s="1" t="n">
        <v>45358</v>
      </c>
      <c r="D2844" t="inlineStr">
        <is>
          <t>HALLANDS LÄN</t>
        </is>
      </c>
      <c r="E2844" t="inlineStr">
        <is>
          <t>KUNGSBACKA</t>
        </is>
      </c>
      <c r="G2844" t="n">
        <v>0.5</v>
      </c>
      <c r="H2844" t="n">
        <v>0</v>
      </c>
      <c r="I2844" t="n">
        <v>0</v>
      </c>
      <c r="J2844" t="n">
        <v>0</v>
      </c>
      <c r="K2844" t="n">
        <v>0</v>
      </c>
      <c r="L2844" t="n">
        <v>0</v>
      </c>
      <c r="M2844" t="n">
        <v>0</v>
      </c>
      <c r="N2844" t="n">
        <v>0</v>
      </c>
      <c r="O2844" t="n">
        <v>0</v>
      </c>
      <c r="P2844" t="n">
        <v>0</v>
      </c>
      <c r="Q2844" t="n">
        <v>0</v>
      </c>
      <c r="R2844" s="2" t="inlineStr"/>
    </row>
    <row r="2845" ht="15" customHeight="1">
      <c r="A2845" t="inlineStr">
        <is>
          <t>A 17382-2023</t>
        </is>
      </c>
      <c r="B2845" s="1" t="n">
        <v>45035</v>
      </c>
      <c r="C2845" s="1" t="n">
        <v>45358</v>
      </c>
      <c r="D2845" t="inlineStr">
        <is>
          <t>HALLANDS LÄN</t>
        </is>
      </c>
      <c r="E2845" t="inlineStr">
        <is>
          <t>FALKENBERG</t>
        </is>
      </c>
      <c r="G2845" t="n">
        <v>0.7</v>
      </c>
      <c r="H2845" t="n">
        <v>0</v>
      </c>
      <c r="I2845" t="n">
        <v>0</v>
      </c>
      <c r="J2845" t="n">
        <v>0</v>
      </c>
      <c r="K2845" t="n">
        <v>0</v>
      </c>
      <c r="L2845" t="n">
        <v>0</v>
      </c>
      <c r="M2845" t="n">
        <v>0</v>
      </c>
      <c r="N2845" t="n">
        <v>0</v>
      </c>
      <c r="O2845" t="n">
        <v>0</v>
      </c>
      <c r="P2845" t="n">
        <v>0</v>
      </c>
      <c r="Q2845" t="n">
        <v>0</v>
      </c>
      <c r="R2845" s="2" t="inlineStr"/>
    </row>
    <row r="2846" ht="15" customHeight="1">
      <c r="A2846" t="inlineStr">
        <is>
          <t>A 17450-2023</t>
        </is>
      </c>
      <c r="B2846" s="1" t="n">
        <v>45036</v>
      </c>
      <c r="C2846" s="1" t="n">
        <v>45358</v>
      </c>
      <c r="D2846" t="inlineStr">
        <is>
          <t>HALLANDS LÄN</t>
        </is>
      </c>
      <c r="E2846" t="inlineStr">
        <is>
          <t>FALKENBERG</t>
        </is>
      </c>
      <c r="G2846" t="n">
        <v>1.7</v>
      </c>
      <c r="H2846" t="n">
        <v>0</v>
      </c>
      <c r="I2846" t="n">
        <v>0</v>
      </c>
      <c r="J2846" t="n">
        <v>0</v>
      </c>
      <c r="K2846" t="n">
        <v>0</v>
      </c>
      <c r="L2846" t="n">
        <v>0</v>
      </c>
      <c r="M2846" t="n">
        <v>0</v>
      </c>
      <c r="N2846" t="n">
        <v>0</v>
      </c>
      <c r="O2846" t="n">
        <v>0</v>
      </c>
      <c r="P2846" t="n">
        <v>0</v>
      </c>
      <c r="Q2846" t="n">
        <v>0</v>
      </c>
      <c r="R2846" s="2" t="inlineStr"/>
    </row>
    <row r="2847" ht="15" customHeight="1">
      <c r="A2847" t="inlineStr">
        <is>
          <t>A 17510-2023</t>
        </is>
      </c>
      <c r="B2847" s="1" t="n">
        <v>45036</v>
      </c>
      <c r="C2847" s="1" t="n">
        <v>45358</v>
      </c>
      <c r="D2847" t="inlineStr">
        <is>
          <t>HALLANDS LÄN</t>
        </is>
      </c>
      <c r="E2847" t="inlineStr">
        <is>
          <t>LAHOLM</t>
        </is>
      </c>
      <c r="F2847" t="inlineStr">
        <is>
          <t>Sveaskog</t>
        </is>
      </c>
      <c r="G2847" t="n">
        <v>2.7</v>
      </c>
      <c r="H2847" t="n">
        <v>0</v>
      </c>
      <c r="I2847" t="n">
        <v>0</v>
      </c>
      <c r="J2847" t="n">
        <v>0</v>
      </c>
      <c r="K2847" t="n">
        <v>0</v>
      </c>
      <c r="L2847" t="n">
        <v>0</v>
      </c>
      <c r="M2847" t="n">
        <v>0</v>
      </c>
      <c r="N2847" t="n">
        <v>0</v>
      </c>
      <c r="O2847" t="n">
        <v>0</v>
      </c>
      <c r="P2847" t="n">
        <v>0</v>
      </c>
      <c r="Q2847" t="n">
        <v>0</v>
      </c>
      <c r="R2847" s="2" t="inlineStr"/>
    </row>
    <row r="2848" ht="15" customHeight="1">
      <c r="A2848" t="inlineStr">
        <is>
          <t>A 17621-2023</t>
        </is>
      </c>
      <c r="B2848" s="1" t="n">
        <v>45036</v>
      </c>
      <c r="C2848" s="1" t="n">
        <v>45358</v>
      </c>
      <c r="D2848" t="inlineStr">
        <is>
          <t>HALLANDS LÄN</t>
        </is>
      </c>
      <c r="E2848" t="inlineStr">
        <is>
          <t>KUNGSBACKA</t>
        </is>
      </c>
      <c r="G2848" t="n">
        <v>1.1</v>
      </c>
      <c r="H2848" t="n">
        <v>0</v>
      </c>
      <c r="I2848" t="n">
        <v>0</v>
      </c>
      <c r="J2848" t="n">
        <v>0</v>
      </c>
      <c r="K2848" t="n">
        <v>0</v>
      </c>
      <c r="L2848" t="n">
        <v>0</v>
      </c>
      <c r="M2848" t="n">
        <v>0</v>
      </c>
      <c r="N2848" t="n">
        <v>0</v>
      </c>
      <c r="O2848" t="n">
        <v>0</v>
      </c>
      <c r="P2848" t="n">
        <v>0</v>
      </c>
      <c r="Q2848" t="n">
        <v>0</v>
      </c>
      <c r="R2848" s="2" t="inlineStr"/>
    </row>
    <row r="2849" ht="15" customHeight="1">
      <c r="A2849" t="inlineStr">
        <is>
          <t>A 17744-2023</t>
        </is>
      </c>
      <c r="B2849" s="1" t="n">
        <v>45037</v>
      </c>
      <c r="C2849" s="1" t="n">
        <v>45358</v>
      </c>
      <c r="D2849" t="inlineStr">
        <is>
          <t>HALLANDS LÄN</t>
        </is>
      </c>
      <c r="E2849" t="inlineStr">
        <is>
          <t>FALKENBERG</t>
        </is>
      </c>
      <c r="G2849" t="n">
        <v>0.5</v>
      </c>
      <c r="H2849" t="n">
        <v>0</v>
      </c>
      <c r="I2849" t="n">
        <v>0</v>
      </c>
      <c r="J2849" t="n">
        <v>0</v>
      </c>
      <c r="K2849" t="n">
        <v>0</v>
      </c>
      <c r="L2849" t="n">
        <v>0</v>
      </c>
      <c r="M2849" t="n">
        <v>0</v>
      </c>
      <c r="N2849" t="n">
        <v>0</v>
      </c>
      <c r="O2849" t="n">
        <v>0</v>
      </c>
      <c r="P2849" t="n">
        <v>0</v>
      </c>
      <c r="Q2849" t="n">
        <v>0</v>
      </c>
      <c r="R2849" s="2" t="inlineStr"/>
    </row>
    <row r="2850" ht="15" customHeight="1">
      <c r="A2850" t="inlineStr">
        <is>
          <t>A 17745-2023</t>
        </is>
      </c>
      <c r="B2850" s="1" t="n">
        <v>45037</v>
      </c>
      <c r="C2850" s="1" t="n">
        <v>45358</v>
      </c>
      <c r="D2850" t="inlineStr">
        <is>
          <t>HALLANDS LÄN</t>
        </is>
      </c>
      <c r="E2850" t="inlineStr">
        <is>
          <t>FALKENBERG</t>
        </is>
      </c>
      <c r="G2850" t="n">
        <v>1.3</v>
      </c>
      <c r="H2850" t="n">
        <v>0</v>
      </c>
      <c r="I2850" t="n">
        <v>0</v>
      </c>
      <c r="J2850" t="n">
        <v>0</v>
      </c>
      <c r="K2850" t="n">
        <v>0</v>
      </c>
      <c r="L2850" t="n">
        <v>0</v>
      </c>
      <c r="M2850" t="n">
        <v>0</v>
      </c>
      <c r="N2850" t="n">
        <v>0</v>
      </c>
      <c r="O2850" t="n">
        <v>0</v>
      </c>
      <c r="P2850" t="n">
        <v>0</v>
      </c>
      <c r="Q2850" t="n">
        <v>0</v>
      </c>
      <c r="R2850" s="2" t="inlineStr"/>
    </row>
    <row r="2851" ht="15" customHeight="1">
      <c r="A2851" t="inlineStr">
        <is>
          <t>A 17832-2023</t>
        </is>
      </c>
      <c r="B2851" s="1" t="n">
        <v>45037</v>
      </c>
      <c r="C2851" s="1" t="n">
        <v>45358</v>
      </c>
      <c r="D2851" t="inlineStr">
        <is>
          <t>HALLANDS LÄN</t>
        </is>
      </c>
      <c r="E2851" t="inlineStr">
        <is>
          <t>HYLTE</t>
        </is>
      </c>
      <c r="G2851" t="n">
        <v>2.1</v>
      </c>
      <c r="H2851" t="n">
        <v>0</v>
      </c>
      <c r="I2851" t="n">
        <v>0</v>
      </c>
      <c r="J2851" t="n">
        <v>0</v>
      </c>
      <c r="K2851" t="n">
        <v>0</v>
      </c>
      <c r="L2851" t="n">
        <v>0</v>
      </c>
      <c r="M2851" t="n">
        <v>0</v>
      </c>
      <c r="N2851" t="n">
        <v>0</v>
      </c>
      <c r="O2851" t="n">
        <v>0</v>
      </c>
      <c r="P2851" t="n">
        <v>0</v>
      </c>
      <c r="Q2851" t="n">
        <v>0</v>
      </c>
      <c r="R2851" s="2" t="inlineStr"/>
    </row>
    <row r="2852" ht="15" customHeight="1">
      <c r="A2852" t="inlineStr">
        <is>
          <t>A 17852-2023</t>
        </is>
      </c>
      <c r="B2852" s="1" t="n">
        <v>45037</v>
      </c>
      <c r="C2852" s="1" t="n">
        <v>45358</v>
      </c>
      <c r="D2852" t="inlineStr">
        <is>
          <t>HALLANDS LÄN</t>
        </is>
      </c>
      <c r="E2852" t="inlineStr">
        <is>
          <t>LAHOLM</t>
        </is>
      </c>
      <c r="G2852" t="n">
        <v>4.2</v>
      </c>
      <c r="H2852" t="n">
        <v>0</v>
      </c>
      <c r="I2852" t="n">
        <v>0</v>
      </c>
      <c r="J2852" t="n">
        <v>0</v>
      </c>
      <c r="K2852" t="n">
        <v>0</v>
      </c>
      <c r="L2852" t="n">
        <v>0</v>
      </c>
      <c r="M2852" t="n">
        <v>0</v>
      </c>
      <c r="N2852" t="n">
        <v>0</v>
      </c>
      <c r="O2852" t="n">
        <v>0</v>
      </c>
      <c r="P2852" t="n">
        <v>0</v>
      </c>
      <c r="Q2852" t="n">
        <v>0</v>
      </c>
      <c r="R2852" s="2" t="inlineStr"/>
    </row>
    <row r="2853" ht="15" customHeight="1">
      <c r="A2853" t="inlineStr">
        <is>
          <t>A 17891-2023</t>
        </is>
      </c>
      <c r="B2853" s="1" t="n">
        <v>45039</v>
      </c>
      <c r="C2853" s="1" t="n">
        <v>45358</v>
      </c>
      <c r="D2853" t="inlineStr">
        <is>
          <t>HALLANDS LÄN</t>
        </is>
      </c>
      <c r="E2853" t="inlineStr">
        <is>
          <t>VARBERG</t>
        </is>
      </c>
      <c r="G2853" t="n">
        <v>0.5</v>
      </c>
      <c r="H2853" t="n">
        <v>0</v>
      </c>
      <c r="I2853" t="n">
        <v>0</v>
      </c>
      <c r="J2853" t="n">
        <v>0</v>
      </c>
      <c r="K2853" t="n">
        <v>0</v>
      </c>
      <c r="L2853" t="n">
        <v>0</v>
      </c>
      <c r="M2853" t="n">
        <v>0</v>
      </c>
      <c r="N2853" t="n">
        <v>0</v>
      </c>
      <c r="O2853" t="n">
        <v>0</v>
      </c>
      <c r="P2853" t="n">
        <v>0</v>
      </c>
      <c r="Q2853" t="n">
        <v>0</v>
      </c>
      <c r="R2853" s="2" t="inlineStr"/>
    </row>
    <row r="2854" ht="15" customHeight="1">
      <c r="A2854" t="inlineStr">
        <is>
          <t>A 17906-2023</t>
        </is>
      </c>
      <c r="B2854" s="1" t="n">
        <v>45040</v>
      </c>
      <c r="C2854" s="1" t="n">
        <v>45358</v>
      </c>
      <c r="D2854" t="inlineStr">
        <is>
          <t>HALLANDS LÄN</t>
        </is>
      </c>
      <c r="E2854" t="inlineStr">
        <is>
          <t>LAHOLM</t>
        </is>
      </c>
      <c r="G2854" t="n">
        <v>2</v>
      </c>
      <c r="H2854" t="n">
        <v>0</v>
      </c>
      <c r="I2854" t="n">
        <v>0</v>
      </c>
      <c r="J2854" t="n">
        <v>0</v>
      </c>
      <c r="K2854" t="n">
        <v>0</v>
      </c>
      <c r="L2854" t="n">
        <v>0</v>
      </c>
      <c r="M2854" t="n">
        <v>0</v>
      </c>
      <c r="N2854" t="n">
        <v>0</v>
      </c>
      <c r="O2854" t="n">
        <v>0</v>
      </c>
      <c r="P2854" t="n">
        <v>0</v>
      </c>
      <c r="Q2854" t="n">
        <v>0</v>
      </c>
      <c r="R2854" s="2" t="inlineStr"/>
    </row>
    <row r="2855" ht="15" customHeight="1">
      <c r="A2855" t="inlineStr">
        <is>
          <t>A 17918-2023</t>
        </is>
      </c>
      <c r="B2855" s="1" t="n">
        <v>45040</v>
      </c>
      <c r="C2855" s="1" t="n">
        <v>45358</v>
      </c>
      <c r="D2855" t="inlineStr">
        <is>
          <t>HALLANDS LÄN</t>
        </is>
      </c>
      <c r="E2855" t="inlineStr">
        <is>
          <t>FALKENBERG</t>
        </is>
      </c>
      <c r="G2855" t="n">
        <v>3.5</v>
      </c>
      <c r="H2855" t="n">
        <v>0</v>
      </c>
      <c r="I2855" t="n">
        <v>0</v>
      </c>
      <c r="J2855" t="n">
        <v>0</v>
      </c>
      <c r="K2855" t="n">
        <v>0</v>
      </c>
      <c r="L2855" t="n">
        <v>0</v>
      </c>
      <c r="M2855" t="n">
        <v>0</v>
      </c>
      <c r="N2855" t="n">
        <v>0</v>
      </c>
      <c r="O2855" t="n">
        <v>0</v>
      </c>
      <c r="P2855" t="n">
        <v>0</v>
      </c>
      <c r="Q2855" t="n">
        <v>0</v>
      </c>
      <c r="R2855" s="2" t="inlineStr"/>
    </row>
    <row r="2856" ht="15" customHeight="1">
      <c r="A2856" t="inlineStr">
        <is>
          <t>A 17962-2023</t>
        </is>
      </c>
      <c r="B2856" s="1" t="n">
        <v>45040</v>
      </c>
      <c r="C2856" s="1" t="n">
        <v>45358</v>
      </c>
      <c r="D2856" t="inlineStr">
        <is>
          <t>HALLANDS LÄN</t>
        </is>
      </c>
      <c r="E2856" t="inlineStr">
        <is>
          <t>FALKENBERG</t>
        </is>
      </c>
      <c r="G2856" t="n">
        <v>0.6</v>
      </c>
      <c r="H2856" t="n">
        <v>0</v>
      </c>
      <c r="I2856" t="n">
        <v>0</v>
      </c>
      <c r="J2856" t="n">
        <v>0</v>
      </c>
      <c r="K2856" t="n">
        <v>0</v>
      </c>
      <c r="L2856" t="n">
        <v>0</v>
      </c>
      <c r="M2856" t="n">
        <v>0</v>
      </c>
      <c r="N2856" t="n">
        <v>0</v>
      </c>
      <c r="O2856" t="n">
        <v>0</v>
      </c>
      <c r="P2856" t="n">
        <v>0</v>
      </c>
      <c r="Q2856" t="n">
        <v>0</v>
      </c>
      <c r="R2856" s="2" t="inlineStr"/>
    </row>
    <row r="2857" ht="15" customHeight="1">
      <c r="A2857" t="inlineStr">
        <is>
          <t>A 17985-2023</t>
        </is>
      </c>
      <c r="B2857" s="1" t="n">
        <v>45040</v>
      </c>
      <c r="C2857" s="1" t="n">
        <v>45358</v>
      </c>
      <c r="D2857" t="inlineStr">
        <is>
          <t>HALLANDS LÄN</t>
        </is>
      </c>
      <c r="E2857" t="inlineStr">
        <is>
          <t>HYLTE</t>
        </is>
      </c>
      <c r="G2857" t="n">
        <v>5</v>
      </c>
      <c r="H2857" t="n">
        <v>0</v>
      </c>
      <c r="I2857" t="n">
        <v>0</v>
      </c>
      <c r="J2857" t="n">
        <v>0</v>
      </c>
      <c r="K2857" t="n">
        <v>0</v>
      </c>
      <c r="L2857" t="n">
        <v>0</v>
      </c>
      <c r="M2857" t="n">
        <v>0</v>
      </c>
      <c r="N2857" t="n">
        <v>0</v>
      </c>
      <c r="O2857" t="n">
        <v>0</v>
      </c>
      <c r="P2857" t="n">
        <v>0</v>
      </c>
      <c r="Q2857" t="n">
        <v>0</v>
      </c>
      <c r="R2857" s="2" t="inlineStr"/>
    </row>
    <row r="2858" ht="15" customHeight="1">
      <c r="A2858" t="inlineStr">
        <is>
          <t>A 17987-2023</t>
        </is>
      </c>
      <c r="B2858" s="1" t="n">
        <v>45040</v>
      </c>
      <c r="C2858" s="1" t="n">
        <v>45358</v>
      </c>
      <c r="D2858" t="inlineStr">
        <is>
          <t>HALLANDS LÄN</t>
        </is>
      </c>
      <c r="E2858" t="inlineStr">
        <is>
          <t>FALKENBERG</t>
        </is>
      </c>
      <c r="G2858" t="n">
        <v>0.7</v>
      </c>
      <c r="H2858" t="n">
        <v>0</v>
      </c>
      <c r="I2858" t="n">
        <v>0</v>
      </c>
      <c r="J2858" t="n">
        <v>0</v>
      </c>
      <c r="K2858" t="n">
        <v>0</v>
      </c>
      <c r="L2858" t="n">
        <v>0</v>
      </c>
      <c r="M2858" t="n">
        <v>0</v>
      </c>
      <c r="N2858" t="n">
        <v>0</v>
      </c>
      <c r="O2858" t="n">
        <v>0</v>
      </c>
      <c r="P2858" t="n">
        <v>0</v>
      </c>
      <c r="Q2858" t="n">
        <v>0</v>
      </c>
      <c r="R2858" s="2" t="inlineStr"/>
    </row>
    <row r="2859" ht="15" customHeight="1">
      <c r="A2859" t="inlineStr">
        <is>
          <t>A 18427-2023</t>
        </is>
      </c>
      <c r="B2859" s="1" t="n">
        <v>45042</v>
      </c>
      <c r="C2859" s="1" t="n">
        <v>45358</v>
      </c>
      <c r="D2859" t="inlineStr">
        <is>
          <t>HALLANDS LÄN</t>
        </is>
      </c>
      <c r="E2859" t="inlineStr">
        <is>
          <t>HALMSTAD</t>
        </is>
      </c>
      <c r="G2859" t="n">
        <v>18.2</v>
      </c>
      <c r="H2859" t="n">
        <v>0</v>
      </c>
      <c r="I2859" t="n">
        <v>0</v>
      </c>
      <c r="J2859" t="n">
        <v>0</v>
      </c>
      <c r="K2859" t="n">
        <v>0</v>
      </c>
      <c r="L2859" t="n">
        <v>0</v>
      </c>
      <c r="M2859" t="n">
        <v>0</v>
      </c>
      <c r="N2859" t="n">
        <v>0</v>
      </c>
      <c r="O2859" t="n">
        <v>0</v>
      </c>
      <c r="P2859" t="n">
        <v>0</v>
      </c>
      <c r="Q2859" t="n">
        <v>0</v>
      </c>
      <c r="R2859" s="2" t="inlineStr"/>
    </row>
    <row r="2860" ht="15" customHeight="1">
      <c r="A2860" t="inlineStr">
        <is>
          <t>A 18489-2023</t>
        </is>
      </c>
      <c r="B2860" s="1" t="n">
        <v>45042</v>
      </c>
      <c r="C2860" s="1" t="n">
        <v>45358</v>
      </c>
      <c r="D2860" t="inlineStr">
        <is>
          <t>HALLANDS LÄN</t>
        </is>
      </c>
      <c r="E2860" t="inlineStr">
        <is>
          <t>HYLTE</t>
        </is>
      </c>
      <c r="G2860" t="n">
        <v>0.6</v>
      </c>
      <c r="H2860" t="n">
        <v>0</v>
      </c>
      <c r="I2860" t="n">
        <v>0</v>
      </c>
      <c r="J2860" t="n">
        <v>0</v>
      </c>
      <c r="K2860" t="n">
        <v>0</v>
      </c>
      <c r="L2860" t="n">
        <v>0</v>
      </c>
      <c r="M2860" t="n">
        <v>0</v>
      </c>
      <c r="N2860" t="n">
        <v>0</v>
      </c>
      <c r="O2860" t="n">
        <v>0</v>
      </c>
      <c r="P2860" t="n">
        <v>0</v>
      </c>
      <c r="Q2860" t="n">
        <v>0</v>
      </c>
      <c r="R2860" s="2" t="inlineStr"/>
    </row>
    <row r="2861" ht="15" customHeight="1">
      <c r="A2861" t="inlineStr">
        <is>
          <t>A 18545-2023</t>
        </is>
      </c>
      <c r="B2861" s="1" t="n">
        <v>45042</v>
      </c>
      <c r="C2861" s="1" t="n">
        <v>45358</v>
      </c>
      <c r="D2861" t="inlineStr">
        <is>
          <t>HALLANDS LÄN</t>
        </is>
      </c>
      <c r="E2861" t="inlineStr">
        <is>
          <t>KUNGSBACKA</t>
        </is>
      </c>
      <c r="G2861" t="n">
        <v>3.7</v>
      </c>
      <c r="H2861" t="n">
        <v>0</v>
      </c>
      <c r="I2861" t="n">
        <v>0</v>
      </c>
      <c r="J2861" t="n">
        <v>0</v>
      </c>
      <c r="K2861" t="n">
        <v>0</v>
      </c>
      <c r="L2861" t="n">
        <v>0</v>
      </c>
      <c r="M2861" t="n">
        <v>0</v>
      </c>
      <c r="N2861" t="n">
        <v>0</v>
      </c>
      <c r="O2861" t="n">
        <v>0</v>
      </c>
      <c r="P2861" t="n">
        <v>0</v>
      </c>
      <c r="Q2861" t="n">
        <v>0</v>
      </c>
      <c r="R2861" s="2" t="inlineStr"/>
    </row>
    <row r="2862" ht="15" customHeight="1">
      <c r="A2862" t="inlineStr">
        <is>
          <t>A 18547-2023</t>
        </is>
      </c>
      <c r="B2862" s="1" t="n">
        <v>45042</v>
      </c>
      <c r="C2862" s="1" t="n">
        <v>45358</v>
      </c>
      <c r="D2862" t="inlineStr">
        <is>
          <t>HALLANDS LÄN</t>
        </is>
      </c>
      <c r="E2862" t="inlineStr">
        <is>
          <t>KUNGSBACKA</t>
        </is>
      </c>
      <c r="G2862" t="n">
        <v>0.5</v>
      </c>
      <c r="H2862" t="n">
        <v>0</v>
      </c>
      <c r="I2862" t="n">
        <v>0</v>
      </c>
      <c r="J2862" t="n">
        <v>0</v>
      </c>
      <c r="K2862" t="n">
        <v>0</v>
      </c>
      <c r="L2862" t="n">
        <v>0</v>
      </c>
      <c r="M2862" t="n">
        <v>0</v>
      </c>
      <c r="N2862" t="n">
        <v>0</v>
      </c>
      <c r="O2862" t="n">
        <v>0</v>
      </c>
      <c r="P2862" t="n">
        <v>0</v>
      </c>
      <c r="Q2862" t="n">
        <v>0</v>
      </c>
      <c r="R2862" s="2" t="inlineStr"/>
    </row>
    <row r="2863" ht="15" customHeight="1">
      <c r="A2863" t="inlineStr">
        <is>
          <t>A 18546-2023</t>
        </is>
      </c>
      <c r="B2863" s="1" t="n">
        <v>45042</v>
      </c>
      <c r="C2863" s="1" t="n">
        <v>45358</v>
      </c>
      <c r="D2863" t="inlineStr">
        <is>
          <t>HALLANDS LÄN</t>
        </is>
      </c>
      <c r="E2863" t="inlineStr">
        <is>
          <t>KUNGSBACKA</t>
        </is>
      </c>
      <c r="G2863" t="n">
        <v>2.4</v>
      </c>
      <c r="H2863" t="n">
        <v>0</v>
      </c>
      <c r="I2863" t="n">
        <v>0</v>
      </c>
      <c r="J2863" t="n">
        <v>0</v>
      </c>
      <c r="K2863" t="n">
        <v>0</v>
      </c>
      <c r="L2863" t="n">
        <v>0</v>
      </c>
      <c r="M2863" t="n">
        <v>0</v>
      </c>
      <c r="N2863" t="n">
        <v>0</v>
      </c>
      <c r="O2863" t="n">
        <v>0</v>
      </c>
      <c r="P2863" t="n">
        <v>0</v>
      </c>
      <c r="Q2863" t="n">
        <v>0</v>
      </c>
      <c r="R2863" s="2" t="inlineStr"/>
    </row>
    <row r="2864" ht="15" customHeight="1">
      <c r="A2864" t="inlineStr">
        <is>
          <t>A 18579-2023</t>
        </is>
      </c>
      <c r="B2864" s="1" t="n">
        <v>45043</v>
      </c>
      <c r="C2864" s="1" t="n">
        <v>45358</v>
      </c>
      <c r="D2864" t="inlineStr">
        <is>
          <t>HALLANDS LÄN</t>
        </is>
      </c>
      <c r="E2864" t="inlineStr">
        <is>
          <t>KUNGSBACKA</t>
        </is>
      </c>
      <c r="G2864" t="n">
        <v>1.6</v>
      </c>
      <c r="H2864" t="n">
        <v>0</v>
      </c>
      <c r="I2864" t="n">
        <v>0</v>
      </c>
      <c r="J2864" t="n">
        <v>0</v>
      </c>
      <c r="K2864" t="n">
        <v>0</v>
      </c>
      <c r="L2864" t="n">
        <v>0</v>
      </c>
      <c r="M2864" t="n">
        <v>0</v>
      </c>
      <c r="N2864" t="n">
        <v>0</v>
      </c>
      <c r="O2864" t="n">
        <v>0</v>
      </c>
      <c r="P2864" t="n">
        <v>0</v>
      </c>
      <c r="Q2864" t="n">
        <v>0</v>
      </c>
      <c r="R2864" s="2" t="inlineStr"/>
    </row>
    <row r="2865" ht="15" customHeight="1">
      <c r="A2865" t="inlineStr">
        <is>
          <t>A 18578-2023</t>
        </is>
      </c>
      <c r="B2865" s="1" t="n">
        <v>45043</v>
      </c>
      <c r="C2865" s="1" t="n">
        <v>45358</v>
      </c>
      <c r="D2865" t="inlineStr">
        <is>
          <t>HALLANDS LÄN</t>
        </is>
      </c>
      <c r="E2865" t="inlineStr">
        <is>
          <t>KUNGSBACKA</t>
        </is>
      </c>
      <c r="G2865" t="n">
        <v>2.4</v>
      </c>
      <c r="H2865" t="n">
        <v>0</v>
      </c>
      <c r="I2865" t="n">
        <v>0</v>
      </c>
      <c r="J2865" t="n">
        <v>0</v>
      </c>
      <c r="K2865" t="n">
        <v>0</v>
      </c>
      <c r="L2865" t="n">
        <v>0</v>
      </c>
      <c r="M2865" t="n">
        <v>0</v>
      </c>
      <c r="N2865" t="n">
        <v>0</v>
      </c>
      <c r="O2865" t="n">
        <v>0</v>
      </c>
      <c r="P2865" t="n">
        <v>0</v>
      </c>
      <c r="Q2865" t="n">
        <v>0</v>
      </c>
      <c r="R2865" s="2" t="inlineStr"/>
    </row>
    <row r="2866" ht="15" customHeight="1">
      <c r="A2866" t="inlineStr">
        <is>
          <t>A 18789-2023</t>
        </is>
      </c>
      <c r="B2866" s="1" t="n">
        <v>45043</v>
      </c>
      <c r="C2866" s="1" t="n">
        <v>45358</v>
      </c>
      <c r="D2866" t="inlineStr">
        <is>
          <t>HALLANDS LÄN</t>
        </is>
      </c>
      <c r="E2866" t="inlineStr">
        <is>
          <t>HALMSTAD</t>
        </is>
      </c>
      <c r="G2866" t="n">
        <v>1.8</v>
      </c>
      <c r="H2866" t="n">
        <v>0</v>
      </c>
      <c r="I2866" t="n">
        <v>0</v>
      </c>
      <c r="J2866" t="n">
        <v>0</v>
      </c>
      <c r="K2866" t="n">
        <v>0</v>
      </c>
      <c r="L2866" t="n">
        <v>0</v>
      </c>
      <c r="M2866" t="n">
        <v>0</v>
      </c>
      <c r="N2866" t="n">
        <v>0</v>
      </c>
      <c r="O2866" t="n">
        <v>0</v>
      </c>
      <c r="P2866" t="n">
        <v>0</v>
      </c>
      <c r="Q2866" t="n">
        <v>0</v>
      </c>
      <c r="R2866" s="2" t="inlineStr"/>
    </row>
    <row r="2867" ht="15" customHeight="1">
      <c r="A2867" t="inlineStr">
        <is>
          <t>A 18803-2023</t>
        </is>
      </c>
      <c r="B2867" s="1" t="n">
        <v>45044</v>
      </c>
      <c r="C2867" s="1" t="n">
        <v>45358</v>
      </c>
      <c r="D2867" t="inlineStr">
        <is>
          <t>HALLANDS LÄN</t>
        </is>
      </c>
      <c r="E2867" t="inlineStr">
        <is>
          <t>FALKENBERG</t>
        </is>
      </c>
      <c r="G2867" t="n">
        <v>1.9</v>
      </c>
      <c r="H2867" t="n">
        <v>0</v>
      </c>
      <c r="I2867" t="n">
        <v>0</v>
      </c>
      <c r="J2867" t="n">
        <v>0</v>
      </c>
      <c r="K2867" t="n">
        <v>0</v>
      </c>
      <c r="L2867" t="n">
        <v>0</v>
      </c>
      <c r="M2867" t="n">
        <v>0</v>
      </c>
      <c r="N2867" t="n">
        <v>0</v>
      </c>
      <c r="O2867" t="n">
        <v>0</v>
      </c>
      <c r="P2867" t="n">
        <v>0</v>
      </c>
      <c r="Q2867" t="n">
        <v>0</v>
      </c>
      <c r="R2867" s="2" t="inlineStr"/>
    </row>
    <row r="2868" ht="15" customHeight="1">
      <c r="A2868" t="inlineStr">
        <is>
          <t>A 18809-2023</t>
        </is>
      </c>
      <c r="B2868" s="1" t="n">
        <v>45044</v>
      </c>
      <c r="C2868" s="1" t="n">
        <v>45358</v>
      </c>
      <c r="D2868" t="inlineStr">
        <is>
          <t>HALLANDS LÄN</t>
        </is>
      </c>
      <c r="E2868" t="inlineStr">
        <is>
          <t>FALKENBERG</t>
        </is>
      </c>
      <c r="G2868" t="n">
        <v>0.7</v>
      </c>
      <c r="H2868" t="n">
        <v>0</v>
      </c>
      <c r="I2868" t="n">
        <v>0</v>
      </c>
      <c r="J2868" t="n">
        <v>0</v>
      </c>
      <c r="K2868" t="n">
        <v>0</v>
      </c>
      <c r="L2868" t="n">
        <v>0</v>
      </c>
      <c r="M2868" t="n">
        <v>0</v>
      </c>
      <c r="N2868" t="n">
        <v>0</v>
      </c>
      <c r="O2868" t="n">
        <v>0</v>
      </c>
      <c r="P2868" t="n">
        <v>0</v>
      </c>
      <c r="Q2868" t="n">
        <v>0</v>
      </c>
      <c r="R2868" s="2" t="inlineStr"/>
    </row>
    <row r="2869" ht="15" customHeight="1">
      <c r="A2869" t="inlineStr">
        <is>
          <t>A 18813-2023</t>
        </is>
      </c>
      <c r="B2869" s="1" t="n">
        <v>45044</v>
      </c>
      <c r="C2869" s="1" t="n">
        <v>45358</v>
      </c>
      <c r="D2869" t="inlineStr">
        <is>
          <t>HALLANDS LÄN</t>
        </is>
      </c>
      <c r="E2869" t="inlineStr">
        <is>
          <t>FALKENBERG</t>
        </is>
      </c>
      <c r="G2869" t="n">
        <v>2.3</v>
      </c>
      <c r="H2869" t="n">
        <v>0</v>
      </c>
      <c r="I2869" t="n">
        <v>0</v>
      </c>
      <c r="J2869" t="n">
        <v>0</v>
      </c>
      <c r="K2869" t="n">
        <v>0</v>
      </c>
      <c r="L2869" t="n">
        <v>0</v>
      </c>
      <c r="M2869" t="n">
        <v>0</v>
      </c>
      <c r="N2869" t="n">
        <v>0</v>
      </c>
      <c r="O2869" t="n">
        <v>0</v>
      </c>
      <c r="P2869" t="n">
        <v>0</v>
      </c>
      <c r="Q2869" t="n">
        <v>0</v>
      </c>
      <c r="R2869" s="2" t="inlineStr"/>
    </row>
    <row r="2870" ht="15" customHeight="1">
      <c r="A2870" t="inlineStr">
        <is>
          <t>A 18804-2023</t>
        </is>
      </c>
      <c r="B2870" s="1" t="n">
        <v>45044</v>
      </c>
      <c r="C2870" s="1" t="n">
        <v>45358</v>
      </c>
      <c r="D2870" t="inlineStr">
        <is>
          <t>HALLANDS LÄN</t>
        </is>
      </c>
      <c r="E2870" t="inlineStr">
        <is>
          <t>FALKENBERG</t>
        </is>
      </c>
      <c r="G2870" t="n">
        <v>0.9</v>
      </c>
      <c r="H2870" t="n">
        <v>0</v>
      </c>
      <c r="I2870" t="n">
        <v>0</v>
      </c>
      <c r="J2870" t="n">
        <v>0</v>
      </c>
      <c r="K2870" t="n">
        <v>0</v>
      </c>
      <c r="L2870" t="n">
        <v>0</v>
      </c>
      <c r="M2870" t="n">
        <v>0</v>
      </c>
      <c r="N2870" t="n">
        <v>0</v>
      </c>
      <c r="O2870" t="n">
        <v>0</v>
      </c>
      <c r="P2870" t="n">
        <v>0</v>
      </c>
      <c r="Q2870" t="n">
        <v>0</v>
      </c>
      <c r="R2870" s="2" t="inlineStr"/>
    </row>
    <row r="2871" ht="15" customHeight="1">
      <c r="A2871" t="inlineStr">
        <is>
          <t>A 18810-2023</t>
        </is>
      </c>
      <c r="B2871" s="1" t="n">
        <v>45044</v>
      </c>
      <c r="C2871" s="1" t="n">
        <v>45358</v>
      </c>
      <c r="D2871" t="inlineStr">
        <is>
          <t>HALLANDS LÄN</t>
        </is>
      </c>
      <c r="E2871" t="inlineStr">
        <is>
          <t>FALKENBERG</t>
        </is>
      </c>
      <c r="G2871" t="n">
        <v>0.9</v>
      </c>
      <c r="H2871" t="n">
        <v>0</v>
      </c>
      <c r="I2871" t="n">
        <v>0</v>
      </c>
      <c r="J2871" t="n">
        <v>0</v>
      </c>
      <c r="K2871" t="n">
        <v>0</v>
      </c>
      <c r="L2871" t="n">
        <v>0</v>
      </c>
      <c r="M2871" t="n">
        <v>0</v>
      </c>
      <c r="N2871" t="n">
        <v>0</v>
      </c>
      <c r="O2871" t="n">
        <v>0</v>
      </c>
      <c r="P2871" t="n">
        <v>0</v>
      </c>
      <c r="Q2871" t="n">
        <v>0</v>
      </c>
      <c r="R2871" s="2" t="inlineStr"/>
    </row>
    <row r="2872" ht="15" customHeight="1">
      <c r="A2872" t="inlineStr">
        <is>
          <t>A 18811-2023</t>
        </is>
      </c>
      <c r="B2872" s="1" t="n">
        <v>45044</v>
      </c>
      <c r="C2872" s="1" t="n">
        <v>45358</v>
      </c>
      <c r="D2872" t="inlineStr">
        <is>
          <t>HALLANDS LÄN</t>
        </is>
      </c>
      <c r="E2872" t="inlineStr">
        <is>
          <t>FALKENBERG</t>
        </is>
      </c>
      <c r="G2872" t="n">
        <v>1.7</v>
      </c>
      <c r="H2872" t="n">
        <v>0</v>
      </c>
      <c r="I2872" t="n">
        <v>0</v>
      </c>
      <c r="J2872" t="n">
        <v>0</v>
      </c>
      <c r="K2872" t="n">
        <v>0</v>
      </c>
      <c r="L2872" t="n">
        <v>0</v>
      </c>
      <c r="M2872" t="n">
        <v>0</v>
      </c>
      <c r="N2872" t="n">
        <v>0</v>
      </c>
      <c r="O2872" t="n">
        <v>0</v>
      </c>
      <c r="P2872" t="n">
        <v>0</v>
      </c>
      <c r="Q2872" t="n">
        <v>0</v>
      </c>
      <c r="R2872" s="2" t="inlineStr"/>
    </row>
    <row r="2873" ht="15" customHeight="1">
      <c r="A2873" t="inlineStr">
        <is>
          <t>A 18972-2023</t>
        </is>
      </c>
      <c r="B2873" s="1" t="n">
        <v>45044</v>
      </c>
      <c r="C2873" s="1" t="n">
        <v>45358</v>
      </c>
      <c r="D2873" t="inlineStr">
        <is>
          <t>HALLANDS LÄN</t>
        </is>
      </c>
      <c r="E2873" t="inlineStr">
        <is>
          <t>HYLTE</t>
        </is>
      </c>
      <c r="G2873" t="n">
        <v>1.2</v>
      </c>
      <c r="H2873" t="n">
        <v>0</v>
      </c>
      <c r="I2873" t="n">
        <v>0</v>
      </c>
      <c r="J2873" t="n">
        <v>0</v>
      </c>
      <c r="K2873" t="n">
        <v>0</v>
      </c>
      <c r="L2873" t="n">
        <v>0</v>
      </c>
      <c r="M2873" t="n">
        <v>0</v>
      </c>
      <c r="N2873" t="n">
        <v>0</v>
      </c>
      <c r="O2873" t="n">
        <v>0</v>
      </c>
      <c r="P2873" t="n">
        <v>0</v>
      </c>
      <c r="Q2873" t="n">
        <v>0</v>
      </c>
      <c r="R2873" s="2" t="inlineStr"/>
    </row>
    <row r="2874" ht="15" customHeight="1">
      <c r="A2874" t="inlineStr">
        <is>
          <t>A 18808-2023</t>
        </is>
      </c>
      <c r="B2874" s="1" t="n">
        <v>45044</v>
      </c>
      <c r="C2874" s="1" t="n">
        <v>45358</v>
      </c>
      <c r="D2874" t="inlineStr">
        <is>
          <t>HALLANDS LÄN</t>
        </is>
      </c>
      <c r="E2874" t="inlineStr">
        <is>
          <t>FALKENBERG</t>
        </is>
      </c>
      <c r="G2874" t="n">
        <v>2.6</v>
      </c>
      <c r="H2874" t="n">
        <v>0</v>
      </c>
      <c r="I2874" t="n">
        <v>0</v>
      </c>
      <c r="J2874" t="n">
        <v>0</v>
      </c>
      <c r="K2874" t="n">
        <v>0</v>
      </c>
      <c r="L2874" t="n">
        <v>0</v>
      </c>
      <c r="M2874" t="n">
        <v>0</v>
      </c>
      <c r="N2874" t="n">
        <v>0</v>
      </c>
      <c r="O2874" t="n">
        <v>0</v>
      </c>
      <c r="P2874" t="n">
        <v>0</v>
      </c>
      <c r="Q2874" t="n">
        <v>0</v>
      </c>
      <c r="R2874" s="2" t="inlineStr"/>
    </row>
    <row r="2875" ht="15" customHeight="1">
      <c r="A2875" t="inlineStr">
        <is>
          <t>A 18812-2023</t>
        </is>
      </c>
      <c r="B2875" s="1" t="n">
        <v>45044</v>
      </c>
      <c r="C2875" s="1" t="n">
        <v>45358</v>
      </c>
      <c r="D2875" t="inlineStr">
        <is>
          <t>HALLANDS LÄN</t>
        </is>
      </c>
      <c r="E2875" t="inlineStr">
        <is>
          <t>FALKENBERG</t>
        </is>
      </c>
      <c r="G2875" t="n">
        <v>1.8</v>
      </c>
      <c r="H2875" t="n">
        <v>0</v>
      </c>
      <c r="I2875" t="n">
        <v>0</v>
      </c>
      <c r="J2875" t="n">
        <v>0</v>
      </c>
      <c r="K2875" t="n">
        <v>0</v>
      </c>
      <c r="L2875" t="n">
        <v>0</v>
      </c>
      <c r="M2875" t="n">
        <v>0</v>
      </c>
      <c r="N2875" t="n">
        <v>0</v>
      </c>
      <c r="O2875" t="n">
        <v>0</v>
      </c>
      <c r="P2875" t="n">
        <v>0</v>
      </c>
      <c r="Q2875" t="n">
        <v>0</v>
      </c>
      <c r="R2875" s="2" t="inlineStr"/>
    </row>
    <row r="2876" ht="15" customHeight="1">
      <c r="A2876" t="inlineStr">
        <is>
          <t>A 19115-2023</t>
        </is>
      </c>
      <c r="B2876" s="1" t="n">
        <v>45048</v>
      </c>
      <c r="C2876" s="1" t="n">
        <v>45358</v>
      </c>
      <c r="D2876" t="inlineStr">
        <is>
          <t>HALLANDS LÄN</t>
        </is>
      </c>
      <c r="E2876" t="inlineStr">
        <is>
          <t>VARBERG</t>
        </is>
      </c>
      <c r="G2876" t="n">
        <v>0.7</v>
      </c>
      <c r="H2876" t="n">
        <v>0</v>
      </c>
      <c r="I2876" t="n">
        <v>0</v>
      </c>
      <c r="J2876" t="n">
        <v>0</v>
      </c>
      <c r="K2876" t="n">
        <v>0</v>
      </c>
      <c r="L2876" t="n">
        <v>0</v>
      </c>
      <c r="M2876" t="n">
        <v>0</v>
      </c>
      <c r="N2876" t="n">
        <v>0</v>
      </c>
      <c r="O2876" t="n">
        <v>0</v>
      </c>
      <c r="P2876" t="n">
        <v>0</v>
      </c>
      <c r="Q2876" t="n">
        <v>0</v>
      </c>
      <c r="R2876" s="2" t="inlineStr"/>
    </row>
    <row r="2877" ht="15" customHeight="1">
      <c r="A2877" t="inlineStr">
        <is>
          <t>A 19112-2023</t>
        </is>
      </c>
      <c r="B2877" s="1" t="n">
        <v>45048</v>
      </c>
      <c r="C2877" s="1" t="n">
        <v>45358</v>
      </c>
      <c r="D2877" t="inlineStr">
        <is>
          <t>HALLANDS LÄN</t>
        </is>
      </c>
      <c r="E2877" t="inlineStr">
        <is>
          <t>VARBERG</t>
        </is>
      </c>
      <c r="G2877" t="n">
        <v>1.3</v>
      </c>
      <c r="H2877" t="n">
        <v>0</v>
      </c>
      <c r="I2877" t="n">
        <v>0</v>
      </c>
      <c r="J2877" t="n">
        <v>0</v>
      </c>
      <c r="K2877" t="n">
        <v>0</v>
      </c>
      <c r="L2877" t="n">
        <v>0</v>
      </c>
      <c r="M2877" t="n">
        <v>0</v>
      </c>
      <c r="N2877" t="n">
        <v>0</v>
      </c>
      <c r="O2877" t="n">
        <v>0</v>
      </c>
      <c r="P2877" t="n">
        <v>0</v>
      </c>
      <c r="Q2877" t="n">
        <v>0</v>
      </c>
      <c r="R2877" s="2" t="inlineStr"/>
    </row>
    <row r="2878" ht="15" customHeight="1">
      <c r="A2878" t="inlineStr">
        <is>
          <t>A 19118-2023</t>
        </is>
      </c>
      <c r="B2878" s="1" t="n">
        <v>45048</v>
      </c>
      <c r="C2878" s="1" t="n">
        <v>45358</v>
      </c>
      <c r="D2878" t="inlineStr">
        <is>
          <t>HALLANDS LÄN</t>
        </is>
      </c>
      <c r="E2878" t="inlineStr">
        <is>
          <t>FALKENBERG</t>
        </is>
      </c>
      <c r="G2878" t="n">
        <v>5.7</v>
      </c>
      <c r="H2878" t="n">
        <v>0</v>
      </c>
      <c r="I2878" t="n">
        <v>0</v>
      </c>
      <c r="J2878" t="n">
        <v>0</v>
      </c>
      <c r="K2878" t="n">
        <v>0</v>
      </c>
      <c r="L2878" t="n">
        <v>0</v>
      </c>
      <c r="M2878" t="n">
        <v>0</v>
      </c>
      <c r="N2878" t="n">
        <v>0</v>
      </c>
      <c r="O2878" t="n">
        <v>0</v>
      </c>
      <c r="P2878" t="n">
        <v>0</v>
      </c>
      <c r="Q2878" t="n">
        <v>0</v>
      </c>
      <c r="R2878" s="2" t="inlineStr"/>
    </row>
    <row r="2879" ht="15" customHeight="1">
      <c r="A2879" t="inlineStr">
        <is>
          <t>A 19252-2023</t>
        </is>
      </c>
      <c r="B2879" s="1" t="n">
        <v>45049</v>
      </c>
      <c r="C2879" s="1" t="n">
        <v>45358</v>
      </c>
      <c r="D2879" t="inlineStr">
        <is>
          <t>HALLANDS LÄN</t>
        </is>
      </c>
      <c r="E2879" t="inlineStr">
        <is>
          <t>FALKENBERG</t>
        </is>
      </c>
      <c r="G2879" t="n">
        <v>2.2</v>
      </c>
      <c r="H2879" t="n">
        <v>0</v>
      </c>
      <c r="I2879" t="n">
        <v>0</v>
      </c>
      <c r="J2879" t="n">
        <v>0</v>
      </c>
      <c r="K2879" t="n">
        <v>0</v>
      </c>
      <c r="L2879" t="n">
        <v>0</v>
      </c>
      <c r="M2879" t="n">
        <v>0</v>
      </c>
      <c r="N2879" t="n">
        <v>0</v>
      </c>
      <c r="O2879" t="n">
        <v>0</v>
      </c>
      <c r="P2879" t="n">
        <v>0</v>
      </c>
      <c r="Q2879" t="n">
        <v>0</v>
      </c>
      <c r="R2879" s="2" t="inlineStr"/>
    </row>
    <row r="2880" ht="15" customHeight="1">
      <c r="A2880" t="inlineStr">
        <is>
          <t>A 19251-2023</t>
        </is>
      </c>
      <c r="B2880" s="1" t="n">
        <v>45049</v>
      </c>
      <c r="C2880" s="1" t="n">
        <v>45358</v>
      </c>
      <c r="D2880" t="inlineStr">
        <is>
          <t>HALLANDS LÄN</t>
        </is>
      </c>
      <c r="E2880" t="inlineStr">
        <is>
          <t>FALKENBERG</t>
        </is>
      </c>
      <c r="G2880" t="n">
        <v>1</v>
      </c>
      <c r="H2880" t="n">
        <v>0</v>
      </c>
      <c r="I2880" t="n">
        <v>0</v>
      </c>
      <c r="J2880" t="n">
        <v>0</v>
      </c>
      <c r="K2880" t="n">
        <v>0</v>
      </c>
      <c r="L2880" t="n">
        <v>0</v>
      </c>
      <c r="M2880" t="n">
        <v>0</v>
      </c>
      <c r="N2880" t="n">
        <v>0</v>
      </c>
      <c r="O2880" t="n">
        <v>0</v>
      </c>
      <c r="P2880" t="n">
        <v>0</v>
      </c>
      <c r="Q2880" t="n">
        <v>0</v>
      </c>
      <c r="R2880" s="2" t="inlineStr"/>
    </row>
    <row r="2881" ht="15" customHeight="1">
      <c r="A2881" t="inlineStr">
        <is>
          <t>A 19304-2023</t>
        </is>
      </c>
      <c r="B2881" s="1" t="n">
        <v>45049</v>
      </c>
      <c r="C2881" s="1" t="n">
        <v>45358</v>
      </c>
      <c r="D2881" t="inlineStr">
        <is>
          <t>HALLANDS LÄN</t>
        </is>
      </c>
      <c r="E2881" t="inlineStr">
        <is>
          <t>HALMSTAD</t>
        </is>
      </c>
      <c r="G2881" t="n">
        <v>2.7</v>
      </c>
      <c r="H2881" t="n">
        <v>0</v>
      </c>
      <c r="I2881" t="n">
        <v>0</v>
      </c>
      <c r="J2881" t="n">
        <v>0</v>
      </c>
      <c r="K2881" t="n">
        <v>0</v>
      </c>
      <c r="L2881" t="n">
        <v>0</v>
      </c>
      <c r="M2881" t="n">
        <v>0</v>
      </c>
      <c r="N2881" t="n">
        <v>0</v>
      </c>
      <c r="O2881" t="n">
        <v>0</v>
      </c>
      <c r="P2881" t="n">
        <v>0</v>
      </c>
      <c r="Q2881" t="n">
        <v>0</v>
      </c>
      <c r="R2881" s="2" t="inlineStr"/>
    </row>
    <row r="2882" ht="15" customHeight="1">
      <c r="A2882" t="inlineStr">
        <is>
          <t>A 19588-2023</t>
        </is>
      </c>
      <c r="B2882" s="1" t="n">
        <v>45050</v>
      </c>
      <c r="C2882" s="1" t="n">
        <v>45358</v>
      </c>
      <c r="D2882" t="inlineStr">
        <is>
          <t>HALLANDS LÄN</t>
        </is>
      </c>
      <c r="E2882" t="inlineStr">
        <is>
          <t>HALMSTAD</t>
        </is>
      </c>
      <c r="G2882" t="n">
        <v>4.5</v>
      </c>
      <c r="H2882" t="n">
        <v>0</v>
      </c>
      <c r="I2882" t="n">
        <v>0</v>
      </c>
      <c r="J2882" t="n">
        <v>0</v>
      </c>
      <c r="K2882" t="n">
        <v>0</v>
      </c>
      <c r="L2882" t="n">
        <v>0</v>
      </c>
      <c r="M2882" t="n">
        <v>0</v>
      </c>
      <c r="N2882" t="n">
        <v>0</v>
      </c>
      <c r="O2882" t="n">
        <v>0</v>
      </c>
      <c r="P2882" t="n">
        <v>0</v>
      </c>
      <c r="Q2882" t="n">
        <v>0</v>
      </c>
      <c r="R2882" s="2" t="inlineStr"/>
    </row>
    <row r="2883" ht="15" customHeight="1">
      <c r="A2883" t="inlineStr">
        <is>
          <t>A 19578-2023</t>
        </is>
      </c>
      <c r="B2883" s="1" t="n">
        <v>45050</v>
      </c>
      <c r="C2883" s="1" t="n">
        <v>45358</v>
      </c>
      <c r="D2883" t="inlineStr">
        <is>
          <t>HALLANDS LÄN</t>
        </is>
      </c>
      <c r="E2883" t="inlineStr">
        <is>
          <t>HALMSTAD</t>
        </is>
      </c>
      <c r="G2883" t="n">
        <v>0.7</v>
      </c>
      <c r="H2883" t="n">
        <v>0</v>
      </c>
      <c r="I2883" t="n">
        <v>0</v>
      </c>
      <c r="J2883" t="n">
        <v>0</v>
      </c>
      <c r="K2883" t="n">
        <v>0</v>
      </c>
      <c r="L2883" t="n">
        <v>0</v>
      </c>
      <c r="M2883" t="n">
        <v>0</v>
      </c>
      <c r="N2883" t="n">
        <v>0</v>
      </c>
      <c r="O2883" t="n">
        <v>0</v>
      </c>
      <c r="P2883" t="n">
        <v>0</v>
      </c>
      <c r="Q2883" t="n">
        <v>0</v>
      </c>
      <c r="R2883" s="2" t="inlineStr"/>
    </row>
    <row r="2884" ht="15" customHeight="1">
      <c r="A2884" t="inlineStr">
        <is>
          <t>A 19591-2023</t>
        </is>
      </c>
      <c r="B2884" s="1" t="n">
        <v>45050</v>
      </c>
      <c r="C2884" s="1" t="n">
        <v>45358</v>
      </c>
      <c r="D2884" t="inlineStr">
        <is>
          <t>HALLANDS LÄN</t>
        </is>
      </c>
      <c r="E2884" t="inlineStr">
        <is>
          <t>HALMSTAD</t>
        </is>
      </c>
      <c r="G2884" t="n">
        <v>1.4</v>
      </c>
      <c r="H2884" t="n">
        <v>0</v>
      </c>
      <c r="I2884" t="n">
        <v>0</v>
      </c>
      <c r="J2884" t="n">
        <v>0</v>
      </c>
      <c r="K2884" t="n">
        <v>0</v>
      </c>
      <c r="L2884" t="n">
        <v>0</v>
      </c>
      <c r="M2884" t="n">
        <v>0</v>
      </c>
      <c r="N2884" t="n">
        <v>0</v>
      </c>
      <c r="O2884" t="n">
        <v>0</v>
      </c>
      <c r="P2884" t="n">
        <v>0</v>
      </c>
      <c r="Q2884" t="n">
        <v>0</v>
      </c>
      <c r="R2884" s="2" t="inlineStr"/>
    </row>
    <row r="2885" ht="15" customHeight="1">
      <c r="A2885" t="inlineStr">
        <is>
          <t>A 19570-2023</t>
        </is>
      </c>
      <c r="B2885" s="1" t="n">
        <v>45050</v>
      </c>
      <c r="C2885" s="1" t="n">
        <v>45358</v>
      </c>
      <c r="D2885" t="inlineStr">
        <is>
          <t>HALLANDS LÄN</t>
        </is>
      </c>
      <c r="E2885" t="inlineStr">
        <is>
          <t>HALMSTAD</t>
        </is>
      </c>
      <c r="G2885" t="n">
        <v>1.2</v>
      </c>
      <c r="H2885" t="n">
        <v>0</v>
      </c>
      <c r="I2885" t="n">
        <v>0</v>
      </c>
      <c r="J2885" t="n">
        <v>0</v>
      </c>
      <c r="K2885" t="n">
        <v>0</v>
      </c>
      <c r="L2885" t="n">
        <v>0</v>
      </c>
      <c r="M2885" t="n">
        <v>0</v>
      </c>
      <c r="N2885" t="n">
        <v>0</v>
      </c>
      <c r="O2885" t="n">
        <v>0</v>
      </c>
      <c r="P2885" t="n">
        <v>0</v>
      </c>
      <c r="Q2885" t="n">
        <v>0</v>
      </c>
      <c r="R2885" s="2" t="inlineStr"/>
    </row>
    <row r="2886" ht="15" customHeight="1">
      <c r="A2886" t="inlineStr">
        <is>
          <t>A 19581-2023</t>
        </is>
      </c>
      <c r="B2886" s="1" t="n">
        <v>45050</v>
      </c>
      <c r="C2886" s="1" t="n">
        <v>45358</v>
      </c>
      <c r="D2886" t="inlineStr">
        <is>
          <t>HALLANDS LÄN</t>
        </is>
      </c>
      <c r="E2886" t="inlineStr">
        <is>
          <t>HALMSTAD</t>
        </is>
      </c>
      <c r="G2886" t="n">
        <v>0.6</v>
      </c>
      <c r="H2886" t="n">
        <v>0</v>
      </c>
      <c r="I2886" t="n">
        <v>0</v>
      </c>
      <c r="J2886" t="n">
        <v>0</v>
      </c>
      <c r="K2886" t="n">
        <v>0</v>
      </c>
      <c r="L2886" t="n">
        <v>0</v>
      </c>
      <c r="M2886" t="n">
        <v>0</v>
      </c>
      <c r="N2886" t="n">
        <v>0</v>
      </c>
      <c r="O2886" t="n">
        <v>0</v>
      </c>
      <c r="P2886" t="n">
        <v>0</v>
      </c>
      <c r="Q2886" t="n">
        <v>0</v>
      </c>
      <c r="R2886" s="2" t="inlineStr"/>
    </row>
    <row r="2887" ht="15" customHeight="1">
      <c r="A2887" t="inlineStr">
        <is>
          <t>A 19567-2023</t>
        </is>
      </c>
      <c r="B2887" s="1" t="n">
        <v>45050</v>
      </c>
      <c r="C2887" s="1" t="n">
        <v>45358</v>
      </c>
      <c r="D2887" t="inlineStr">
        <is>
          <t>HALLANDS LÄN</t>
        </is>
      </c>
      <c r="E2887" t="inlineStr">
        <is>
          <t>HALMSTAD</t>
        </is>
      </c>
      <c r="G2887" t="n">
        <v>1.7</v>
      </c>
      <c r="H2887" t="n">
        <v>0</v>
      </c>
      <c r="I2887" t="n">
        <v>0</v>
      </c>
      <c r="J2887" t="n">
        <v>0</v>
      </c>
      <c r="K2887" t="n">
        <v>0</v>
      </c>
      <c r="L2887" t="n">
        <v>0</v>
      </c>
      <c r="M2887" t="n">
        <v>0</v>
      </c>
      <c r="N2887" t="n">
        <v>0</v>
      </c>
      <c r="O2887" t="n">
        <v>0</v>
      </c>
      <c r="P2887" t="n">
        <v>0</v>
      </c>
      <c r="Q2887" t="n">
        <v>0</v>
      </c>
      <c r="R2887" s="2" t="inlineStr"/>
    </row>
    <row r="2888" ht="15" customHeight="1">
      <c r="A2888" t="inlineStr">
        <is>
          <t>A 19572-2023</t>
        </is>
      </c>
      <c r="B2888" s="1" t="n">
        <v>45050</v>
      </c>
      <c r="C2888" s="1" t="n">
        <v>45358</v>
      </c>
      <c r="D2888" t="inlineStr">
        <is>
          <t>HALLANDS LÄN</t>
        </is>
      </c>
      <c r="E2888" t="inlineStr">
        <is>
          <t>HALMSTAD</t>
        </is>
      </c>
      <c r="G2888" t="n">
        <v>1.8</v>
      </c>
      <c r="H2888" t="n">
        <v>0</v>
      </c>
      <c r="I2888" t="n">
        <v>0</v>
      </c>
      <c r="J2888" t="n">
        <v>0</v>
      </c>
      <c r="K2888" t="n">
        <v>0</v>
      </c>
      <c r="L2888" t="n">
        <v>0</v>
      </c>
      <c r="M2888" t="n">
        <v>0</v>
      </c>
      <c r="N2888" t="n">
        <v>0</v>
      </c>
      <c r="O2888" t="n">
        <v>0</v>
      </c>
      <c r="P2888" t="n">
        <v>0</v>
      </c>
      <c r="Q2888" t="n">
        <v>0</v>
      </c>
      <c r="R2888" s="2" t="inlineStr"/>
    </row>
    <row r="2889" ht="15" customHeight="1">
      <c r="A2889" t="inlineStr">
        <is>
          <t>A 19589-2023</t>
        </is>
      </c>
      <c r="B2889" s="1" t="n">
        <v>45050</v>
      </c>
      <c r="C2889" s="1" t="n">
        <v>45358</v>
      </c>
      <c r="D2889" t="inlineStr">
        <is>
          <t>HALLANDS LÄN</t>
        </is>
      </c>
      <c r="E2889" t="inlineStr">
        <is>
          <t>HALMSTAD</t>
        </is>
      </c>
      <c r="G2889" t="n">
        <v>1</v>
      </c>
      <c r="H2889" t="n">
        <v>0</v>
      </c>
      <c r="I2889" t="n">
        <v>0</v>
      </c>
      <c r="J2889" t="n">
        <v>0</v>
      </c>
      <c r="K2889" t="n">
        <v>0</v>
      </c>
      <c r="L2889" t="n">
        <v>0</v>
      </c>
      <c r="M2889" t="n">
        <v>0</v>
      </c>
      <c r="N2889" t="n">
        <v>0</v>
      </c>
      <c r="O2889" t="n">
        <v>0</v>
      </c>
      <c r="P2889" t="n">
        <v>0</v>
      </c>
      <c r="Q2889" t="n">
        <v>0</v>
      </c>
      <c r="R2889" s="2" t="inlineStr"/>
    </row>
    <row r="2890" ht="15" customHeight="1">
      <c r="A2890" t="inlineStr">
        <is>
          <t>A 19628-2023</t>
        </is>
      </c>
      <c r="B2890" s="1" t="n">
        <v>45051</v>
      </c>
      <c r="C2890" s="1" t="n">
        <v>45358</v>
      </c>
      <c r="D2890" t="inlineStr">
        <is>
          <t>HALLANDS LÄN</t>
        </is>
      </c>
      <c r="E2890" t="inlineStr">
        <is>
          <t>HYLTE</t>
        </is>
      </c>
      <c r="G2890" t="n">
        <v>1.6</v>
      </c>
      <c r="H2890" t="n">
        <v>0</v>
      </c>
      <c r="I2890" t="n">
        <v>0</v>
      </c>
      <c r="J2890" t="n">
        <v>0</v>
      </c>
      <c r="K2890" t="n">
        <v>0</v>
      </c>
      <c r="L2890" t="n">
        <v>0</v>
      </c>
      <c r="M2890" t="n">
        <v>0</v>
      </c>
      <c r="N2890" t="n">
        <v>0</v>
      </c>
      <c r="O2890" t="n">
        <v>0</v>
      </c>
      <c r="P2890" t="n">
        <v>0</v>
      </c>
      <c r="Q2890" t="n">
        <v>0</v>
      </c>
      <c r="R2890" s="2" t="inlineStr"/>
    </row>
    <row r="2891" ht="15" customHeight="1">
      <c r="A2891" t="inlineStr">
        <is>
          <t>A 19629-2023</t>
        </is>
      </c>
      <c r="B2891" s="1" t="n">
        <v>45051</v>
      </c>
      <c r="C2891" s="1" t="n">
        <v>45358</v>
      </c>
      <c r="D2891" t="inlineStr">
        <is>
          <t>HALLANDS LÄN</t>
        </is>
      </c>
      <c r="E2891" t="inlineStr">
        <is>
          <t>HYLTE</t>
        </is>
      </c>
      <c r="G2891" t="n">
        <v>2</v>
      </c>
      <c r="H2891" t="n">
        <v>0</v>
      </c>
      <c r="I2891" t="n">
        <v>0</v>
      </c>
      <c r="J2891" t="n">
        <v>0</v>
      </c>
      <c r="K2891" t="n">
        <v>0</v>
      </c>
      <c r="L2891" t="n">
        <v>0</v>
      </c>
      <c r="M2891" t="n">
        <v>0</v>
      </c>
      <c r="N2891" t="n">
        <v>0</v>
      </c>
      <c r="O2891" t="n">
        <v>0</v>
      </c>
      <c r="P2891" t="n">
        <v>0</v>
      </c>
      <c r="Q2891" t="n">
        <v>0</v>
      </c>
      <c r="R2891" s="2" t="inlineStr"/>
    </row>
    <row r="2892" ht="15" customHeight="1">
      <c r="A2892" t="inlineStr">
        <is>
          <t>A 19668-2023</t>
        </is>
      </c>
      <c r="B2892" s="1" t="n">
        <v>45051</v>
      </c>
      <c r="C2892" s="1" t="n">
        <v>45358</v>
      </c>
      <c r="D2892" t="inlineStr">
        <is>
          <t>HALLANDS LÄN</t>
        </is>
      </c>
      <c r="E2892" t="inlineStr">
        <is>
          <t>LAHOLM</t>
        </is>
      </c>
      <c r="G2892" t="n">
        <v>2</v>
      </c>
      <c r="H2892" t="n">
        <v>0</v>
      </c>
      <c r="I2892" t="n">
        <v>0</v>
      </c>
      <c r="J2892" t="n">
        <v>0</v>
      </c>
      <c r="K2892" t="n">
        <v>0</v>
      </c>
      <c r="L2892" t="n">
        <v>0</v>
      </c>
      <c r="M2892" t="n">
        <v>0</v>
      </c>
      <c r="N2892" t="n">
        <v>0</v>
      </c>
      <c r="O2892" t="n">
        <v>0</v>
      </c>
      <c r="P2892" t="n">
        <v>0</v>
      </c>
      <c r="Q2892" t="n">
        <v>0</v>
      </c>
      <c r="R2892" s="2" t="inlineStr"/>
    </row>
    <row r="2893" ht="15" customHeight="1">
      <c r="A2893" t="inlineStr">
        <is>
          <t>A 19969-2023</t>
        </is>
      </c>
      <c r="B2893" s="1" t="n">
        <v>45054</v>
      </c>
      <c r="C2893" s="1" t="n">
        <v>45358</v>
      </c>
      <c r="D2893" t="inlineStr">
        <is>
          <t>HALLANDS LÄN</t>
        </is>
      </c>
      <c r="E2893" t="inlineStr">
        <is>
          <t>LAHOLM</t>
        </is>
      </c>
      <c r="G2893" t="n">
        <v>1</v>
      </c>
      <c r="H2893" t="n">
        <v>0</v>
      </c>
      <c r="I2893" t="n">
        <v>0</v>
      </c>
      <c r="J2893" t="n">
        <v>0</v>
      </c>
      <c r="K2893" t="n">
        <v>0</v>
      </c>
      <c r="L2893" t="n">
        <v>0</v>
      </c>
      <c r="M2893" t="n">
        <v>0</v>
      </c>
      <c r="N2893" t="n">
        <v>0</v>
      </c>
      <c r="O2893" t="n">
        <v>0</v>
      </c>
      <c r="P2893" t="n">
        <v>0</v>
      </c>
      <c r="Q2893" t="n">
        <v>0</v>
      </c>
      <c r="R2893" s="2" t="inlineStr"/>
    </row>
    <row r="2894" ht="15" customHeight="1">
      <c r="A2894" t="inlineStr">
        <is>
          <t>A 20011-2023</t>
        </is>
      </c>
      <c r="B2894" s="1" t="n">
        <v>45054</v>
      </c>
      <c r="C2894" s="1" t="n">
        <v>45358</v>
      </c>
      <c r="D2894" t="inlineStr">
        <is>
          <t>HALLANDS LÄN</t>
        </is>
      </c>
      <c r="E2894" t="inlineStr">
        <is>
          <t>VARBERG</t>
        </is>
      </c>
      <c r="G2894" t="n">
        <v>10.1</v>
      </c>
      <c r="H2894" t="n">
        <v>0</v>
      </c>
      <c r="I2894" t="n">
        <v>0</v>
      </c>
      <c r="J2894" t="n">
        <v>0</v>
      </c>
      <c r="K2894" t="n">
        <v>0</v>
      </c>
      <c r="L2894" t="n">
        <v>0</v>
      </c>
      <c r="M2894" t="n">
        <v>0</v>
      </c>
      <c r="N2894" t="n">
        <v>0</v>
      </c>
      <c r="O2894" t="n">
        <v>0</v>
      </c>
      <c r="P2894" t="n">
        <v>0</v>
      </c>
      <c r="Q2894" t="n">
        <v>0</v>
      </c>
      <c r="R2894" s="2" t="inlineStr"/>
    </row>
    <row r="2895" ht="15" customHeight="1">
      <c r="A2895" t="inlineStr">
        <is>
          <t>A 19918-2023</t>
        </is>
      </c>
      <c r="B2895" s="1" t="n">
        <v>45054</v>
      </c>
      <c r="C2895" s="1" t="n">
        <v>45358</v>
      </c>
      <c r="D2895" t="inlineStr">
        <is>
          <t>HALLANDS LÄN</t>
        </is>
      </c>
      <c r="E2895" t="inlineStr">
        <is>
          <t>FALKENBERG</t>
        </is>
      </c>
      <c r="G2895" t="n">
        <v>4.8</v>
      </c>
      <c r="H2895" t="n">
        <v>0</v>
      </c>
      <c r="I2895" t="n">
        <v>0</v>
      </c>
      <c r="J2895" t="n">
        <v>0</v>
      </c>
      <c r="K2895" t="n">
        <v>0</v>
      </c>
      <c r="L2895" t="n">
        <v>0</v>
      </c>
      <c r="M2895" t="n">
        <v>0</v>
      </c>
      <c r="N2895" t="n">
        <v>0</v>
      </c>
      <c r="O2895" t="n">
        <v>0</v>
      </c>
      <c r="P2895" t="n">
        <v>0</v>
      </c>
      <c r="Q2895" t="n">
        <v>0</v>
      </c>
      <c r="R2895" s="2" t="inlineStr"/>
    </row>
    <row r="2896" ht="15" customHeight="1">
      <c r="A2896" t="inlineStr">
        <is>
          <t>A 20106-2023</t>
        </is>
      </c>
      <c r="B2896" s="1" t="n">
        <v>45055</v>
      </c>
      <c r="C2896" s="1" t="n">
        <v>45358</v>
      </c>
      <c r="D2896" t="inlineStr">
        <is>
          <t>HALLANDS LÄN</t>
        </is>
      </c>
      <c r="E2896" t="inlineStr">
        <is>
          <t>VARBERG</t>
        </is>
      </c>
      <c r="G2896" t="n">
        <v>3.6</v>
      </c>
      <c r="H2896" t="n">
        <v>0</v>
      </c>
      <c r="I2896" t="n">
        <v>0</v>
      </c>
      <c r="J2896" t="n">
        <v>0</v>
      </c>
      <c r="K2896" t="n">
        <v>0</v>
      </c>
      <c r="L2896" t="n">
        <v>0</v>
      </c>
      <c r="M2896" t="n">
        <v>0</v>
      </c>
      <c r="N2896" t="n">
        <v>0</v>
      </c>
      <c r="O2896" t="n">
        <v>0</v>
      </c>
      <c r="P2896" t="n">
        <v>0</v>
      </c>
      <c r="Q2896" t="n">
        <v>0</v>
      </c>
      <c r="R2896" s="2" t="inlineStr"/>
    </row>
    <row r="2897" ht="15" customHeight="1">
      <c r="A2897" t="inlineStr">
        <is>
          <t>A 20111-2023</t>
        </is>
      </c>
      <c r="B2897" s="1" t="n">
        <v>45055</v>
      </c>
      <c r="C2897" s="1" t="n">
        <v>45358</v>
      </c>
      <c r="D2897" t="inlineStr">
        <is>
          <t>HALLANDS LÄN</t>
        </is>
      </c>
      <c r="E2897" t="inlineStr">
        <is>
          <t>VARBERG</t>
        </is>
      </c>
      <c r="G2897" t="n">
        <v>5.7</v>
      </c>
      <c r="H2897" t="n">
        <v>0</v>
      </c>
      <c r="I2897" t="n">
        <v>0</v>
      </c>
      <c r="J2897" t="n">
        <v>0</v>
      </c>
      <c r="K2897" t="n">
        <v>0</v>
      </c>
      <c r="L2897" t="n">
        <v>0</v>
      </c>
      <c r="M2897" t="n">
        <v>0</v>
      </c>
      <c r="N2897" t="n">
        <v>0</v>
      </c>
      <c r="O2897" t="n">
        <v>0</v>
      </c>
      <c r="P2897" t="n">
        <v>0</v>
      </c>
      <c r="Q2897" t="n">
        <v>0</v>
      </c>
      <c r="R2897" s="2" t="inlineStr"/>
    </row>
    <row r="2898" ht="15" customHeight="1">
      <c r="A2898" t="inlineStr">
        <is>
          <t>A 20109-2023</t>
        </is>
      </c>
      <c r="B2898" s="1" t="n">
        <v>45055</v>
      </c>
      <c r="C2898" s="1" t="n">
        <v>45358</v>
      </c>
      <c r="D2898" t="inlineStr">
        <is>
          <t>HALLANDS LÄN</t>
        </is>
      </c>
      <c r="E2898" t="inlineStr">
        <is>
          <t>VARBERG</t>
        </is>
      </c>
      <c r="G2898" t="n">
        <v>0.6</v>
      </c>
      <c r="H2898" t="n">
        <v>0</v>
      </c>
      <c r="I2898" t="n">
        <v>0</v>
      </c>
      <c r="J2898" t="n">
        <v>0</v>
      </c>
      <c r="K2898" t="n">
        <v>0</v>
      </c>
      <c r="L2898" t="n">
        <v>0</v>
      </c>
      <c r="M2898" t="n">
        <v>0</v>
      </c>
      <c r="N2898" t="n">
        <v>0</v>
      </c>
      <c r="O2898" t="n">
        <v>0</v>
      </c>
      <c r="P2898" t="n">
        <v>0</v>
      </c>
      <c r="Q2898" t="n">
        <v>0</v>
      </c>
      <c r="R2898" s="2" t="inlineStr"/>
    </row>
    <row r="2899" ht="15" customHeight="1">
      <c r="A2899" t="inlineStr">
        <is>
          <t>A 20108-2023</t>
        </is>
      </c>
      <c r="B2899" s="1" t="n">
        <v>45055</v>
      </c>
      <c r="C2899" s="1" t="n">
        <v>45358</v>
      </c>
      <c r="D2899" t="inlineStr">
        <is>
          <t>HALLANDS LÄN</t>
        </is>
      </c>
      <c r="E2899" t="inlineStr">
        <is>
          <t>VARBERG</t>
        </is>
      </c>
      <c r="G2899" t="n">
        <v>1.6</v>
      </c>
      <c r="H2899" t="n">
        <v>0</v>
      </c>
      <c r="I2899" t="n">
        <v>0</v>
      </c>
      <c r="J2899" t="n">
        <v>0</v>
      </c>
      <c r="K2899" t="n">
        <v>0</v>
      </c>
      <c r="L2899" t="n">
        <v>0</v>
      </c>
      <c r="M2899" t="n">
        <v>0</v>
      </c>
      <c r="N2899" t="n">
        <v>0</v>
      </c>
      <c r="O2899" t="n">
        <v>0</v>
      </c>
      <c r="P2899" t="n">
        <v>0</v>
      </c>
      <c r="Q2899" t="n">
        <v>0</v>
      </c>
      <c r="R2899" s="2" t="inlineStr"/>
    </row>
    <row r="2900" ht="15" customHeight="1">
      <c r="A2900" t="inlineStr">
        <is>
          <t>A 20178-2023</t>
        </is>
      </c>
      <c r="B2900" s="1" t="n">
        <v>45055</v>
      </c>
      <c r="C2900" s="1" t="n">
        <v>45358</v>
      </c>
      <c r="D2900" t="inlineStr">
        <is>
          <t>HALLANDS LÄN</t>
        </is>
      </c>
      <c r="E2900" t="inlineStr">
        <is>
          <t>LAHOLM</t>
        </is>
      </c>
      <c r="G2900" t="n">
        <v>1.4</v>
      </c>
      <c r="H2900" t="n">
        <v>0</v>
      </c>
      <c r="I2900" t="n">
        <v>0</v>
      </c>
      <c r="J2900" t="n">
        <v>0</v>
      </c>
      <c r="K2900" t="n">
        <v>0</v>
      </c>
      <c r="L2900" t="n">
        <v>0</v>
      </c>
      <c r="M2900" t="n">
        <v>0</v>
      </c>
      <c r="N2900" t="n">
        <v>0</v>
      </c>
      <c r="O2900" t="n">
        <v>0</v>
      </c>
      <c r="P2900" t="n">
        <v>0</v>
      </c>
      <c r="Q2900" t="n">
        <v>0</v>
      </c>
      <c r="R2900" s="2" t="inlineStr"/>
    </row>
    <row r="2901" ht="15" customHeight="1">
      <c r="A2901" t="inlineStr">
        <is>
          <t>A 20543-2023</t>
        </is>
      </c>
      <c r="B2901" s="1" t="n">
        <v>45055</v>
      </c>
      <c r="C2901" s="1" t="n">
        <v>45358</v>
      </c>
      <c r="D2901" t="inlineStr">
        <is>
          <t>HALLANDS LÄN</t>
        </is>
      </c>
      <c r="E2901" t="inlineStr">
        <is>
          <t>FALKENBERG</t>
        </is>
      </c>
      <c r="G2901" t="n">
        <v>0.8</v>
      </c>
      <c r="H2901" t="n">
        <v>0</v>
      </c>
      <c r="I2901" t="n">
        <v>0</v>
      </c>
      <c r="J2901" t="n">
        <v>0</v>
      </c>
      <c r="K2901" t="n">
        <v>0</v>
      </c>
      <c r="L2901" t="n">
        <v>0</v>
      </c>
      <c r="M2901" t="n">
        <v>0</v>
      </c>
      <c r="N2901" t="n">
        <v>0</v>
      </c>
      <c r="O2901" t="n">
        <v>0</v>
      </c>
      <c r="P2901" t="n">
        <v>0</v>
      </c>
      <c r="Q2901" t="n">
        <v>0</v>
      </c>
      <c r="R2901" s="2" t="inlineStr"/>
    </row>
    <row r="2902" ht="15" customHeight="1">
      <c r="A2902" t="inlineStr">
        <is>
          <t>A 20546-2023</t>
        </is>
      </c>
      <c r="B2902" s="1" t="n">
        <v>45055</v>
      </c>
      <c r="C2902" s="1" t="n">
        <v>45358</v>
      </c>
      <c r="D2902" t="inlineStr">
        <is>
          <t>HALLANDS LÄN</t>
        </is>
      </c>
      <c r="E2902" t="inlineStr">
        <is>
          <t>FALKENBERG</t>
        </is>
      </c>
      <c r="G2902" t="n">
        <v>0.1</v>
      </c>
      <c r="H2902" t="n">
        <v>0</v>
      </c>
      <c r="I2902" t="n">
        <v>0</v>
      </c>
      <c r="J2902" t="n">
        <v>0</v>
      </c>
      <c r="K2902" t="n">
        <v>0</v>
      </c>
      <c r="L2902" t="n">
        <v>0</v>
      </c>
      <c r="M2902" t="n">
        <v>0</v>
      </c>
      <c r="N2902" t="n">
        <v>0</v>
      </c>
      <c r="O2902" t="n">
        <v>0</v>
      </c>
      <c r="P2902" t="n">
        <v>0</v>
      </c>
      <c r="Q2902" t="n">
        <v>0</v>
      </c>
      <c r="R2902" s="2" t="inlineStr"/>
    </row>
    <row r="2903" ht="15" customHeight="1">
      <c r="A2903" t="inlineStr">
        <is>
          <t>A 20404-2023</t>
        </is>
      </c>
      <c r="B2903" s="1" t="n">
        <v>45056</v>
      </c>
      <c r="C2903" s="1" t="n">
        <v>45358</v>
      </c>
      <c r="D2903" t="inlineStr">
        <is>
          <t>HALLANDS LÄN</t>
        </is>
      </c>
      <c r="E2903" t="inlineStr">
        <is>
          <t>HALMSTAD</t>
        </is>
      </c>
      <c r="G2903" t="n">
        <v>0.9</v>
      </c>
      <c r="H2903" t="n">
        <v>0</v>
      </c>
      <c r="I2903" t="n">
        <v>0</v>
      </c>
      <c r="J2903" t="n">
        <v>0</v>
      </c>
      <c r="K2903" t="n">
        <v>0</v>
      </c>
      <c r="L2903" t="n">
        <v>0</v>
      </c>
      <c r="M2903" t="n">
        <v>0</v>
      </c>
      <c r="N2903" t="n">
        <v>0</v>
      </c>
      <c r="O2903" t="n">
        <v>0</v>
      </c>
      <c r="P2903" t="n">
        <v>0</v>
      </c>
      <c r="Q2903" t="n">
        <v>0</v>
      </c>
      <c r="R2903" s="2" t="inlineStr"/>
    </row>
    <row r="2904" ht="15" customHeight="1">
      <c r="A2904" t="inlineStr">
        <is>
          <t>A 20562-2023</t>
        </is>
      </c>
      <c r="B2904" s="1" t="n">
        <v>45057</v>
      </c>
      <c r="C2904" s="1" t="n">
        <v>45358</v>
      </c>
      <c r="D2904" t="inlineStr">
        <is>
          <t>HALLANDS LÄN</t>
        </is>
      </c>
      <c r="E2904" t="inlineStr">
        <is>
          <t>LAHOLM</t>
        </is>
      </c>
      <c r="G2904" t="n">
        <v>2.5</v>
      </c>
      <c r="H2904" t="n">
        <v>0</v>
      </c>
      <c r="I2904" t="n">
        <v>0</v>
      </c>
      <c r="J2904" t="n">
        <v>0</v>
      </c>
      <c r="K2904" t="n">
        <v>0</v>
      </c>
      <c r="L2904" t="n">
        <v>0</v>
      </c>
      <c r="M2904" t="n">
        <v>0</v>
      </c>
      <c r="N2904" t="n">
        <v>0</v>
      </c>
      <c r="O2904" t="n">
        <v>0</v>
      </c>
      <c r="P2904" t="n">
        <v>0</v>
      </c>
      <c r="Q2904" t="n">
        <v>0</v>
      </c>
      <c r="R2904" s="2" t="inlineStr"/>
    </row>
    <row r="2905" ht="15" customHeight="1">
      <c r="A2905" t="inlineStr">
        <is>
          <t>A 20647-2023</t>
        </is>
      </c>
      <c r="B2905" s="1" t="n">
        <v>45058</v>
      </c>
      <c r="C2905" s="1" t="n">
        <v>45358</v>
      </c>
      <c r="D2905" t="inlineStr">
        <is>
          <t>HALLANDS LÄN</t>
        </is>
      </c>
      <c r="E2905" t="inlineStr">
        <is>
          <t>VARBERG</t>
        </is>
      </c>
      <c r="G2905" t="n">
        <v>5.3</v>
      </c>
      <c r="H2905" t="n">
        <v>0</v>
      </c>
      <c r="I2905" t="n">
        <v>0</v>
      </c>
      <c r="J2905" t="n">
        <v>0</v>
      </c>
      <c r="K2905" t="n">
        <v>0</v>
      </c>
      <c r="L2905" t="n">
        <v>0</v>
      </c>
      <c r="M2905" t="n">
        <v>0</v>
      </c>
      <c r="N2905" t="n">
        <v>0</v>
      </c>
      <c r="O2905" t="n">
        <v>0</v>
      </c>
      <c r="P2905" t="n">
        <v>0</v>
      </c>
      <c r="Q2905" t="n">
        <v>0</v>
      </c>
      <c r="R2905" s="2" t="inlineStr"/>
    </row>
    <row r="2906" ht="15" customHeight="1">
      <c r="A2906" t="inlineStr">
        <is>
          <t>A 20694-2023</t>
        </is>
      </c>
      <c r="B2906" s="1" t="n">
        <v>45058</v>
      </c>
      <c r="C2906" s="1" t="n">
        <v>45358</v>
      </c>
      <c r="D2906" t="inlineStr">
        <is>
          <t>HALLANDS LÄN</t>
        </is>
      </c>
      <c r="E2906" t="inlineStr">
        <is>
          <t>FALKENBERG</t>
        </is>
      </c>
      <c r="G2906" t="n">
        <v>1.6</v>
      </c>
      <c r="H2906" t="n">
        <v>0</v>
      </c>
      <c r="I2906" t="n">
        <v>0</v>
      </c>
      <c r="J2906" t="n">
        <v>0</v>
      </c>
      <c r="K2906" t="n">
        <v>0</v>
      </c>
      <c r="L2906" t="n">
        <v>0</v>
      </c>
      <c r="M2906" t="n">
        <v>0</v>
      </c>
      <c r="N2906" t="n">
        <v>0</v>
      </c>
      <c r="O2906" t="n">
        <v>0</v>
      </c>
      <c r="P2906" t="n">
        <v>0</v>
      </c>
      <c r="Q2906" t="n">
        <v>0</v>
      </c>
      <c r="R2906" s="2" t="inlineStr"/>
    </row>
    <row r="2907" ht="15" customHeight="1">
      <c r="A2907" t="inlineStr">
        <is>
          <t>A 20704-2023</t>
        </is>
      </c>
      <c r="B2907" s="1" t="n">
        <v>45058</v>
      </c>
      <c r="C2907" s="1" t="n">
        <v>45358</v>
      </c>
      <c r="D2907" t="inlineStr">
        <is>
          <t>HALLANDS LÄN</t>
        </is>
      </c>
      <c r="E2907" t="inlineStr">
        <is>
          <t>VARBERG</t>
        </is>
      </c>
      <c r="G2907" t="n">
        <v>0.7</v>
      </c>
      <c r="H2907" t="n">
        <v>0</v>
      </c>
      <c r="I2907" t="n">
        <v>0</v>
      </c>
      <c r="J2907" t="n">
        <v>0</v>
      </c>
      <c r="K2907" t="n">
        <v>0</v>
      </c>
      <c r="L2907" t="n">
        <v>0</v>
      </c>
      <c r="M2907" t="n">
        <v>0</v>
      </c>
      <c r="N2907" t="n">
        <v>0</v>
      </c>
      <c r="O2907" t="n">
        <v>0</v>
      </c>
      <c r="P2907" t="n">
        <v>0</v>
      </c>
      <c r="Q2907" t="n">
        <v>0</v>
      </c>
      <c r="R2907" s="2" t="inlineStr"/>
    </row>
    <row r="2908" ht="15" customHeight="1">
      <c r="A2908" t="inlineStr">
        <is>
          <t>A 20643-2023</t>
        </is>
      </c>
      <c r="B2908" s="1" t="n">
        <v>45058</v>
      </c>
      <c r="C2908" s="1" t="n">
        <v>45358</v>
      </c>
      <c r="D2908" t="inlineStr">
        <is>
          <t>HALLANDS LÄN</t>
        </is>
      </c>
      <c r="E2908" t="inlineStr">
        <is>
          <t>VARBERG</t>
        </is>
      </c>
      <c r="G2908" t="n">
        <v>0.9</v>
      </c>
      <c r="H2908" t="n">
        <v>0</v>
      </c>
      <c r="I2908" t="n">
        <v>0</v>
      </c>
      <c r="J2908" t="n">
        <v>0</v>
      </c>
      <c r="K2908" t="n">
        <v>0</v>
      </c>
      <c r="L2908" t="n">
        <v>0</v>
      </c>
      <c r="M2908" t="n">
        <v>0</v>
      </c>
      <c r="N2908" t="n">
        <v>0</v>
      </c>
      <c r="O2908" t="n">
        <v>0</v>
      </c>
      <c r="P2908" t="n">
        <v>0</v>
      </c>
      <c r="Q2908" t="n">
        <v>0</v>
      </c>
      <c r="R2908" s="2" t="inlineStr"/>
    </row>
    <row r="2909" ht="15" customHeight="1">
      <c r="A2909" t="inlineStr">
        <is>
          <t>A 20644-2023</t>
        </is>
      </c>
      <c r="B2909" s="1" t="n">
        <v>45058</v>
      </c>
      <c r="C2909" s="1" t="n">
        <v>45358</v>
      </c>
      <c r="D2909" t="inlineStr">
        <is>
          <t>HALLANDS LÄN</t>
        </is>
      </c>
      <c r="E2909" t="inlineStr">
        <is>
          <t>VARBERG</t>
        </is>
      </c>
      <c r="G2909" t="n">
        <v>0.8</v>
      </c>
      <c r="H2909" t="n">
        <v>0</v>
      </c>
      <c r="I2909" t="n">
        <v>0</v>
      </c>
      <c r="J2909" t="n">
        <v>0</v>
      </c>
      <c r="K2909" t="n">
        <v>0</v>
      </c>
      <c r="L2909" t="n">
        <v>0</v>
      </c>
      <c r="M2909" t="n">
        <v>0</v>
      </c>
      <c r="N2909" t="n">
        <v>0</v>
      </c>
      <c r="O2909" t="n">
        <v>0</v>
      </c>
      <c r="P2909" t="n">
        <v>0</v>
      </c>
      <c r="Q2909" t="n">
        <v>0</v>
      </c>
      <c r="R2909" s="2" t="inlineStr"/>
    </row>
    <row r="2910" ht="15" customHeight="1">
      <c r="A2910" t="inlineStr">
        <is>
          <t>A 20645-2023</t>
        </is>
      </c>
      <c r="B2910" s="1" t="n">
        <v>45058</v>
      </c>
      <c r="C2910" s="1" t="n">
        <v>45358</v>
      </c>
      <c r="D2910" t="inlineStr">
        <is>
          <t>HALLANDS LÄN</t>
        </is>
      </c>
      <c r="E2910" t="inlineStr">
        <is>
          <t>VARBERG</t>
        </is>
      </c>
      <c r="G2910" t="n">
        <v>0.6</v>
      </c>
      <c r="H2910" t="n">
        <v>0</v>
      </c>
      <c r="I2910" t="n">
        <v>0</v>
      </c>
      <c r="J2910" t="n">
        <v>0</v>
      </c>
      <c r="K2910" t="n">
        <v>0</v>
      </c>
      <c r="L2910" t="n">
        <v>0</v>
      </c>
      <c r="M2910" t="n">
        <v>0</v>
      </c>
      <c r="N2910" t="n">
        <v>0</v>
      </c>
      <c r="O2910" t="n">
        <v>0</v>
      </c>
      <c r="P2910" t="n">
        <v>0</v>
      </c>
      <c r="Q2910" t="n">
        <v>0</v>
      </c>
      <c r="R2910" s="2" t="inlineStr"/>
    </row>
    <row r="2911" ht="15" customHeight="1">
      <c r="A2911" t="inlineStr">
        <is>
          <t>A 20693-2023</t>
        </is>
      </c>
      <c r="B2911" s="1" t="n">
        <v>45058</v>
      </c>
      <c r="C2911" s="1" t="n">
        <v>45358</v>
      </c>
      <c r="D2911" t="inlineStr">
        <is>
          <t>HALLANDS LÄN</t>
        </is>
      </c>
      <c r="E2911" t="inlineStr">
        <is>
          <t>HYLTE</t>
        </is>
      </c>
      <c r="G2911" t="n">
        <v>0.7</v>
      </c>
      <c r="H2911" t="n">
        <v>0</v>
      </c>
      <c r="I2911" t="n">
        <v>0</v>
      </c>
      <c r="J2911" t="n">
        <v>0</v>
      </c>
      <c r="K2911" t="n">
        <v>0</v>
      </c>
      <c r="L2911" t="n">
        <v>0</v>
      </c>
      <c r="M2911" t="n">
        <v>0</v>
      </c>
      <c r="N2911" t="n">
        <v>0</v>
      </c>
      <c r="O2911" t="n">
        <v>0</v>
      </c>
      <c r="P2911" t="n">
        <v>0</v>
      </c>
      <c r="Q2911" t="n">
        <v>0</v>
      </c>
      <c r="R2911" s="2" t="inlineStr"/>
    </row>
    <row r="2912" ht="15" customHeight="1">
      <c r="A2912" t="inlineStr">
        <is>
          <t>A 20689-2023</t>
        </is>
      </c>
      <c r="B2912" s="1" t="n">
        <v>45058</v>
      </c>
      <c r="C2912" s="1" t="n">
        <v>45358</v>
      </c>
      <c r="D2912" t="inlineStr">
        <is>
          <t>HALLANDS LÄN</t>
        </is>
      </c>
      <c r="E2912" t="inlineStr">
        <is>
          <t>FALKENBERG</t>
        </is>
      </c>
      <c r="G2912" t="n">
        <v>1.1</v>
      </c>
      <c r="H2912" t="n">
        <v>0</v>
      </c>
      <c r="I2912" t="n">
        <v>0</v>
      </c>
      <c r="J2912" t="n">
        <v>0</v>
      </c>
      <c r="K2912" t="n">
        <v>0</v>
      </c>
      <c r="L2912" t="n">
        <v>0</v>
      </c>
      <c r="M2912" t="n">
        <v>0</v>
      </c>
      <c r="N2912" t="n">
        <v>0</v>
      </c>
      <c r="O2912" t="n">
        <v>0</v>
      </c>
      <c r="P2912" t="n">
        <v>0</v>
      </c>
      <c r="Q2912" t="n">
        <v>0</v>
      </c>
      <c r="R2912" s="2" t="inlineStr"/>
    </row>
    <row r="2913" ht="15" customHeight="1">
      <c r="A2913" t="inlineStr">
        <is>
          <t>A 20695-2023</t>
        </is>
      </c>
      <c r="B2913" s="1" t="n">
        <v>45058</v>
      </c>
      <c r="C2913" s="1" t="n">
        <v>45358</v>
      </c>
      <c r="D2913" t="inlineStr">
        <is>
          <t>HALLANDS LÄN</t>
        </is>
      </c>
      <c r="E2913" t="inlineStr">
        <is>
          <t>HYLTE</t>
        </is>
      </c>
      <c r="G2913" t="n">
        <v>1.6</v>
      </c>
      <c r="H2913" t="n">
        <v>0</v>
      </c>
      <c r="I2913" t="n">
        <v>0</v>
      </c>
      <c r="J2913" t="n">
        <v>0</v>
      </c>
      <c r="K2913" t="n">
        <v>0</v>
      </c>
      <c r="L2913" t="n">
        <v>0</v>
      </c>
      <c r="M2913" t="n">
        <v>0</v>
      </c>
      <c r="N2913" t="n">
        <v>0</v>
      </c>
      <c r="O2913" t="n">
        <v>0</v>
      </c>
      <c r="P2913" t="n">
        <v>0</v>
      </c>
      <c r="Q2913" t="n">
        <v>0</v>
      </c>
      <c r="R2913" s="2" t="inlineStr"/>
    </row>
    <row r="2914" ht="15" customHeight="1">
      <c r="A2914" t="inlineStr">
        <is>
          <t>A 21262-2023</t>
        </is>
      </c>
      <c r="B2914" s="1" t="n">
        <v>45058</v>
      </c>
      <c r="C2914" s="1" t="n">
        <v>45358</v>
      </c>
      <c r="D2914" t="inlineStr">
        <is>
          <t>HALLANDS LÄN</t>
        </is>
      </c>
      <c r="E2914" t="inlineStr">
        <is>
          <t>FALKENBERG</t>
        </is>
      </c>
      <c r="G2914" t="n">
        <v>3.1</v>
      </c>
      <c r="H2914" t="n">
        <v>0</v>
      </c>
      <c r="I2914" t="n">
        <v>0</v>
      </c>
      <c r="J2914" t="n">
        <v>0</v>
      </c>
      <c r="K2914" t="n">
        <v>0</v>
      </c>
      <c r="L2914" t="n">
        <v>0</v>
      </c>
      <c r="M2914" t="n">
        <v>0</v>
      </c>
      <c r="N2914" t="n">
        <v>0</v>
      </c>
      <c r="O2914" t="n">
        <v>0</v>
      </c>
      <c r="P2914" t="n">
        <v>0</v>
      </c>
      <c r="Q2914" t="n">
        <v>0</v>
      </c>
      <c r="R2914" s="2" t="inlineStr"/>
    </row>
    <row r="2915" ht="15" customHeight="1">
      <c r="A2915" t="inlineStr">
        <is>
          <t>A 20893-2023</t>
        </is>
      </c>
      <c r="B2915" s="1" t="n">
        <v>45059</v>
      </c>
      <c r="C2915" s="1" t="n">
        <v>45358</v>
      </c>
      <c r="D2915" t="inlineStr">
        <is>
          <t>HALLANDS LÄN</t>
        </is>
      </c>
      <c r="E2915" t="inlineStr">
        <is>
          <t>FALKENBERG</t>
        </is>
      </c>
      <c r="G2915" t="n">
        <v>8.699999999999999</v>
      </c>
      <c r="H2915" t="n">
        <v>0</v>
      </c>
      <c r="I2915" t="n">
        <v>0</v>
      </c>
      <c r="J2915" t="n">
        <v>0</v>
      </c>
      <c r="K2915" t="n">
        <v>0</v>
      </c>
      <c r="L2915" t="n">
        <v>0</v>
      </c>
      <c r="M2915" t="n">
        <v>0</v>
      </c>
      <c r="N2915" t="n">
        <v>0</v>
      </c>
      <c r="O2915" t="n">
        <v>0</v>
      </c>
      <c r="P2915" t="n">
        <v>0</v>
      </c>
      <c r="Q2915" t="n">
        <v>0</v>
      </c>
      <c r="R2915" s="2" t="inlineStr"/>
    </row>
    <row r="2916" ht="15" customHeight="1">
      <c r="A2916" t="inlineStr">
        <is>
          <t>A 21087-2023</t>
        </is>
      </c>
      <c r="B2916" s="1" t="n">
        <v>45061</v>
      </c>
      <c r="C2916" s="1" t="n">
        <v>45358</v>
      </c>
      <c r="D2916" t="inlineStr">
        <is>
          <t>HALLANDS LÄN</t>
        </is>
      </c>
      <c r="E2916" t="inlineStr">
        <is>
          <t>HYLTE</t>
        </is>
      </c>
      <c r="G2916" t="n">
        <v>4.4</v>
      </c>
      <c r="H2916" t="n">
        <v>0</v>
      </c>
      <c r="I2916" t="n">
        <v>0</v>
      </c>
      <c r="J2916" t="n">
        <v>0</v>
      </c>
      <c r="K2916" t="n">
        <v>0</v>
      </c>
      <c r="L2916" t="n">
        <v>0</v>
      </c>
      <c r="M2916" t="n">
        <v>0</v>
      </c>
      <c r="N2916" t="n">
        <v>0</v>
      </c>
      <c r="O2916" t="n">
        <v>0</v>
      </c>
      <c r="P2916" t="n">
        <v>0</v>
      </c>
      <c r="Q2916" t="n">
        <v>0</v>
      </c>
      <c r="R2916" s="2" t="inlineStr"/>
    </row>
    <row r="2917" ht="15" customHeight="1">
      <c r="A2917" t="inlineStr">
        <is>
          <t>A 21088-2023</t>
        </is>
      </c>
      <c r="B2917" s="1" t="n">
        <v>45061</v>
      </c>
      <c r="C2917" s="1" t="n">
        <v>45358</v>
      </c>
      <c r="D2917" t="inlineStr">
        <is>
          <t>HALLANDS LÄN</t>
        </is>
      </c>
      <c r="E2917" t="inlineStr">
        <is>
          <t>HYLTE</t>
        </is>
      </c>
      <c r="G2917" t="n">
        <v>1.4</v>
      </c>
      <c r="H2917" t="n">
        <v>0</v>
      </c>
      <c r="I2917" t="n">
        <v>0</v>
      </c>
      <c r="J2917" t="n">
        <v>0</v>
      </c>
      <c r="K2917" t="n">
        <v>0</v>
      </c>
      <c r="L2917" t="n">
        <v>0</v>
      </c>
      <c r="M2917" t="n">
        <v>0</v>
      </c>
      <c r="N2917" t="n">
        <v>0</v>
      </c>
      <c r="O2917" t="n">
        <v>0</v>
      </c>
      <c r="P2917" t="n">
        <v>0</v>
      </c>
      <c r="Q2917" t="n">
        <v>0</v>
      </c>
      <c r="R2917" s="2" t="inlineStr"/>
    </row>
    <row r="2918" ht="15" customHeight="1">
      <c r="A2918" t="inlineStr">
        <is>
          <t>A 21011-2023</t>
        </is>
      </c>
      <c r="B2918" s="1" t="n">
        <v>45061</v>
      </c>
      <c r="C2918" s="1" t="n">
        <v>45358</v>
      </c>
      <c r="D2918" t="inlineStr">
        <is>
          <t>HALLANDS LÄN</t>
        </is>
      </c>
      <c r="E2918" t="inlineStr">
        <is>
          <t>FALKENBERG</t>
        </is>
      </c>
      <c r="G2918" t="n">
        <v>0.8</v>
      </c>
      <c r="H2918" t="n">
        <v>0</v>
      </c>
      <c r="I2918" t="n">
        <v>0</v>
      </c>
      <c r="J2918" t="n">
        <v>0</v>
      </c>
      <c r="K2918" t="n">
        <v>0</v>
      </c>
      <c r="L2918" t="n">
        <v>0</v>
      </c>
      <c r="M2918" t="n">
        <v>0</v>
      </c>
      <c r="N2918" t="n">
        <v>0</v>
      </c>
      <c r="O2918" t="n">
        <v>0</v>
      </c>
      <c r="P2918" t="n">
        <v>0</v>
      </c>
      <c r="Q2918" t="n">
        <v>0</v>
      </c>
      <c r="R2918" s="2" t="inlineStr"/>
    </row>
    <row r="2919" ht="15" customHeight="1">
      <c r="A2919" t="inlineStr">
        <is>
          <t>A 21163-2023</t>
        </is>
      </c>
      <c r="B2919" s="1" t="n">
        <v>45062</v>
      </c>
      <c r="C2919" s="1" t="n">
        <v>45358</v>
      </c>
      <c r="D2919" t="inlineStr">
        <is>
          <t>HALLANDS LÄN</t>
        </is>
      </c>
      <c r="E2919" t="inlineStr">
        <is>
          <t>KUNGSBACKA</t>
        </is>
      </c>
      <c r="G2919" t="n">
        <v>3.3</v>
      </c>
      <c r="H2919" t="n">
        <v>0</v>
      </c>
      <c r="I2919" t="n">
        <v>0</v>
      </c>
      <c r="J2919" t="n">
        <v>0</v>
      </c>
      <c r="K2919" t="n">
        <v>0</v>
      </c>
      <c r="L2919" t="n">
        <v>0</v>
      </c>
      <c r="M2919" t="n">
        <v>0</v>
      </c>
      <c r="N2919" t="n">
        <v>0</v>
      </c>
      <c r="O2919" t="n">
        <v>0</v>
      </c>
      <c r="P2919" t="n">
        <v>0</v>
      </c>
      <c r="Q2919" t="n">
        <v>0</v>
      </c>
      <c r="R2919" s="2" t="inlineStr"/>
    </row>
    <row r="2920" ht="15" customHeight="1">
      <c r="A2920" t="inlineStr">
        <is>
          <t>A 21169-2023</t>
        </is>
      </c>
      <c r="B2920" s="1" t="n">
        <v>45062</v>
      </c>
      <c r="C2920" s="1" t="n">
        <v>45358</v>
      </c>
      <c r="D2920" t="inlineStr">
        <is>
          <t>HALLANDS LÄN</t>
        </is>
      </c>
      <c r="E2920" t="inlineStr">
        <is>
          <t>KUNGSBACKA</t>
        </is>
      </c>
      <c r="G2920" t="n">
        <v>4.1</v>
      </c>
      <c r="H2920" t="n">
        <v>0</v>
      </c>
      <c r="I2920" t="n">
        <v>0</v>
      </c>
      <c r="J2920" t="n">
        <v>0</v>
      </c>
      <c r="K2920" t="n">
        <v>0</v>
      </c>
      <c r="L2920" t="n">
        <v>0</v>
      </c>
      <c r="M2920" t="n">
        <v>0</v>
      </c>
      <c r="N2920" t="n">
        <v>0</v>
      </c>
      <c r="O2920" t="n">
        <v>0</v>
      </c>
      <c r="P2920" t="n">
        <v>0</v>
      </c>
      <c r="Q2920" t="n">
        <v>0</v>
      </c>
      <c r="R2920" s="2" t="inlineStr"/>
    </row>
    <row r="2921" ht="15" customHeight="1">
      <c r="A2921" t="inlineStr">
        <is>
          <t>A 21124-2023</t>
        </is>
      </c>
      <c r="B2921" s="1" t="n">
        <v>45062</v>
      </c>
      <c r="C2921" s="1" t="n">
        <v>45358</v>
      </c>
      <c r="D2921" t="inlineStr">
        <is>
          <t>HALLANDS LÄN</t>
        </is>
      </c>
      <c r="E2921" t="inlineStr">
        <is>
          <t>VARBERG</t>
        </is>
      </c>
      <c r="G2921" t="n">
        <v>1.5</v>
      </c>
      <c r="H2921" t="n">
        <v>0</v>
      </c>
      <c r="I2921" t="n">
        <v>0</v>
      </c>
      <c r="J2921" t="n">
        <v>0</v>
      </c>
      <c r="K2921" t="n">
        <v>0</v>
      </c>
      <c r="L2921" t="n">
        <v>0</v>
      </c>
      <c r="M2921" t="n">
        <v>0</v>
      </c>
      <c r="N2921" t="n">
        <v>0</v>
      </c>
      <c r="O2921" t="n">
        <v>0</v>
      </c>
      <c r="P2921" t="n">
        <v>0</v>
      </c>
      <c r="Q2921" t="n">
        <v>0</v>
      </c>
      <c r="R2921" s="2" t="inlineStr"/>
    </row>
    <row r="2922" ht="15" customHeight="1">
      <c r="A2922" t="inlineStr">
        <is>
          <t>A 21165-2023</t>
        </is>
      </c>
      <c r="B2922" s="1" t="n">
        <v>45062</v>
      </c>
      <c r="C2922" s="1" t="n">
        <v>45358</v>
      </c>
      <c r="D2922" t="inlineStr">
        <is>
          <t>HALLANDS LÄN</t>
        </is>
      </c>
      <c r="E2922" t="inlineStr">
        <is>
          <t>KUNGSBACKA</t>
        </is>
      </c>
      <c r="G2922" t="n">
        <v>3.6</v>
      </c>
      <c r="H2922" t="n">
        <v>0</v>
      </c>
      <c r="I2922" t="n">
        <v>0</v>
      </c>
      <c r="J2922" t="n">
        <v>0</v>
      </c>
      <c r="K2922" t="n">
        <v>0</v>
      </c>
      <c r="L2922" t="n">
        <v>0</v>
      </c>
      <c r="M2922" t="n">
        <v>0</v>
      </c>
      <c r="N2922" t="n">
        <v>0</v>
      </c>
      <c r="O2922" t="n">
        <v>0</v>
      </c>
      <c r="P2922" t="n">
        <v>0</v>
      </c>
      <c r="Q2922" t="n">
        <v>0</v>
      </c>
      <c r="R2922" s="2" t="inlineStr"/>
    </row>
    <row r="2923" ht="15" customHeight="1">
      <c r="A2923" t="inlineStr">
        <is>
          <t>A 21171-2023</t>
        </is>
      </c>
      <c r="B2923" s="1" t="n">
        <v>45062</v>
      </c>
      <c r="C2923" s="1" t="n">
        <v>45358</v>
      </c>
      <c r="D2923" t="inlineStr">
        <is>
          <t>HALLANDS LÄN</t>
        </is>
      </c>
      <c r="E2923" t="inlineStr">
        <is>
          <t>KUNGSBACKA</t>
        </is>
      </c>
      <c r="G2923" t="n">
        <v>3.3</v>
      </c>
      <c r="H2923" t="n">
        <v>0</v>
      </c>
      <c r="I2923" t="n">
        <v>0</v>
      </c>
      <c r="J2923" t="n">
        <v>0</v>
      </c>
      <c r="K2923" t="n">
        <v>0</v>
      </c>
      <c r="L2923" t="n">
        <v>0</v>
      </c>
      <c r="M2923" t="n">
        <v>0</v>
      </c>
      <c r="N2923" t="n">
        <v>0</v>
      </c>
      <c r="O2923" t="n">
        <v>0</v>
      </c>
      <c r="P2923" t="n">
        <v>0</v>
      </c>
      <c r="Q2923" t="n">
        <v>0</v>
      </c>
      <c r="R2923" s="2" t="inlineStr"/>
    </row>
    <row r="2924" ht="15" customHeight="1">
      <c r="A2924" t="inlineStr">
        <is>
          <t>A 21284-2023</t>
        </is>
      </c>
      <c r="B2924" s="1" t="n">
        <v>45062</v>
      </c>
      <c r="C2924" s="1" t="n">
        <v>45358</v>
      </c>
      <c r="D2924" t="inlineStr">
        <is>
          <t>HALLANDS LÄN</t>
        </is>
      </c>
      <c r="E2924" t="inlineStr">
        <is>
          <t>HYLTE</t>
        </is>
      </c>
      <c r="G2924" t="n">
        <v>0.5</v>
      </c>
      <c r="H2924" t="n">
        <v>0</v>
      </c>
      <c r="I2924" t="n">
        <v>0</v>
      </c>
      <c r="J2924" t="n">
        <v>0</v>
      </c>
      <c r="K2924" t="n">
        <v>0</v>
      </c>
      <c r="L2924" t="n">
        <v>0</v>
      </c>
      <c r="M2924" t="n">
        <v>0</v>
      </c>
      <c r="N2924" t="n">
        <v>0</v>
      </c>
      <c r="O2924" t="n">
        <v>0</v>
      </c>
      <c r="P2924" t="n">
        <v>0</v>
      </c>
      <c r="Q2924" t="n">
        <v>0</v>
      </c>
      <c r="R2924" s="2" t="inlineStr"/>
    </row>
    <row r="2925" ht="15" customHeight="1">
      <c r="A2925" t="inlineStr">
        <is>
          <t>A 21306-2023</t>
        </is>
      </c>
      <c r="B2925" s="1" t="n">
        <v>45062</v>
      </c>
      <c r="C2925" s="1" t="n">
        <v>45358</v>
      </c>
      <c r="D2925" t="inlineStr">
        <is>
          <t>HALLANDS LÄN</t>
        </is>
      </c>
      <c r="E2925" t="inlineStr">
        <is>
          <t>KUNGSBACKA</t>
        </is>
      </c>
      <c r="G2925" t="n">
        <v>3.9</v>
      </c>
      <c r="H2925" t="n">
        <v>0</v>
      </c>
      <c r="I2925" t="n">
        <v>0</v>
      </c>
      <c r="J2925" t="n">
        <v>0</v>
      </c>
      <c r="K2925" t="n">
        <v>0</v>
      </c>
      <c r="L2925" t="n">
        <v>0</v>
      </c>
      <c r="M2925" t="n">
        <v>0</v>
      </c>
      <c r="N2925" t="n">
        <v>0</v>
      </c>
      <c r="O2925" t="n">
        <v>0</v>
      </c>
      <c r="P2925" t="n">
        <v>0</v>
      </c>
      <c r="Q2925" t="n">
        <v>0</v>
      </c>
      <c r="R2925" s="2" t="inlineStr"/>
    </row>
    <row r="2926" ht="15" customHeight="1">
      <c r="A2926" t="inlineStr">
        <is>
          <t>A 21280-2023</t>
        </is>
      </c>
      <c r="B2926" s="1" t="n">
        <v>45062</v>
      </c>
      <c r="C2926" s="1" t="n">
        <v>45358</v>
      </c>
      <c r="D2926" t="inlineStr">
        <is>
          <t>HALLANDS LÄN</t>
        </is>
      </c>
      <c r="E2926" t="inlineStr">
        <is>
          <t>HYLTE</t>
        </is>
      </c>
      <c r="G2926" t="n">
        <v>0.9</v>
      </c>
      <c r="H2926" t="n">
        <v>0</v>
      </c>
      <c r="I2926" t="n">
        <v>0</v>
      </c>
      <c r="J2926" t="n">
        <v>0</v>
      </c>
      <c r="K2926" t="n">
        <v>0</v>
      </c>
      <c r="L2926" t="n">
        <v>0</v>
      </c>
      <c r="M2926" t="n">
        <v>0</v>
      </c>
      <c r="N2926" t="n">
        <v>0</v>
      </c>
      <c r="O2926" t="n">
        <v>0</v>
      </c>
      <c r="P2926" t="n">
        <v>0</v>
      </c>
      <c r="Q2926" t="n">
        <v>0</v>
      </c>
      <c r="R2926" s="2" t="inlineStr"/>
    </row>
    <row r="2927" ht="15" customHeight="1">
      <c r="A2927" t="inlineStr">
        <is>
          <t>A 21289-2023</t>
        </is>
      </c>
      <c r="B2927" s="1" t="n">
        <v>45062</v>
      </c>
      <c r="C2927" s="1" t="n">
        <v>45358</v>
      </c>
      <c r="D2927" t="inlineStr">
        <is>
          <t>HALLANDS LÄN</t>
        </is>
      </c>
      <c r="E2927" t="inlineStr">
        <is>
          <t>HYLTE</t>
        </is>
      </c>
      <c r="G2927" t="n">
        <v>0.8</v>
      </c>
      <c r="H2927" t="n">
        <v>0</v>
      </c>
      <c r="I2927" t="n">
        <v>0</v>
      </c>
      <c r="J2927" t="n">
        <v>0</v>
      </c>
      <c r="K2927" t="n">
        <v>0</v>
      </c>
      <c r="L2927" t="n">
        <v>0</v>
      </c>
      <c r="M2927" t="n">
        <v>0</v>
      </c>
      <c r="N2927" t="n">
        <v>0</v>
      </c>
      <c r="O2927" t="n">
        <v>0</v>
      </c>
      <c r="P2927" t="n">
        <v>0</v>
      </c>
      <c r="Q2927" t="n">
        <v>0</v>
      </c>
      <c r="R2927" s="2" t="inlineStr"/>
    </row>
    <row r="2928" ht="15" customHeight="1">
      <c r="A2928" t="inlineStr">
        <is>
          <t>A 21277-2023</t>
        </is>
      </c>
      <c r="B2928" s="1" t="n">
        <v>45062</v>
      </c>
      <c r="C2928" s="1" t="n">
        <v>45358</v>
      </c>
      <c r="D2928" t="inlineStr">
        <is>
          <t>HALLANDS LÄN</t>
        </is>
      </c>
      <c r="E2928" t="inlineStr">
        <is>
          <t>LAHOLM</t>
        </is>
      </c>
      <c r="G2928" t="n">
        <v>3</v>
      </c>
      <c r="H2928" t="n">
        <v>0</v>
      </c>
      <c r="I2928" t="n">
        <v>0</v>
      </c>
      <c r="J2928" t="n">
        <v>0</v>
      </c>
      <c r="K2928" t="n">
        <v>0</v>
      </c>
      <c r="L2928" t="n">
        <v>0</v>
      </c>
      <c r="M2928" t="n">
        <v>0</v>
      </c>
      <c r="N2928" t="n">
        <v>0</v>
      </c>
      <c r="O2928" t="n">
        <v>0</v>
      </c>
      <c r="P2928" t="n">
        <v>0</v>
      </c>
      <c r="Q2928" t="n">
        <v>0</v>
      </c>
      <c r="R2928" s="2" t="inlineStr"/>
    </row>
    <row r="2929" ht="15" customHeight="1">
      <c r="A2929" t="inlineStr">
        <is>
          <t>A 21394-2023</t>
        </is>
      </c>
      <c r="B2929" s="1" t="n">
        <v>45063</v>
      </c>
      <c r="C2929" s="1" t="n">
        <v>45358</v>
      </c>
      <c r="D2929" t="inlineStr">
        <is>
          <t>HALLANDS LÄN</t>
        </is>
      </c>
      <c r="E2929" t="inlineStr">
        <is>
          <t>VARBERG</t>
        </is>
      </c>
      <c r="G2929" t="n">
        <v>5.4</v>
      </c>
      <c r="H2929" t="n">
        <v>0</v>
      </c>
      <c r="I2929" t="n">
        <v>0</v>
      </c>
      <c r="J2929" t="n">
        <v>0</v>
      </c>
      <c r="K2929" t="n">
        <v>0</v>
      </c>
      <c r="L2929" t="n">
        <v>0</v>
      </c>
      <c r="M2929" t="n">
        <v>0</v>
      </c>
      <c r="N2929" t="n">
        <v>0</v>
      </c>
      <c r="O2929" t="n">
        <v>0</v>
      </c>
      <c r="P2929" t="n">
        <v>0</v>
      </c>
      <c r="Q2929" t="n">
        <v>0</v>
      </c>
      <c r="R2929" s="2" t="inlineStr"/>
    </row>
    <row r="2930" ht="15" customHeight="1">
      <c r="A2930" t="inlineStr">
        <is>
          <t>A 21501-2023</t>
        </is>
      </c>
      <c r="B2930" s="1" t="n">
        <v>45063</v>
      </c>
      <c r="C2930" s="1" t="n">
        <v>45358</v>
      </c>
      <c r="D2930" t="inlineStr">
        <is>
          <t>HALLANDS LÄN</t>
        </is>
      </c>
      <c r="E2930" t="inlineStr">
        <is>
          <t>HYLTE</t>
        </is>
      </c>
      <c r="G2930" t="n">
        <v>5</v>
      </c>
      <c r="H2930" t="n">
        <v>0</v>
      </c>
      <c r="I2930" t="n">
        <v>0</v>
      </c>
      <c r="J2930" t="n">
        <v>0</v>
      </c>
      <c r="K2930" t="n">
        <v>0</v>
      </c>
      <c r="L2930" t="n">
        <v>0</v>
      </c>
      <c r="M2930" t="n">
        <v>0</v>
      </c>
      <c r="N2930" t="n">
        <v>0</v>
      </c>
      <c r="O2930" t="n">
        <v>0</v>
      </c>
      <c r="P2930" t="n">
        <v>0</v>
      </c>
      <c r="Q2930" t="n">
        <v>0</v>
      </c>
      <c r="R2930" s="2" t="inlineStr"/>
    </row>
    <row r="2931" ht="15" customHeight="1">
      <c r="A2931" t="inlineStr">
        <is>
          <t>A 21372-2023</t>
        </is>
      </c>
      <c r="B2931" s="1" t="n">
        <v>45063</v>
      </c>
      <c r="C2931" s="1" t="n">
        <v>45358</v>
      </c>
      <c r="D2931" t="inlineStr">
        <is>
          <t>HALLANDS LÄN</t>
        </is>
      </c>
      <c r="E2931" t="inlineStr">
        <is>
          <t>HALMSTAD</t>
        </is>
      </c>
      <c r="G2931" t="n">
        <v>0.6</v>
      </c>
      <c r="H2931" t="n">
        <v>0</v>
      </c>
      <c r="I2931" t="n">
        <v>0</v>
      </c>
      <c r="J2931" t="n">
        <v>0</v>
      </c>
      <c r="K2931" t="n">
        <v>0</v>
      </c>
      <c r="L2931" t="n">
        <v>0</v>
      </c>
      <c r="M2931" t="n">
        <v>0</v>
      </c>
      <c r="N2931" t="n">
        <v>0</v>
      </c>
      <c r="O2931" t="n">
        <v>0</v>
      </c>
      <c r="P2931" t="n">
        <v>0</v>
      </c>
      <c r="Q2931" t="n">
        <v>0</v>
      </c>
      <c r="R2931" s="2" t="inlineStr"/>
    </row>
    <row r="2932" ht="15" customHeight="1">
      <c r="A2932" t="inlineStr">
        <is>
          <t>A 21723-2023</t>
        </is>
      </c>
      <c r="B2932" s="1" t="n">
        <v>45065</v>
      </c>
      <c r="C2932" s="1" t="n">
        <v>45358</v>
      </c>
      <c r="D2932" t="inlineStr">
        <is>
          <t>HALLANDS LÄN</t>
        </is>
      </c>
      <c r="E2932" t="inlineStr">
        <is>
          <t>HALMSTAD</t>
        </is>
      </c>
      <c r="G2932" t="n">
        <v>4.4</v>
      </c>
      <c r="H2932" t="n">
        <v>0</v>
      </c>
      <c r="I2932" t="n">
        <v>0</v>
      </c>
      <c r="J2932" t="n">
        <v>0</v>
      </c>
      <c r="K2932" t="n">
        <v>0</v>
      </c>
      <c r="L2932" t="n">
        <v>0</v>
      </c>
      <c r="M2932" t="n">
        <v>0</v>
      </c>
      <c r="N2932" t="n">
        <v>0</v>
      </c>
      <c r="O2932" t="n">
        <v>0</v>
      </c>
      <c r="P2932" t="n">
        <v>0</v>
      </c>
      <c r="Q2932" t="n">
        <v>0</v>
      </c>
      <c r="R2932" s="2" t="inlineStr"/>
    </row>
    <row r="2933" ht="15" customHeight="1">
      <c r="A2933" t="inlineStr">
        <is>
          <t>A 21725-2023</t>
        </is>
      </c>
      <c r="B2933" s="1" t="n">
        <v>45065</v>
      </c>
      <c r="C2933" s="1" t="n">
        <v>45358</v>
      </c>
      <c r="D2933" t="inlineStr">
        <is>
          <t>HALLANDS LÄN</t>
        </is>
      </c>
      <c r="E2933" t="inlineStr">
        <is>
          <t>HALMSTAD</t>
        </is>
      </c>
      <c r="G2933" t="n">
        <v>3.5</v>
      </c>
      <c r="H2933" t="n">
        <v>0</v>
      </c>
      <c r="I2933" t="n">
        <v>0</v>
      </c>
      <c r="J2933" t="n">
        <v>0</v>
      </c>
      <c r="K2933" t="n">
        <v>0</v>
      </c>
      <c r="L2933" t="n">
        <v>0</v>
      </c>
      <c r="M2933" t="n">
        <v>0</v>
      </c>
      <c r="N2933" t="n">
        <v>0</v>
      </c>
      <c r="O2933" t="n">
        <v>0</v>
      </c>
      <c r="P2933" t="n">
        <v>0</v>
      </c>
      <c r="Q2933" t="n">
        <v>0</v>
      </c>
      <c r="R2933" s="2" t="inlineStr"/>
    </row>
    <row r="2934" ht="15" customHeight="1">
      <c r="A2934" t="inlineStr">
        <is>
          <t>A 21721-2023</t>
        </is>
      </c>
      <c r="B2934" s="1" t="n">
        <v>45065</v>
      </c>
      <c r="C2934" s="1" t="n">
        <v>45358</v>
      </c>
      <c r="D2934" t="inlineStr">
        <is>
          <t>HALLANDS LÄN</t>
        </is>
      </c>
      <c r="E2934" t="inlineStr">
        <is>
          <t>KUNGSBACKA</t>
        </is>
      </c>
      <c r="G2934" t="n">
        <v>1.7</v>
      </c>
      <c r="H2934" t="n">
        <v>0</v>
      </c>
      <c r="I2934" t="n">
        <v>0</v>
      </c>
      <c r="J2934" t="n">
        <v>0</v>
      </c>
      <c r="K2934" t="n">
        <v>0</v>
      </c>
      <c r="L2934" t="n">
        <v>0</v>
      </c>
      <c r="M2934" t="n">
        <v>0</v>
      </c>
      <c r="N2934" t="n">
        <v>0</v>
      </c>
      <c r="O2934" t="n">
        <v>0</v>
      </c>
      <c r="P2934" t="n">
        <v>0</v>
      </c>
      <c r="Q2934" t="n">
        <v>0</v>
      </c>
      <c r="R2934" s="2" t="inlineStr"/>
    </row>
    <row r="2935" ht="15" customHeight="1">
      <c r="A2935" t="inlineStr">
        <is>
          <t>A 21915-2023</t>
        </is>
      </c>
      <c r="B2935" s="1" t="n">
        <v>45068</v>
      </c>
      <c r="C2935" s="1" t="n">
        <v>45358</v>
      </c>
      <c r="D2935" t="inlineStr">
        <is>
          <t>HALLANDS LÄN</t>
        </is>
      </c>
      <c r="E2935" t="inlineStr">
        <is>
          <t>FALKENBERG</t>
        </is>
      </c>
      <c r="G2935" t="n">
        <v>1.2</v>
      </c>
      <c r="H2935" t="n">
        <v>0</v>
      </c>
      <c r="I2935" t="n">
        <v>0</v>
      </c>
      <c r="J2935" t="n">
        <v>0</v>
      </c>
      <c r="K2935" t="n">
        <v>0</v>
      </c>
      <c r="L2935" t="n">
        <v>0</v>
      </c>
      <c r="M2935" t="n">
        <v>0</v>
      </c>
      <c r="N2935" t="n">
        <v>0</v>
      </c>
      <c r="O2935" t="n">
        <v>0</v>
      </c>
      <c r="P2935" t="n">
        <v>0</v>
      </c>
      <c r="Q2935" t="n">
        <v>0</v>
      </c>
      <c r="R2935" s="2" t="inlineStr"/>
    </row>
    <row r="2936" ht="15" customHeight="1">
      <c r="A2936" t="inlineStr">
        <is>
          <t>A 21814-2023</t>
        </is>
      </c>
      <c r="B2936" s="1" t="n">
        <v>45068</v>
      </c>
      <c r="C2936" s="1" t="n">
        <v>45358</v>
      </c>
      <c r="D2936" t="inlineStr">
        <is>
          <t>HALLANDS LÄN</t>
        </is>
      </c>
      <c r="E2936" t="inlineStr">
        <is>
          <t>FALKENBERG</t>
        </is>
      </c>
      <c r="G2936" t="n">
        <v>0.6</v>
      </c>
      <c r="H2936" t="n">
        <v>0</v>
      </c>
      <c r="I2936" t="n">
        <v>0</v>
      </c>
      <c r="J2936" t="n">
        <v>0</v>
      </c>
      <c r="K2936" t="n">
        <v>0</v>
      </c>
      <c r="L2936" t="n">
        <v>0</v>
      </c>
      <c r="M2936" t="n">
        <v>0</v>
      </c>
      <c r="N2936" t="n">
        <v>0</v>
      </c>
      <c r="O2936" t="n">
        <v>0</v>
      </c>
      <c r="P2936" t="n">
        <v>0</v>
      </c>
      <c r="Q2936" t="n">
        <v>0</v>
      </c>
      <c r="R2936" s="2" t="inlineStr"/>
    </row>
    <row r="2937" ht="15" customHeight="1">
      <c r="A2937" t="inlineStr">
        <is>
          <t>A 21977-2023</t>
        </is>
      </c>
      <c r="B2937" s="1" t="n">
        <v>45068</v>
      </c>
      <c r="C2937" s="1" t="n">
        <v>45358</v>
      </c>
      <c r="D2937" t="inlineStr">
        <is>
          <t>HALLANDS LÄN</t>
        </is>
      </c>
      <c r="E2937" t="inlineStr">
        <is>
          <t>VARBERG</t>
        </is>
      </c>
      <c r="G2937" t="n">
        <v>2.2</v>
      </c>
      <c r="H2937" t="n">
        <v>0</v>
      </c>
      <c r="I2937" t="n">
        <v>0</v>
      </c>
      <c r="J2937" t="n">
        <v>0</v>
      </c>
      <c r="K2937" t="n">
        <v>0</v>
      </c>
      <c r="L2937" t="n">
        <v>0</v>
      </c>
      <c r="M2937" t="n">
        <v>0</v>
      </c>
      <c r="N2937" t="n">
        <v>0</v>
      </c>
      <c r="O2937" t="n">
        <v>0</v>
      </c>
      <c r="P2937" t="n">
        <v>0</v>
      </c>
      <c r="Q2937" t="n">
        <v>0</v>
      </c>
      <c r="R2937" s="2" t="inlineStr"/>
    </row>
    <row r="2938" ht="15" customHeight="1">
      <c r="A2938" t="inlineStr">
        <is>
          <t>A 21815-2023</t>
        </is>
      </c>
      <c r="B2938" s="1" t="n">
        <v>45068</v>
      </c>
      <c r="C2938" s="1" t="n">
        <v>45358</v>
      </c>
      <c r="D2938" t="inlineStr">
        <is>
          <t>HALLANDS LÄN</t>
        </is>
      </c>
      <c r="E2938" t="inlineStr">
        <is>
          <t>FALKENBERG</t>
        </is>
      </c>
      <c r="G2938" t="n">
        <v>0.9</v>
      </c>
      <c r="H2938" t="n">
        <v>0</v>
      </c>
      <c r="I2938" t="n">
        <v>0</v>
      </c>
      <c r="J2938" t="n">
        <v>0</v>
      </c>
      <c r="K2938" t="n">
        <v>0</v>
      </c>
      <c r="L2938" t="n">
        <v>0</v>
      </c>
      <c r="M2938" t="n">
        <v>0</v>
      </c>
      <c r="N2938" t="n">
        <v>0</v>
      </c>
      <c r="O2938" t="n">
        <v>0</v>
      </c>
      <c r="P2938" t="n">
        <v>0</v>
      </c>
      <c r="Q2938" t="n">
        <v>0</v>
      </c>
      <c r="R2938" s="2" t="inlineStr"/>
    </row>
    <row r="2939" ht="15" customHeight="1">
      <c r="A2939" t="inlineStr">
        <is>
          <t>A 21869-2023</t>
        </is>
      </c>
      <c r="B2939" s="1" t="n">
        <v>45068</v>
      </c>
      <c r="C2939" s="1" t="n">
        <v>45358</v>
      </c>
      <c r="D2939" t="inlineStr">
        <is>
          <t>HALLANDS LÄN</t>
        </is>
      </c>
      <c r="E2939" t="inlineStr">
        <is>
          <t>HALMSTAD</t>
        </is>
      </c>
      <c r="G2939" t="n">
        <v>5.8</v>
      </c>
      <c r="H2939" t="n">
        <v>0</v>
      </c>
      <c r="I2939" t="n">
        <v>0</v>
      </c>
      <c r="J2939" t="n">
        <v>0</v>
      </c>
      <c r="K2939" t="n">
        <v>0</v>
      </c>
      <c r="L2939" t="n">
        <v>0</v>
      </c>
      <c r="M2939" t="n">
        <v>0</v>
      </c>
      <c r="N2939" t="n">
        <v>0</v>
      </c>
      <c r="O2939" t="n">
        <v>0</v>
      </c>
      <c r="P2939" t="n">
        <v>0</v>
      </c>
      <c r="Q2939" t="n">
        <v>0</v>
      </c>
      <c r="R2939" s="2" t="inlineStr"/>
    </row>
    <row r="2940" ht="15" customHeight="1">
      <c r="A2940" t="inlineStr">
        <is>
          <t>A 21978-2023</t>
        </is>
      </c>
      <c r="B2940" s="1" t="n">
        <v>45068</v>
      </c>
      <c r="C2940" s="1" t="n">
        <v>45358</v>
      </c>
      <c r="D2940" t="inlineStr">
        <is>
          <t>HALLANDS LÄN</t>
        </is>
      </c>
      <c r="E2940" t="inlineStr">
        <is>
          <t>FALKENBERG</t>
        </is>
      </c>
      <c r="G2940" t="n">
        <v>13</v>
      </c>
      <c r="H2940" t="n">
        <v>0</v>
      </c>
      <c r="I2940" t="n">
        <v>0</v>
      </c>
      <c r="J2940" t="n">
        <v>0</v>
      </c>
      <c r="K2940" t="n">
        <v>0</v>
      </c>
      <c r="L2940" t="n">
        <v>0</v>
      </c>
      <c r="M2940" t="n">
        <v>0</v>
      </c>
      <c r="N2940" t="n">
        <v>0</v>
      </c>
      <c r="O2940" t="n">
        <v>0</v>
      </c>
      <c r="P2940" t="n">
        <v>0</v>
      </c>
      <c r="Q2940" t="n">
        <v>0</v>
      </c>
      <c r="R2940" s="2" t="inlineStr"/>
    </row>
    <row r="2941" ht="15" customHeight="1">
      <c r="A2941" t="inlineStr">
        <is>
          <t>A 21995-2023</t>
        </is>
      </c>
      <c r="B2941" s="1" t="n">
        <v>45068</v>
      </c>
      <c r="C2941" s="1" t="n">
        <v>45358</v>
      </c>
      <c r="D2941" t="inlineStr">
        <is>
          <t>HALLANDS LÄN</t>
        </is>
      </c>
      <c r="E2941" t="inlineStr">
        <is>
          <t>FALKENBERG</t>
        </is>
      </c>
      <c r="G2941" t="n">
        <v>7.1</v>
      </c>
      <c r="H2941" t="n">
        <v>0</v>
      </c>
      <c r="I2941" t="n">
        <v>0</v>
      </c>
      <c r="J2941" t="n">
        <v>0</v>
      </c>
      <c r="K2941" t="n">
        <v>0</v>
      </c>
      <c r="L2941" t="n">
        <v>0</v>
      </c>
      <c r="M2941" t="n">
        <v>0</v>
      </c>
      <c r="N2941" t="n">
        <v>0</v>
      </c>
      <c r="O2941" t="n">
        <v>0</v>
      </c>
      <c r="P2941" t="n">
        <v>0</v>
      </c>
      <c r="Q2941" t="n">
        <v>0</v>
      </c>
      <c r="R2941" s="2" t="inlineStr"/>
    </row>
    <row r="2942" ht="15" customHeight="1">
      <c r="A2942" t="inlineStr">
        <is>
          <t>A 22158-2023</t>
        </is>
      </c>
      <c r="B2942" s="1" t="n">
        <v>45069</v>
      </c>
      <c r="C2942" s="1" t="n">
        <v>45358</v>
      </c>
      <c r="D2942" t="inlineStr">
        <is>
          <t>HALLANDS LÄN</t>
        </is>
      </c>
      <c r="E2942" t="inlineStr">
        <is>
          <t>LAHOLM</t>
        </is>
      </c>
      <c r="G2942" t="n">
        <v>1.6</v>
      </c>
      <c r="H2942" t="n">
        <v>0</v>
      </c>
      <c r="I2942" t="n">
        <v>0</v>
      </c>
      <c r="J2942" t="n">
        <v>0</v>
      </c>
      <c r="K2942" t="n">
        <v>0</v>
      </c>
      <c r="L2942" t="n">
        <v>0</v>
      </c>
      <c r="M2942" t="n">
        <v>0</v>
      </c>
      <c r="N2942" t="n">
        <v>0</v>
      </c>
      <c r="O2942" t="n">
        <v>0</v>
      </c>
      <c r="P2942" t="n">
        <v>0</v>
      </c>
      <c r="Q2942" t="n">
        <v>0</v>
      </c>
      <c r="R2942" s="2" t="inlineStr"/>
    </row>
    <row r="2943" ht="15" customHeight="1">
      <c r="A2943" t="inlineStr">
        <is>
          <t>A 22245-2023</t>
        </is>
      </c>
      <c r="B2943" s="1" t="n">
        <v>45070</v>
      </c>
      <c r="C2943" s="1" t="n">
        <v>45358</v>
      </c>
      <c r="D2943" t="inlineStr">
        <is>
          <t>HALLANDS LÄN</t>
        </is>
      </c>
      <c r="E2943" t="inlineStr">
        <is>
          <t>HYLTE</t>
        </is>
      </c>
      <c r="G2943" t="n">
        <v>1.1</v>
      </c>
      <c r="H2943" t="n">
        <v>0</v>
      </c>
      <c r="I2943" t="n">
        <v>0</v>
      </c>
      <c r="J2943" t="n">
        <v>0</v>
      </c>
      <c r="K2943" t="n">
        <v>0</v>
      </c>
      <c r="L2943" t="n">
        <v>0</v>
      </c>
      <c r="M2943" t="n">
        <v>0</v>
      </c>
      <c r="N2943" t="n">
        <v>0</v>
      </c>
      <c r="O2943" t="n">
        <v>0</v>
      </c>
      <c r="P2943" t="n">
        <v>0</v>
      </c>
      <c r="Q2943" t="n">
        <v>0</v>
      </c>
      <c r="R2943" s="2" t="inlineStr"/>
    </row>
    <row r="2944" ht="15" customHeight="1">
      <c r="A2944" t="inlineStr">
        <is>
          <t>A 22244-2023</t>
        </is>
      </c>
      <c r="B2944" s="1" t="n">
        <v>45070</v>
      </c>
      <c r="C2944" s="1" t="n">
        <v>45358</v>
      </c>
      <c r="D2944" t="inlineStr">
        <is>
          <t>HALLANDS LÄN</t>
        </is>
      </c>
      <c r="E2944" t="inlineStr">
        <is>
          <t>HYLTE</t>
        </is>
      </c>
      <c r="G2944" t="n">
        <v>4</v>
      </c>
      <c r="H2944" t="n">
        <v>0</v>
      </c>
      <c r="I2944" t="n">
        <v>0</v>
      </c>
      <c r="J2944" t="n">
        <v>0</v>
      </c>
      <c r="K2944" t="n">
        <v>0</v>
      </c>
      <c r="L2944" t="n">
        <v>0</v>
      </c>
      <c r="M2944" t="n">
        <v>0</v>
      </c>
      <c r="N2944" t="n">
        <v>0</v>
      </c>
      <c r="O2944" t="n">
        <v>0</v>
      </c>
      <c r="P2944" t="n">
        <v>0</v>
      </c>
      <c r="Q2944" t="n">
        <v>0</v>
      </c>
      <c r="R2944" s="2" t="inlineStr"/>
    </row>
    <row r="2945" ht="15" customHeight="1">
      <c r="A2945" t="inlineStr">
        <is>
          <t>A 22234-2023</t>
        </is>
      </c>
      <c r="B2945" s="1" t="n">
        <v>45070</v>
      </c>
      <c r="C2945" s="1" t="n">
        <v>45358</v>
      </c>
      <c r="D2945" t="inlineStr">
        <is>
          <t>HALLANDS LÄN</t>
        </is>
      </c>
      <c r="E2945" t="inlineStr">
        <is>
          <t>VARBERG</t>
        </is>
      </c>
      <c r="G2945" t="n">
        <v>4</v>
      </c>
      <c r="H2945" t="n">
        <v>0</v>
      </c>
      <c r="I2945" t="n">
        <v>0</v>
      </c>
      <c r="J2945" t="n">
        <v>0</v>
      </c>
      <c r="K2945" t="n">
        <v>0</v>
      </c>
      <c r="L2945" t="n">
        <v>0</v>
      </c>
      <c r="M2945" t="n">
        <v>0</v>
      </c>
      <c r="N2945" t="n">
        <v>0</v>
      </c>
      <c r="O2945" t="n">
        <v>0</v>
      </c>
      <c r="P2945" t="n">
        <v>0</v>
      </c>
      <c r="Q2945" t="n">
        <v>0</v>
      </c>
      <c r="R2945" s="2" t="inlineStr"/>
    </row>
    <row r="2946" ht="15" customHeight="1">
      <c r="A2946" t="inlineStr">
        <is>
          <t>A 22253-2023</t>
        </is>
      </c>
      <c r="B2946" s="1" t="n">
        <v>45070</v>
      </c>
      <c r="C2946" s="1" t="n">
        <v>45358</v>
      </c>
      <c r="D2946" t="inlineStr">
        <is>
          <t>HALLANDS LÄN</t>
        </is>
      </c>
      <c r="E2946" t="inlineStr">
        <is>
          <t>LAHOLM</t>
        </is>
      </c>
      <c r="G2946" t="n">
        <v>1.2</v>
      </c>
      <c r="H2946" t="n">
        <v>0</v>
      </c>
      <c r="I2946" t="n">
        <v>0</v>
      </c>
      <c r="J2946" t="n">
        <v>0</v>
      </c>
      <c r="K2946" t="n">
        <v>0</v>
      </c>
      <c r="L2946" t="n">
        <v>0</v>
      </c>
      <c r="M2946" t="n">
        <v>0</v>
      </c>
      <c r="N2946" t="n">
        <v>0</v>
      </c>
      <c r="O2946" t="n">
        <v>0</v>
      </c>
      <c r="P2946" t="n">
        <v>0</v>
      </c>
      <c r="Q2946" t="n">
        <v>0</v>
      </c>
      <c r="R2946" s="2" t="inlineStr"/>
    </row>
    <row r="2947" ht="15" customHeight="1">
      <c r="A2947" t="inlineStr">
        <is>
          <t>A 22526-2023</t>
        </is>
      </c>
      <c r="B2947" s="1" t="n">
        <v>45070</v>
      </c>
      <c r="C2947" s="1" t="n">
        <v>45358</v>
      </c>
      <c r="D2947" t="inlineStr">
        <is>
          <t>HALLANDS LÄN</t>
        </is>
      </c>
      <c r="E2947" t="inlineStr">
        <is>
          <t>HYLTE</t>
        </is>
      </c>
      <c r="G2947" t="n">
        <v>2.2</v>
      </c>
      <c r="H2947" t="n">
        <v>0</v>
      </c>
      <c r="I2947" t="n">
        <v>0</v>
      </c>
      <c r="J2947" t="n">
        <v>0</v>
      </c>
      <c r="K2947" t="n">
        <v>0</v>
      </c>
      <c r="L2947" t="n">
        <v>0</v>
      </c>
      <c r="M2947" t="n">
        <v>0</v>
      </c>
      <c r="N2947" t="n">
        <v>0</v>
      </c>
      <c r="O2947" t="n">
        <v>0</v>
      </c>
      <c r="P2947" t="n">
        <v>0</v>
      </c>
      <c r="Q2947" t="n">
        <v>0</v>
      </c>
      <c r="R2947" s="2" t="inlineStr"/>
    </row>
    <row r="2948" ht="15" customHeight="1">
      <c r="A2948" t="inlineStr">
        <is>
          <t>A 22493-2023</t>
        </is>
      </c>
      <c r="B2948" s="1" t="n">
        <v>45071</v>
      </c>
      <c r="C2948" s="1" t="n">
        <v>45358</v>
      </c>
      <c r="D2948" t="inlineStr">
        <is>
          <t>HALLANDS LÄN</t>
        </is>
      </c>
      <c r="E2948" t="inlineStr">
        <is>
          <t>FALKENBERG</t>
        </is>
      </c>
      <c r="G2948" t="n">
        <v>4.5</v>
      </c>
      <c r="H2948" t="n">
        <v>0</v>
      </c>
      <c r="I2948" t="n">
        <v>0</v>
      </c>
      <c r="J2948" t="n">
        <v>0</v>
      </c>
      <c r="K2948" t="n">
        <v>0</v>
      </c>
      <c r="L2948" t="n">
        <v>0</v>
      </c>
      <c r="M2948" t="n">
        <v>0</v>
      </c>
      <c r="N2948" t="n">
        <v>0</v>
      </c>
      <c r="O2948" t="n">
        <v>0</v>
      </c>
      <c r="P2948" t="n">
        <v>0</v>
      </c>
      <c r="Q2948" t="n">
        <v>0</v>
      </c>
      <c r="R2948" s="2" t="inlineStr"/>
    </row>
    <row r="2949" ht="15" customHeight="1">
      <c r="A2949" t="inlineStr">
        <is>
          <t>A 22546-2023</t>
        </is>
      </c>
      <c r="B2949" s="1" t="n">
        <v>45071</v>
      </c>
      <c r="C2949" s="1" t="n">
        <v>45358</v>
      </c>
      <c r="D2949" t="inlineStr">
        <is>
          <t>HALLANDS LÄN</t>
        </is>
      </c>
      <c r="E2949" t="inlineStr">
        <is>
          <t>FALKENBERG</t>
        </is>
      </c>
      <c r="G2949" t="n">
        <v>3</v>
      </c>
      <c r="H2949" t="n">
        <v>0</v>
      </c>
      <c r="I2949" t="n">
        <v>0</v>
      </c>
      <c r="J2949" t="n">
        <v>0</v>
      </c>
      <c r="K2949" t="n">
        <v>0</v>
      </c>
      <c r="L2949" t="n">
        <v>0</v>
      </c>
      <c r="M2949" t="n">
        <v>0</v>
      </c>
      <c r="N2949" t="n">
        <v>0</v>
      </c>
      <c r="O2949" t="n">
        <v>0</v>
      </c>
      <c r="P2949" t="n">
        <v>0</v>
      </c>
      <c r="Q2949" t="n">
        <v>0</v>
      </c>
      <c r="R2949" s="2" t="inlineStr"/>
    </row>
    <row r="2950" ht="15" customHeight="1">
      <c r="A2950" t="inlineStr">
        <is>
          <t>A 22584-2023</t>
        </is>
      </c>
      <c r="B2950" s="1" t="n">
        <v>45071</v>
      </c>
      <c r="C2950" s="1" t="n">
        <v>45358</v>
      </c>
      <c r="D2950" t="inlineStr">
        <is>
          <t>HALLANDS LÄN</t>
        </is>
      </c>
      <c r="E2950" t="inlineStr">
        <is>
          <t>LAHOLM</t>
        </is>
      </c>
      <c r="G2950" t="n">
        <v>0.5</v>
      </c>
      <c r="H2950" t="n">
        <v>0</v>
      </c>
      <c r="I2950" t="n">
        <v>0</v>
      </c>
      <c r="J2950" t="n">
        <v>0</v>
      </c>
      <c r="K2950" t="n">
        <v>0</v>
      </c>
      <c r="L2950" t="n">
        <v>0</v>
      </c>
      <c r="M2950" t="n">
        <v>0</v>
      </c>
      <c r="N2950" t="n">
        <v>0</v>
      </c>
      <c r="O2950" t="n">
        <v>0</v>
      </c>
      <c r="P2950" t="n">
        <v>0</v>
      </c>
      <c r="Q2950" t="n">
        <v>0</v>
      </c>
      <c r="R2950" s="2" t="inlineStr"/>
    </row>
    <row r="2951" ht="15" customHeight="1">
      <c r="A2951" t="inlineStr">
        <is>
          <t>A 22495-2023</t>
        </is>
      </c>
      <c r="B2951" s="1" t="n">
        <v>45071</v>
      </c>
      <c r="C2951" s="1" t="n">
        <v>45358</v>
      </c>
      <c r="D2951" t="inlineStr">
        <is>
          <t>HALLANDS LÄN</t>
        </is>
      </c>
      <c r="E2951" t="inlineStr">
        <is>
          <t>FALKENBERG</t>
        </is>
      </c>
      <c r="G2951" t="n">
        <v>0.7</v>
      </c>
      <c r="H2951" t="n">
        <v>0</v>
      </c>
      <c r="I2951" t="n">
        <v>0</v>
      </c>
      <c r="J2951" t="n">
        <v>0</v>
      </c>
      <c r="K2951" t="n">
        <v>0</v>
      </c>
      <c r="L2951" t="n">
        <v>0</v>
      </c>
      <c r="M2951" t="n">
        <v>0</v>
      </c>
      <c r="N2951" t="n">
        <v>0</v>
      </c>
      <c r="O2951" t="n">
        <v>0</v>
      </c>
      <c r="P2951" t="n">
        <v>0</v>
      </c>
      <c r="Q2951" t="n">
        <v>0</v>
      </c>
      <c r="R2951" s="2" t="inlineStr"/>
    </row>
    <row r="2952" ht="15" customHeight="1">
      <c r="A2952" t="inlineStr">
        <is>
          <t>A 22589-2023</t>
        </is>
      </c>
      <c r="B2952" s="1" t="n">
        <v>45071</v>
      </c>
      <c r="C2952" s="1" t="n">
        <v>45358</v>
      </c>
      <c r="D2952" t="inlineStr">
        <is>
          <t>HALLANDS LÄN</t>
        </is>
      </c>
      <c r="E2952" t="inlineStr">
        <is>
          <t>KUNGSBACKA</t>
        </is>
      </c>
      <c r="G2952" t="n">
        <v>1</v>
      </c>
      <c r="H2952" t="n">
        <v>0</v>
      </c>
      <c r="I2952" t="n">
        <v>0</v>
      </c>
      <c r="J2952" t="n">
        <v>0</v>
      </c>
      <c r="K2952" t="n">
        <v>0</v>
      </c>
      <c r="L2952" t="n">
        <v>0</v>
      </c>
      <c r="M2952" t="n">
        <v>0</v>
      </c>
      <c r="N2952" t="n">
        <v>0</v>
      </c>
      <c r="O2952" t="n">
        <v>0</v>
      </c>
      <c r="P2952" t="n">
        <v>0</v>
      </c>
      <c r="Q2952" t="n">
        <v>0</v>
      </c>
      <c r="R2952" s="2" t="inlineStr"/>
    </row>
    <row r="2953" ht="15" customHeight="1">
      <c r="A2953" t="inlineStr">
        <is>
          <t>A 22594-2023</t>
        </is>
      </c>
      <c r="B2953" s="1" t="n">
        <v>45071</v>
      </c>
      <c r="C2953" s="1" t="n">
        <v>45358</v>
      </c>
      <c r="D2953" t="inlineStr">
        <is>
          <t>HALLANDS LÄN</t>
        </is>
      </c>
      <c r="E2953" t="inlineStr">
        <is>
          <t>KUNGSBACKA</t>
        </is>
      </c>
      <c r="G2953" t="n">
        <v>1.4</v>
      </c>
      <c r="H2953" t="n">
        <v>0</v>
      </c>
      <c r="I2953" t="n">
        <v>0</v>
      </c>
      <c r="J2953" t="n">
        <v>0</v>
      </c>
      <c r="K2953" t="n">
        <v>0</v>
      </c>
      <c r="L2953" t="n">
        <v>0</v>
      </c>
      <c r="M2953" t="n">
        <v>0</v>
      </c>
      <c r="N2953" t="n">
        <v>0</v>
      </c>
      <c r="O2953" t="n">
        <v>0</v>
      </c>
      <c r="P2953" t="n">
        <v>0</v>
      </c>
      <c r="Q2953" t="n">
        <v>0</v>
      </c>
      <c r="R2953" s="2" t="inlineStr"/>
    </row>
    <row r="2954" ht="15" customHeight="1">
      <c r="A2954" t="inlineStr">
        <is>
          <t>A 22712-2023</t>
        </is>
      </c>
      <c r="B2954" s="1" t="n">
        <v>45071</v>
      </c>
      <c r="C2954" s="1" t="n">
        <v>45358</v>
      </c>
      <c r="D2954" t="inlineStr">
        <is>
          <t>HALLANDS LÄN</t>
        </is>
      </c>
      <c r="E2954" t="inlineStr">
        <is>
          <t>HALMSTAD</t>
        </is>
      </c>
      <c r="G2954" t="n">
        <v>0.7</v>
      </c>
      <c r="H2954" t="n">
        <v>0</v>
      </c>
      <c r="I2954" t="n">
        <v>0</v>
      </c>
      <c r="J2954" t="n">
        <v>0</v>
      </c>
      <c r="K2954" t="n">
        <v>0</v>
      </c>
      <c r="L2954" t="n">
        <v>0</v>
      </c>
      <c r="M2954" t="n">
        <v>0</v>
      </c>
      <c r="N2954" t="n">
        <v>0</v>
      </c>
      <c r="O2954" t="n">
        <v>0</v>
      </c>
      <c r="P2954" t="n">
        <v>0</v>
      </c>
      <c r="Q2954" t="n">
        <v>0</v>
      </c>
      <c r="R2954" s="2" t="inlineStr"/>
    </row>
    <row r="2955" ht="15" customHeight="1">
      <c r="A2955" t="inlineStr">
        <is>
          <t>A 22711-2023</t>
        </is>
      </c>
      <c r="B2955" s="1" t="n">
        <v>45071</v>
      </c>
      <c r="C2955" s="1" t="n">
        <v>45358</v>
      </c>
      <c r="D2955" t="inlineStr">
        <is>
          <t>HALLANDS LÄN</t>
        </is>
      </c>
      <c r="E2955" t="inlineStr">
        <is>
          <t>HALMSTAD</t>
        </is>
      </c>
      <c r="G2955" t="n">
        <v>2.2</v>
      </c>
      <c r="H2955" t="n">
        <v>0</v>
      </c>
      <c r="I2955" t="n">
        <v>0</v>
      </c>
      <c r="J2955" t="n">
        <v>0</v>
      </c>
      <c r="K2955" t="n">
        <v>0</v>
      </c>
      <c r="L2955" t="n">
        <v>0</v>
      </c>
      <c r="M2955" t="n">
        <v>0</v>
      </c>
      <c r="N2955" t="n">
        <v>0</v>
      </c>
      <c r="O2955" t="n">
        <v>0</v>
      </c>
      <c r="P2955" t="n">
        <v>0</v>
      </c>
      <c r="Q2955" t="n">
        <v>0</v>
      </c>
      <c r="R2955" s="2" t="inlineStr"/>
    </row>
    <row r="2956" ht="15" customHeight="1">
      <c r="A2956" t="inlineStr">
        <is>
          <t>A 22710-2023</t>
        </is>
      </c>
      <c r="B2956" s="1" t="n">
        <v>45071</v>
      </c>
      <c r="C2956" s="1" t="n">
        <v>45358</v>
      </c>
      <c r="D2956" t="inlineStr">
        <is>
          <t>HALLANDS LÄN</t>
        </is>
      </c>
      <c r="E2956" t="inlineStr">
        <is>
          <t>HALMSTAD</t>
        </is>
      </c>
      <c r="G2956" t="n">
        <v>2.7</v>
      </c>
      <c r="H2956" t="n">
        <v>0</v>
      </c>
      <c r="I2956" t="n">
        <v>0</v>
      </c>
      <c r="J2956" t="n">
        <v>0</v>
      </c>
      <c r="K2956" t="n">
        <v>0</v>
      </c>
      <c r="L2956" t="n">
        <v>0</v>
      </c>
      <c r="M2956" t="n">
        <v>0</v>
      </c>
      <c r="N2956" t="n">
        <v>0</v>
      </c>
      <c r="O2956" t="n">
        <v>0</v>
      </c>
      <c r="P2956" t="n">
        <v>0</v>
      </c>
      <c r="Q2956" t="n">
        <v>0</v>
      </c>
      <c r="R2956" s="2" t="inlineStr"/>
    </row>
    <row r="2957" ht="15" customHeight="1">
      <c r="A2957" t="inlineStr">
        <is>
          <t>A 23035-2023</t>
        </is>
      </c>
      <c r="B2957" s="1" t="n">
        <v>45074</v>
      </c>
      <c r="C2957" s="1" t="n">
        <v>45358</v>
      </c>
      <c r="D2957" t="inlineStr">
        <is>
          <t>HALLANDS LÄN</t>
        </is>
      </c>
      <c r="E2957" t="inlineStr">
        <is>
          <t>FALKENBERG</t>
        </is>
      </c>
      <c r="G2957" t="n">
        <v>3.6</v>
      </c>
      <c r="H2957" t="n">
        <v>0</v>
      </c>
      <c r="I2957" t="n">
        <v>0</v>
      </c>
      <c r="J2957" t="n">
        <v>0</v>
      </c>
      <c r="K2957" t="n">
        <v>0</v>
      </c>
      <c r="L2957" t="n">
        <v>0</v>
      </c>
      <c r="M2957" t="n">
        <v>0</v>
      </c>
      <c r="N2957" t="n">
        <v>0</v>
      </c>
      <c r="O2957" t="n">
        <v>0</v>
      </c>
      <c r="P2957" t="n">
        <v>0</v>
      </c>
      <c r="Q2957" t="n">
        <v>0</v>
      </c>
      <c r="R2957" s="2" t="inlineStr"/>
    </row>
    <row r="2958" ht="15" customHeight="1">
      <c r="A2958" t="inlineStr">
        <is>
          <t>A 23036-2023</t>
        </is>
      </c>
      <c r="B2958" s="1" t="n">
        <v>45074</v>
      </c>
      <c r="C2958" s="1" t="n">
        <v>45358</v>
      </c>
      <c r="D2958" t="inlineStr">
        <is>
          <t>HALLANDS LÄN</t>
        </is>
      </c>
      <c r="E2958" t="inlineStr">
        <is>
          <t>FALKENBERG</t>
        </is>
      </c>
      <c r="G2958" t="n">
        <v>2.7</v>
      </c>
      <c r="H2958" t="n">
        <v>0</v>
      </c>
      <c r="I2958" t="n">
        <v>0</v>
      </c>
      <c r="J2958" t="n">
        <v>0</v>
      </c>
      <c r="K2958" t="n">
        <v>0</v>
      </c>
      <c r="L2958" t="n">
        <v>0</v>
      </c>
      <c r="M2958" t="n">
        <v>0</v>
      </c>
      <c r="N2958" t="n">
        <v>0</v>
      </c>
      <c r="O2958" t="n">
        <v>0</v>
      </c>
      <c r="P2958" t="n">
        <v>0</v>
      </c>
      <c r="Q2958" t="n">
        <v>0</v>
      </c>
      <c r="R2958" s="2" t="inlineStr"/>
    </row>
    <row r="2959" ht="15" customHeight="1">
      <c r="A2959" t="inlineStr">
        <is>
          <t>A 23037-2023</t>
        </is>
      </c>
      <c r="B2959" s="1" t="n">
        <v>45074</v>
      </c>
      <c r="C2959" s="1" t="n">
        <v>45358</v>
      </c>
      <c r="D2959" t="inlineStr">
        <is>
          <t>HALLANDS LÄN</t>
        </is>
      </c>
      <c r="E2959" t="inlineStr">
        <is>
          <t>FALKENBERG</t>
        </is>
      </c>
      <c r="G2959" t="n">
        <v>6.8</v>
      </c>
      <c r="H2959" t="n">
        <v>0</v>
      </c>
      <c r="I2959" t="n">
        <v>0</v>
      </c>
      <c r="J2959" t="n">
        <v>0</v>
      </c>
      <c r="K2959" t="n">
        <v>0</v>
      </c>
      <c r="L2959" t="n">
        <v>0</v>
      </c>
      <c r="M2959" t="n">
        <v>0</v>
      </c>
      <c r="N2959" t="n">
        <v>0</v>
      </c>
      <c r="O2959" t="n">
        <v>0</v>
      </c>
      <c r="P2959" t="n">
        <v>0</v>
      </c>
      <c r="Q2959" t="n">
        <v>0</v>
      </c>
      <c r="R2959" s="2" t="inlineStr"/>
    </row>
    <row r="2960" ht="15" customHeight="1">
      <c r="A2960" t="inlineStr">
        <is>
          <t>A 23071-2023</t>
        </is>
      </c>
      <c r="B2960" s="1" t="n">
        <v>45075</v>
      </c>
      <c r="C2960" s="1" t="n">
        <v>45358</v>
      </c>
      <c r="D2960" t="inlineStr">
        <is>
          <t>HALLANDS LÄN</t>
        </is>
      </c>
      <c r="E2960" t="inlineStr">
        <is>
          <t>HYLTE</t>
        </is>
      </c>
      <c r="G2960" t="n">
        <v>1.4</v>
      </c>
      <c r="H2960" t="n">
        <v>0</v>
      </c>
      <c r="I2960" t="n">
        <v>0</v>
      </c>
      <c r="J2960" t="n">
        <v>0</v>
      </c>
      <c r="K2960" t="n">
        <v>0</v>
      </c>
      <c r="L2960" t="n">
        <v>0</v>
      </c>
      <c r="M2960" t="n">
        <v>0</v>
      </c>
      <c r="N2960" t="n">
        <v>0</v>
      </c>
      <c r="O2960" t="n">
        <v>0</v>
      </c>
      <c r="P2960" t="n">
        <v>0</v>
      </c>
      <c r="Q2960" t="n">
        <v>0</v>
      </c>
      <c r="R2960" s="2" t="inlineStr"/>
    </row>
    <row r="2961" ht="15" customHeight="1">
      <c r="A2961" t="inlineStr">
        <is>
          <t>A 23052-2023</t>
        </is>
      </c>
      <c r="B2961" s="1" t="n">
        <v>45075</v>
      </c>
      <c r="C2961" s="1" t="n">
        <v>45358</v>
      </c>
      <c r="D2961" t="inlineStr">
        <is>
          <t>HALLANDS LÄN</t>
        </is>
      </c>
      <c r="E2961" t="inlineStr">
        <is>
          <t>VARBERG</t>
        </is>
      </c>
      <c r="G2961" t="n">
        <v>0.5</v>
      </c>
      <c r="H2961" t="n">
        <v>0</v>
      </c>
      <c r="I2961" t="n">
        <v>0</v>
      </c>
      <c r="J2961" t="n">
        <v>0</v>
      </c>
      <c r="K2961" t="n">
        <v>0</v>
      </c>
      <c r="L2961" t="n">
        <v>0</v>
      </c>
      <c r="M2961" t="n">
        <v>0</v>
      </c>
      <c r="N2961" t="n">
        <v>0</v>
      </c>
      <c r="O2961" t="n">
        <v>0</v>
      </c>
      <c r="P2961" t="n">
        <v>0</v>
      </c>
      <c r="Q2961" t="n">
        <v>0</v>
      </c>
      <c r="R2961" s="2" t="inlineStr"/>
    </row>
    <row r="2962" ht="15" customHeight="1">
      <c r="A2962" t="inlineStr">
        <is>
          <t>A 23152-2023</t>
        </is>
      </c>
      <c r="B2962" s="1" t="n">
        <v>45075</v>
      </c>
      <c r="C2962" s="1" t="n">
        <v>45358</v>
      </c>
      <c r="D2962" t="inlineStr">
        <is>
          <t>HALLANDS LÄN</t>
        </is>
      </c>
      <c r="E2962" t="inlineStr">
        <is>
          <t>HYLTE</t>
        </is>
      </c>
      <c r="G2962" t="n">
        <v>6.2</v>
      </c>
      <c r="H2962" t="n">
        <v>0</v>
      </c>
      <c r="I2962" t="n">
        <v>0</v>
      </c>
      <c r="J2962" t="n">
        <v>0</v>
      </c>
      <c r="K2962" t="n">
        <v>0</v>
      </c>
      <c r="L2962" t="n">
        <v>0</v>
      </c>
      <c r="M2962" t="n">
        <v>0</v>
      </c>
      <c r="N2962" t="n">
        <v>0</v>
      </c>
      <c r="O2962" t="n">
        <v>0</v>
      </c>
      <c r="P2962" t="n">
        <v>0</v>
      </c>
      <c r="Q2962" t="n">
        <v>0</v>
      </c>
      <c r="R2962" s="2" t="inlineStr"/>
    </row>
    <row r="2963" ht="15" customHeight="1">
      <c r="A2963" t="inlineStr">
        <is>
          <t>A 23213-2023</t>
        </is>
      </c>
      <c r="B2963" s="1" t="n">
        <v>45075</v>
      </c>
      <c r="C2963" s="1" t="n">
        <v>45358</v>
      </c>
      <c r="D2963" t="inlineStr">
        <is>
          <t>HALLANDS LÄN</t>
        </is>
      </c>
      <c r="E2963" t="inlineStr">
        <is>
          <t>VARBERG</t>
        </is>
      </c>
      <c r="G2963" t="n">
        <v>0.9</v>
      </c>
      <c r="H2963" t="n">
        <v>0</v>
      </c>
      <c r="I2963" t="n">
        <v>0</v>
      </c>
      <c r="J2963" t="n">
        <v>0</v>
      </c>
      <c r="K2963" t="n">
        <v>0</v>
      </c>
      <c r="L2963" t="n">
        <v>0</v>
      </c>
      <c r="M2963" t="n">
        <v>0</v>
      </c>
      <c r="N2963" t="n">
        <v>0</v>
      </c>
      <c r="O2963" t="n">
        <v>0</v>
      </c>
      <c r="P2963" t="n">
        <v>0</v>
      </c>
      <c r="Q2963" t="n">
        <v>0</v>
      </c>
      <c r="R2963" s="2" t="inlineStr"/>
    </row>
    <row r="2964" ht="15" customHeight="1">
      <c r="A2964" t="inlineStr">
        <is>
          <t>A 23151-2023</t>
        </is>
      </c>
      <c r="B2964" s="1" t="n">
        <v>45075</v>
      </c>
      <c r="C2964" s="1" t="n">
        <v>45358</v>
      </c>
      <c r="D2964" t="inlineStr">
        <is>
          <t>HALLANDS LÄN</t>
        </is>
      </c>
      <c r="E2964" t="inlineStr">
        <is>
          <t>LAHOLM</t>
        </is>
      </c>
      <c r="F2964" t="inlineStr">
        <is>
          <t>Övriga Aktiebolag</t>
        </is>
      </c>
      <c r="G2964" t="n">
        <v>5.9</v>
      </c>
      <c r="H2964" t="n">
        <v>0</v>
      </c>
      <c r="I2964" t="n">
        <v>0</v>
      </c>
      <c r="J2964" t="n">
        <v>0</v>
      </c>
      <c r="K2964" t="n">
        <v>0</v>
      </c>
      <c r="L2964" t="n">
        <v>0</v>
      </c>
      <c r="M2964" t="n">
        <v>0</v>
      </c>
      <c r="N2964" t="n">
        <v>0</v>
      </c>
      <c r="O2964" t="n">
        <v>0</v>
      </c>
      <c r="P2964" t="n">
        <v>0</v>
      </c>
      <c r="Q2964" t="n">
        <v>0</v>
      </c>
      <c r="R2964" s="2" t="inlineStr"/>
    </row>
    <row r="2965" ht="15" customHeight="1">
      <c r="A2965" t="inlineStr">
        <is>
          <t>A 23149-2023</t>
        </is>
      </c>
      <c r="B2965" s="1" t="n">
        <v>45075</v>
      </c>
      <c r="C2965" s="1" t="n">
        <v>45358</v>
      </c>
      <c r="D2965" t="inlineStr">
        <is>
          <t>HALLANDS LÄN</t>
        </is>
      </c>
      <c r="E2965" t="inlineStr">
        <is>
          <t>LAHOLM</t>
        </is>
      </c>
      <c r="F2965" t="inlineStr">
        <is>
          <t>Övriga Aktiebolag</t>
        </is>
      </c>
      <c r="G2965" t="n">
        <v>0.8</v>
      </c>
      <c r="H2965" t="n">
        <v>0</v>
      </c>
      <c r="I2965" t="n">
        <v>0</v>
      </c>
      <c r="J2965" t="n">
        <v>0</v>
      </c>
      <c r="K2965" t="n">
        <v>0</v>
      </c>
      <c r="L2965" t="n">
        <v>0</v>
      </c>
      <c r="M2965" t="n">
        <v>0</v>
      </c>
      <c r="N2965" t="n">
        <v>0</v>
      </c>
      <c r="O2965" t="n">
        <v>0</v>
      </c>
      <c r="P2965" t="n">
        <v>0</v>
      </c>
      <c r="Q2965" t="n">
        <v>0</v>
      </c>
      <c r="R2965" s="2" t="inlineStr"/>
    </row>
    <row r="2966" ht="15" customHeight="1">
      <c r="A2966" t="inlineStr">
        <is>
          <t>A 23455-2023</t>
        </is>
      </c>
      <c r="B2966" s="1" t="n">
        <v>45076</v>
      </c>
      <c r="C2966" s="1" t="n">
        <v>45358</v>
      </c>
      <c r="D2966" t="inlineStr">
        <is>
          <t>HALLANDS LÄN</t>
        </is>
      </c>
      <c r="E2966" t="inlineStr">
        <is>
          <t>FALKENBERG</t>
        </is>
      </c>
      <c r="G2966" t="n">
        <v>1.2</v>
      </c>
      <c r="H2966" t="n">
        <v>0</v>
      </c>
      <c r="I2966" t="n">
        <v>0</v>
      </c>
      <c r="J2966" t="n">
        <v>0</v>
      </c>
      <c r="K2966" t="n">
        <v>0</v>
      </c>
      <c r="L2966" t="n">
        <v>0</v>
      </c>
      <c r="M2966" t="n">
        <v>0</v>
      </c>
      <c r="N2966" t="n">
        <v>0</v>
      </c>
      <c r="O2966" t="n">
        <v>0</v>
      </c>
      <c r="P2966" t="n">
        <v>0</v>
      </c>
      <c r="Q2966" t="n">
        <v>0</v>
      </c>
      <c r="R2966" s="2" t="inlineStr"/>
    </row>
    <row r="2967" ht="15" customHeight="1">
      <c r="A2967" t="inlineStr">
        <is>
          <t>A 23474-2023</t>
        </is>
      </c>
      <c r="B2967" s="1" t="n">
        <v>45076</v>
      </c>
      <c r="C2967" s="1" t="n">
        <v>45358</v>
      </c>
      <c r="D2967" t="inlineStr">
        <is>
          <t>HALLANDS LÄN</t>
        </is>
      </c>
      <c r="E2967" t="inlineStr">
        <is>
          <t>LAHOLM</t>
        </is>
      </c>
      <c r="G2967" t="n">
        <v>2.1</v>
      </c>
      <c r="H2967" t="n">
        <v>0</v>
      </c>
      <c r="I2967" t="n">
        <v>0</v>
      </c>
      <c r="J2967" t="n">
        <v>0</v>
      </c>
      <c r="K2967" t="n">
        <v>0</v>
      </c>
      <c r="L2967" t="n">
        <v>0</v>
      </c>
      <c r="M2967" t="n">
        <v>0</v>
      </c>
      <c r="N2967" t="n">
        <v>0</v>
      </c>
      <c r="O2967" t="n">
        <v>0</v>
      </c>
      <c r="P2967" t="n">
        <v>0</v>
      </c>
      <c r="Q2967" t="n">
        <v>0</v>
      </c>
      <c r="R2967" s="2" t="inlineStr"/>
    </row>
    <row r="2968" ht="15" customHeight="1">
      <c r="A2968" t="inlineStr">
        <is>
          <t>A 23491-2023</t>
        </is>
      </c>
      <c r="B2968" s="1" t="n">
        <v>45076</v>
      </c>
      <c r="C2968" s="1" t="n">
        <v>45358</v>
      </c>
      <c r="D2968" t="inlineStr">
        <is>
          <t>HALLANDS LÄN</t>
        </is>
      </c>
      <c r="E2968" t="inlineStr">
        <is>
          <t>LAHOLM</t>
        </is>
      </c>
      <c r="G2968" t="n">
        <v>1.3</v>
      </c>
      <c r="H2968" t="n">
        <v>0</v>
      </c>
      <c r="I2968" t="n">
        <v>0</v>
      </c>
      <c r="J2968" t="n">
        <v>0</v>
      </c>
      <c r="K2968" t="n">
        <v>0</v>
      </c>
      <c r="L2968" t="n">
        <v>0</v>
      </c>
      <c r="M2968" t="n">
        <v>0</v>
      </c>
      <c r="N2968" t="n">
        <v>0</v>
      </c>
      <c r="O2968" t="n">
        <v>0</v>
      </c>
      <c r="P2968" t="n">
        <v>0</v>
      </c>
      <c r="Q2968" t="n">
        <v>0</v>
      </c>
      <c r="R2968" s="2" t="inlineStr"/>
    </row>
    <row r="2969" ht="15" customHeight="1">
      <c r="A2969" t="inlineStr">
        <is>
          <t>A 23493-2023</t>
        </is>
      </c>
      <c r="B2969" s="1" t="n">
        <v>45076</v>
      </c>
      <c r="C2969" s="1" t="n">
        <v>45358</v>
      </c>
      <c r="D2969" t="inlineStr">
        <is>
          <t>HALLANDS LÄN</t>
        </is>
      </c>
      <c r="E2969" t="inlineStr">
        <is>
          <t>LAHOLM</t>
        </is>
      </c>
      <c r="G2969" t="n">
        <v>0.8</v>
      </c>
      <c r="H2969" t="n">
        <v>0</v>
      </c>
      <c r="I2969" t="n">
        <v>0</v>
      </c>
      <c r="J2969" t="n">
        <v>0</v>
      </c>
      <c r="K2969" t="n">
        <v>0</v>
      </c>
      <c r="L2969" t="n">
        <v>0</v>
      </c>
      <c r="M2969" t="n">
        <v>0</v>
      </c>
      <c r="N2969" t="n">
        <v>0</v>
      </c>
      <c r="O2969" t="n">
        <v>0</v>
      </c>
      <c r="P2969" t="n">
        <v>0</v>
      </c>
      <c r="Q2969" t="n">
        <v>0</v>
      </c>
      <c r="R2969" s="2" t="inlineStr"/>
    </row>
    <row r="2970" ht="15" customHeight="1">
      <c r="A2970" t="inlineStr">
        <is>
          <t>A 24514-2023</t>
        </is>
      </c>
      <c r="B2970" s="1" t="n">
        <v>45077</v>
      </c>
      <c r="C2970" s="1" t="n">
        <v>45358</v>
      </c>
      <c r="D2970" t="inlineStr">
        <is>
          <t>HALLANDS LÄN</t>
        </is>
      </c>
      <c r="E2970" t="inlineStr">
        <is>
          <t>FALKENBERG</t>
        </is>
      </c>
      <c r="F2970" t="inlineStr">
        <is>
          <t>Kyrkan</t>
        </is>
      </c>
      <c r="G2970" t="n">
        <v>1.8</v>
      </c>
      <c r="H2970" t="n">
        <v>0</v>
      </c>
      <c r="I2970" t="n">
        <v>0</v>
      </c>
      <c r="J2970" t="n">
        <v>0</v>
      </c>
      <c r="K2970" t="n">
        <v>0</v>
      </c>
      <c r="L2970" t="n">
        <v>0</v>
      </c>
      <c r="M2970" t="n">
        <v>0</v>
      </c>
      <c r="N2970" t="n">
        <v>0</v>
      </c>
      <c r="O2970" t="n">
        <v>0</v>
      </c>
      <c r="P2970" t="n">
        <v>0</v>
      </c>
      <c r="Q2970" t="n">
        <v>0</v>
      </c>
      <c r="R2970" s="2" t="inlineStr"/>
    </row>
    <row r="2971" ht="15" customHeight="1">
      <c r="A2971" t="inlineStr">
        <is>
          <t>A 23879-2023</t>
        </is>
      </c>
      <c r="B2971" s="1" t="n">
        <v>45078</v>
      </c>
      <c r="C2971" s="1" t="n">
        <v>45358</v>
      </c>
      <c r="D2971" t="inlineStr">
        <is>
          <t>HALLANDS LÄN</t>
        </is>
      </c>
      <c r="E2971" t="inlineStr">
        <is>
          <t>VARBERG</t>
        </is>
      </c>
      <c r="G2971" t="n">
        <v>2.1</v>
      </c>
      <c r="H2971" t="n">
        <v>0</v>
      </c>
      <c r="I2971" t="n">
        <v>0</v>
      </c>
      <c r="J2971" t="n">
        <v>0</v>
      </c>
      <c r="K2971" t="n">
        <v>0</v>
      </c>
      <c r="L2971" t="n">
        <v>0</v>
      </c>
      <c r="M2971" t="n">
        <v>0</v>
      </c>
      <c r="N2971" t="n">
        <v>0</v>
      </c>
      <c r="O2971" t="n">
        <v>0</v>
      </c>
      <c r="P2971" t="n">
        <v>0</v>
      </c>
      <c r="Q2971" t="n">
        <v>0</v>
      </c>
      <c r="R2971" s="2" t="inlineStr"/>
    </row>
    <row r="2972" ht="15" customHeight="1">
      <c r="A2972" t="inlineStr">
        <is>
          <t>A 23844-2023</t>
        </is>
      </c>
      <c r="B2972" s="1" t="n">
        <v>45078</v>
      </c>
      <c r="C2972" s="1" t="n">
        <v>45358</v>
      </c>
      <c r="D2972" t="inlineStr">
        <is>
          <t>HALLANDS LÄN</t>
        </is>
      </c>
      <c r="E2972" t="inlineStr">
        <is>
          <t>KUNGSBACKA</t>
        </is>
      </c>
      <c r="G2972" t="n">
        <v>3.3</v>
      </c>
      <c r="H2972" t="n">
        <v>0</v>
      </c>
      <c r="I2972" t="n">
        <v>0</v>
      </c>
      <c r="J2972" t="n">
        <v>0</v>
      </c>
      <c r="K2972" t="n">
        <v>0</v>
      </c>
      <c r="L2972" t="n">
        <v>0</v>
      </c>
      <c r="M2972" t="n">
        <v>0</v>
      </c>
      <c r="N2972" t="n">
        <v>0</v>
      </c>
      <c r="O2972" t="n">
        <v>0</v>
      </c>
      <c r="P2972" t="n">
        <v>0</v>
      </c>
      <c r="Q2972" t="n">
        <v>0</v>
      </c>
      <c r="R2972" s="2" t="inlineStr"/>
    </row>
    <row r="2973" ht="15" customHeight="1">
      <c r="A2973" t="inlineStr">
        <is>
          <t>A 23880-2023</t>
        </is>
      </c>
      <c r="B2973" s="1" t="n">
        <v>45078</v>
      </c>
      <c r="C2973" s="1" t="n">
        <v>45358</v>
      </c>
      <c r="D2973" t="inlineStr">
        <is>
          <t>HALLANDS LÄN</t>
        </is>
      </c>
      <c r="E2973" t="inlineStr">
        <is>
          <t>VARBERG</t>
        </is>
      </c>
      <c r="G2973" t="n">
        <v>2.5</v>
      </c>
      <c r="H2973" t="n">
        <v>0</v>
      </c>
      <c r="I2973" t="n">
        <v>0</v>
      </c>
      <c r="J2973" t="n">
        <v>0</v>
      </c>
      <c r="K2973" t="n">
        <v>0</v>
      </c>
      <c r="L2973" t="n">
        <v>0</v>
      </c>
      <c r="M2973" t="n">
        <v>0</v>
      </c>
      <c r="N2973" t="n">
        <v>0</v>
      </c>
      <c r="O2973" t="n">
        <v>0</v>
      </c>
      <c r="P2973" t="n">
        <v>0</v>
      </c>
      <c r="Q2973" t="n">
        <v>0</v>
      </c>
      <c r="R2973" s="2" t="inlineStr"/>
    </row>
    <row r="2974" ht="15" customHeight="1">
      <c r="A2974" t="inlineStr">
        <is>
          <t>A 23994-2023</t>
        </is>
      </c>
      <c r="B2974" s="1" t="n">
        <v>45078</v>
      </c>
      <c r="C2974" s="1" t="n">
        <v>45358</v>
      </c>
      <c r="D2974" t="inlineStr">
        <is>
          <t>HALLANDS LÄN</t>
        </is>
      </c>
      <c r="E2974" t="inlineStr">
        <is>
          <t>KUNGSBACKA</t>
        </is>
      </c>
      <c r="F2974" t="inlineStr">
        <is>
          <t>Övriga Aktiebolag</t>
        </is>
      </c>
      <c r="G2974" t="n">
        <v>5</v>
      </c>
      <c r="H2974" t="n">
        <v>0</v>
      </c>
      <c r="I2974" t="n">
        <v>0</v>
      </c>
      <c r="J2974" t="n">
        <v>0</v>
      </c>
      <c r="K2974" t="n">
        <v>0</v>
      </c>
      <c r="L2974" t="n">
        <v>0</v>
      </c>
      <c r="M2974" t="n">
        <v>0</v>
      </c>
      <c r="N2974" t="n">
        <v>0</v>
      </c>
      <c r="O2974" t="n">
        <v>0</v>
      </c>
      <c r="P2974" t="n">
        <v>0</v>
      </c>
      <c r="Q2974" t="n">
        <v>0</v>
      </c>
      <c r="R2974" s="2" t="inlineStr"/>
    </row>
    <row r="2975" ht="15" customHeight="1">
      <c r="A2975" t="inlineStr">
        <is>
          <t>A 24186-2023</t>
        </is>
      </c>
      <c r="B2975" s="1" t="n">
        <v>45079</v>
      </c>
      <c r="C2975" s="1" t="n">
        <v>45358</v>
      </c>
      <c r="D2975" t="inlineStr">
        <is>
          <t>HALLANDS LÄN</t>
        </is>
      </c>
      <c r="E2975" t="inlineStr">
        <is>
          <t>FALKENBERG</t>
        </is>
      </c>
      <c r="G2975" t="n">
        <v>4.5</v>
      </c>
      <c r="H2975" t="n">
        <v>0</v>
      </c>
      <c r="I2975" t="n">
        <v>0</v>
      </c>
      <c r="J2975" t="n">
        <v>0</v>
      </c>
      <c r="K2975" t="n">
        <v>0</v>
      </c>
      <c r="L2975" t="n">
        <v>0</v>
      </c>
      <c r="M2975" t="n">
        <v>0</v>
      </c>
      <c r="N2975" t="n">
        <v>0</v>
      </c>
      <c r="O2975" t="n">
        <v>0</v>
      </c>
      <c r="P2975" t="n">
        <v>0</v>
      </c>
      <c r="Q2975" t="n">
        <v>0</v>
      </c>
      <c r="R2975" s="2" t="inlineStr"/>
    </row>
    <row r="2976" ht="15" customHeight="1">
      <c r="A2976" t="inlineStr">
        <is>
          <t>A 24191-2023</t>
        </is>
      </c>
      <c r="B2976" s="1" t="n">
        <v>45079</v>
      </c>
      <c r="C2976" s="1" t="n">
        <v>45358</v>
      </c>
      <c r="D2976" t="inlineStr">
        <is>
          <t>HALLANDS LÄN</t>
        </is>
      </c>
      <c r="E2976" t="inlineStr">
        <is>
          <t>FALKENBERG</t>
        </is>
      </c>
      <c r="G2976" t="n">
        <v>2.8</v>
      </c>
      <c r="H2976" t="n">
        <v>0</v>
      </c>
      <c r="I2976" t="n">
        <v>0</v>
      </c>
      <c r="J2976" t="n">
        <v>0</v>
      </c>
      <c r="K2976" t="n">
        <v>0</v>
      </c>
      <c r="L2976" t="n">
        <v>0</v>
      </c>
      <c r="M2976" t="n">
        <v>0</v>
      </c>
      <c r="N2976" t="n">
        <v>0</v>
      </c>
      <c r="O2976" t="n">
        <v>0</v>
      </c>
      <c r="P2976" t="n">
        <v>0</v>
      </c>
      <c r="Q2976" t="n">
        <v>0</v>
      </c>
      <c r="R2976" s="2" t="inlineStr"/>
    </row>
    <row r="2977" ht="15" customHeight="1">
      <c r="A2977" t="inlineStr">
        <is>
          <t>A 24087-2023</t>
        </is>
      </c>
      <c r="B2977" s="1" t="n">
        <v>45079</v>
      </c>
      <c r="C2977" s="1" t="n">
        <v>45358</v>
      </c>
      <c r="D2977" t="inlineStr">
        <is>
          <t>HALLANDS LÄN</t>
        </is>
      </c>
      <c r="E2977" t="inlineStr">
        <is>
          <t>HALMSTAD</t>
        </is>
      </c>
      <c r="G2977" t="n">
        <v>1.9</v>
      </c>
      <c r="H2977" t="n">
        <v>0</v>
      </c>
      <c r="I2977" t="n">
        <v>0</v>
      </c>
      <c r="J2977" t="n">
        <v>0</v>
      </c>
      <c r="K2977" t="n">
        <v>0</v>
      </c>
      <c r="L2977" t="n">
        <v>0</v>
      </c>
      <c r="M2977" t="n">
        <v>0</v>
      </c>
      <c r="N2977" t="n">
        <v>0</v>
      </c>
      <c r="O2977" t="n">
        <v>0</v>
      </c>
      <c r="P2977" t="n">
        <v>0</v>
      </c>
      <c r="Q2977" t="n">
        <v>0</v>
      </c>
      <c r="R2977" s="2" t="inlineStr"/>
    </row>
    <row r="2978" ht="15" customHeight="1">
      <c r="A2978" t="inlineStr">
        <is>
          <t>A 24100-2023</t>
        </is>
      </c>
      <c r="B2978" s="1" t="n">
        <v>45079</v>
      </c>
      <c r="C2978" s="1" t="n">
        <v>45358</v>
      </c>
      <c r="D2978" t="inlineStr">
        <is>
          <t>HALLANDS LÄN</t>
        </is>
      </c>
      <c r="E2978" t="inlineStr">
        <is>
          <t>HALMSTAD</t>
        </is>
      </c>
      <c r="G2978" t="n">
        <v>0.7</v>
      </c>
      <c r="H2978" t="n">
        <v>0</v>
      </c>
      <c r="I2978" t="n">
        <v>0</v>
      </c>
      <c r="J2978" t="n">
        <v>0</v>
      </c>
      <c r="K2978" t="n">
        <v>0</v>
      </c>
      <c r="L2978" t="n">
        <v>0</v>
      </c>
      <c r="M2978" t="n">
        <v>0</v>
      </c>
      <c r="N2978" t="n">
        <v>0</v>
      </c>
      <c r="O2978" t="n">
        <v>0</v>
      </c>
      <c r="P2978" t="n">
        <v>0</v>
      </c>
      <c r="Q2978" t="n">
        <v>0</v>
      </c>
      <c r="R2978" s="2" t="inlineStr"/>
    </row>
    <row r="2979" ht="15" customHeight="1">
      <c r="A2979" t="inlineStr">
        <is>
          <t>A 24104-2023</t>
        </is>
      </c>
      <c r="B2979" s="1" t="n">
        <v>45079</v>
      </c>
      <c r="C2979" s="1" t="n">
        <v>45358</v>
      </c>
      <c r="D2979" t="inlineStr">
        <is>
          <t>HALLANDS LÄN</t>
        </is>
      </c>
      <c r="E2979" t="inlineStr">
        <is>
          <t>FALKENBERG</t>
        </is>
      </c>
      <c r="G2979" t="n">
        <v>0.9</v>
      </c>
      <c r="H2979" t="n">
        <v>0</v>
      </c>
      <c r="I2979" t="n">
        <v>0</v>
      </c>
      <c r="J2979" t="n">
        <v>0</v>
      </c>
      <c r="K2979" t="n">
        <v>0</v>
      </c>
      <c r="L2979" t="n">
        <v>0</v>
      </c>
      <c r="M2979" t="n">
        <v>0</v>
      </c>
      <c r="N2979" t="n">
        <v>0</v>
      </c>
      <c r="O2979" t="n">
        <v>0</v>
      </c>
      <c r="P2979" t="n">
        <v>0</v>
      </c>
      <c r="Q2979" t="n">
        <v>0</v>
      </c>
      <c r="R2979" s="2" t="inlineStr"/>
    </row>
    <row r="2980" ht="15" customHeight="1">
      <c r="A2980" t="inlineStr">
        <is>
          <t>A 24179-2023</t>
        </is>
      </c>
      <c r="B2980" s="1" t="n">
        <v>45079</v>
      </c>
      <c r="C2980" s="1" t="n">
        <v>45358</v>
      </c>
      <c r="D2980" t="inlineStr">
        <is>
          <t>HALLANDS LÄN</t>
        </is>
      </c>
      <c r="E2980" t="inlineStr">
        <is>
          <t>HALMSTAD</t>
        </is>
      </c>
      <c r="G2980" t="n">
        <v>5.2</v>
      </c>
      <c r="H2980" t="n">
        <v>0</v>
      </c>
      <c r="I2980" t="n">
        <v>0</v>
      </c>
      <c r="J2980" t="n">
        <v>0</v>
      </c>
      <c r="K2980" t="n">
        <v>0</v>
      </c>
      <c r="L2980" t="n">
        <v>0</v>
      </c>
      <c r="M2980" t="n">
        <v>0</v>
      </c>
      <c r="N2980" t="n">
        <v>0</v>
      </c>
      <c r="O2980" t="n">
        <v>0</v>
      </c>
      <c r="P2980" t="n">
        <v>0</v>
      </c>
      <c r="Q2980" t="n">
        <v>0</v>
      </c>
      <c r="R2980" s="2" t="inlineStr"/>
    </row>
    <row r="2981" ht="15" customHeight="1">
      <c r="A2981" t="inlineStr">
        <is>
          <t>A 24198-2023</t>
        </is>
      </c>
      <c r="B2981" s="1" t="n">
        <v>45079</v>
      </c>
      <c r="C2981" s="1" t="n">
        <v>45358</v>
      </c>
      <c r="D2981" t="inlineStr">
        <is>
          <t>HALLANDS LÄN</t>
        </is>
      </c>
      <c r="E2981" t="inlineStr">
        <is>
          <t>FALKENBERG</t>
        </is>
      </c>
      <c r="G2981" t="n">
        <v>4.1</v>
      </c>
      <c r="H2981" t="n">
        <v>0</v>
      </c>
      <c r="I2981" t="n">
        <v>0</v>
      </c>
      <c r="J2981" t="n">
        <v>0</v>
      </c>
      <c r="K2981" t="n">
        <v>0</v>
      </c>
      <c r="L2981" t="n">
        <v>0</v>
      </c>
      <c r="M2981" t="n">
        <v>0</v>
      </c>
      <c r="N2981" t="n">
        <v>0</v>
      </c>
      <c r="O2981" t="n">
        <v>0</v>
      </c>
      <c r="P2981" t="n">
        <v>0</v>
      </c>
      <c r="Q2981" t="n">
        <v>0</v>
      </c>
      <c r="R2981" s="2" t="inlineStr"/>
    </row>
    <row r="2982" ht="15" customHeight="1">
      <c r="A2982" t="inlineStr">
        <is>
          <t>A 24103-2023</t>
        </is>
      </c>
      <c r="B2982" s="1" t="n">
        <v>45079</v>
      </c>
      <c r="C2982" s="1" t="n">
        <v>45358</v>
      </c>
      <c r="D2982" t="inlineStr">
        <is>
          <t>HALLANDS LÄN</t>
        </is>
      </c>
      <c r="E2982" t="inlineStr">
        <is>
          <t>HALMSTAD</t>
        </is>
      </c>
      <c r="G2982" t="n">
        <v>1.3</v>
      </c>
      <c r="H2982" t="n">
        <v>0</v>
      </c>
      <c r="I2982" t="n">
        <v>0</v>
      </c>
      <c r="J2982" t="n">
        <v>0</v>
      </c>
      <c r="K2982" t="n">
        <v>0</v>
      </c>
      <c r="L2982" t="n">
        <v>0</v>
      </c>
      <c r="M2982" t="n">
        <v>0</v>
      </c>
      <c r="N2982" t="n">
        <v>0</v>
      </c>
      <c r="O2982" t="n">
        <v>0</v>
      </c>
      <c r="P2982" t="n">
        <v>0</v>
      </c>
      <c r="Q2982" t="n">
        <v>0</v>
      </c>
      <c r="R2982" s="2" t="inlineStr"/>
    </row>
    <row r="2983" ht="15" customHeight="1">
      <c r="A2983" t="inlineStr">
        <is>
          <t>A 24200-2023</t>
        </is>
      </c>
      <c r="B2983" s="1" t="n">
        <v>45079</v>
      </c>
      <c r="C2983" s="1" t="n">
        <v>45358</v>
      </c>
      <c r="D2983" t="inlineStr">
        <is>
          <t>HALLANDS LÄN</t>
        </is>
      </c>
      <c r="E2983" t="inlineStr">
        <is>
          <t>HALMSTAD</t>
        </is>
      </c>
      <c r="G2983" t="n">
        <v>1</v>
      </c>
      <c r="H2983" t="n">
        <v>0</v>
      </c>
      <c r="I2983" t="n">
        <v>0</v>
      </c>
      <c r="J2983" t="n">
        <v>0</v>
      </c>
      <c r="K2983" t="n">
        <v>0</v>
      </c>
      <c r="L2983" t="n">
        <v>0</v>
      </c>
      <c r="M2983" t="n">
        <v>0</v>
      </c>
      <c r="N2983" t="n">
        <v>0</v>
      </c>
      <c r="O2983" t="n">
        <v>0</v>
      </c>
      <c r="P2983" t="n">
        <v>0</v>
      </c>
      <c r="Q2983" t="n">
        <v>0</v>
      </c>
      <c r="R2983" s="2" t="inlineStr"/>
    </row>
    <row r="2984" ht="15" customHeight="1">
      <c r="A2984" t="inlineStr">
        <is>
          <t>A 24375-2023</t>
        </is>
      </c>
      <c r="B2984" s="1" t="n">
        <v>45082</v>
      </c>
      <c r="C2984" s="1" t="n">
        <v>45358</v>
      </c>
      <c r="D2984" t="inlineStr">
        <is>
          <t>HALLANDS LÄN</t>
        </is>
      </c>
      <c r="E2984" t="inlineStr">
        <is>
          <t>HALMSTAD</t>
        </is>
      </c>
      <c r="G2984" t="n">
        <v>1.9</v>
      </c>
      <c r="H2984" t="n">
        <v>0</v>
      </c>
      <c r="I2984" t="n">
        <v>0</v>
      </c>
      <c r="J2984" t="n">
        <v>0</v>
      </c>
      <c r="K2984" t="n">
        <v>0</v>
      </c>
      <c r="L2984" t="n">
        <v>0</v>
      </c>
      <c r="M2984" t="n">
        <v>0</v>
      </c>
      <c r="N2984" t="n">
        <v>0</v>
      </c>
      <c r="O2984" t="n">
        <v>0</v>
      </c>
      <c r="P2984" t="n">
        <v>0</v>
      </c>
      <c r="Q2984" t="n">
        <v>0</v>
      </c>
      <c r="R2984" s="2" t="inlineStr"/>
    </row>
    <row r="2985" ht="15" customHeight="1">
      <c r="A2985" t="inlineStr">
        <is>
          <t>A 24380-2023</t>
        </is>
      </c>
      <c r="B2985" s="1" t="n">
        <v>45082</v>
      </c>
      <c r="C2985" s="1" t="n">
        <v>45358</v>
      </c>
      <c r="D2985" t="inlineStr">
        <is>
          <t>HALLANDS LÄN</t>
        </is>
      </c>
      <c r="E2985" t="inlineStr">
        <is>
          <t>HALMSTAD</t>
        </is>
      </c>
      <c r="G2985" t="n">
        <v>0.8</v>
      </c>
      <c r="H2985" t="n">
        <v>0</v>
      </c>
      <c r="I2985" t="n">
        <v>0</v>
      </c>
      <c r="J2985" t="n">
        <v>0</v>
      </c>
      <c r="K2985" t="n">
        <v>0</v>
      </c>
      <c r="L2985" t="n">
        <v>0</v>
      </c>
      <c r="M2985" t="n">
        <v>0</v>
      </c>
      <c r="N2985" t="n">
        <v>0</v>
      </c>
      <c r="O2985" t="n">
        <v>0</v>
      </c>
      <c r="P2985" t="n">
        <v>0</v>
      </c>
      <c r="Q2985" t="n">
        <v>0</v>
      </c>
      <c r="R2985" s="2" t="inlineStr"/>
    </row>
    <row r="2986" ht="15" customHeight="1">
      <c r="A2986" t="inlineStr">
        <is>
          <t>A 24448-2023</t>
        </is>
      </c>
      <c r="B2986" s="1" t="n">
        <v>45082</v>
      </c>
      <c r="C2986" s="1" t="n">
        <v>45358</v>
      </c>
      <c r="D2986" t="inlineStr">
        <is>
          <t>HALLANDS LÄN</t>
        </is>
      </c>
      <c r="E2986" t="inlineStr">
        <is>
          <t>LAHOLM</t>
        </is>
      </c>
      <c r="G2986" t="n">
        <v>1.2</v>
      </c>
      <c r="H2986" t="n">
        <v>0</v>
      </c>
      <c r="I2986" t="n">
        <v>0</v>
      </c>
      <c r="J2986" t="n">
        <v>0</v>
      </c>
      <c r="K2986" t="n">
        <v>0</v>
      </c>
      <c r="L2986" t="n">
        <v>0</v>
      </c>
      <c r="M2986" t="n">
        <v>0</v>
      </c>
      <c r="N2986" t="n">
        <v>0</v>
      </c>
      <c r="O2986" t="n">
        <v>0</v>
      </c>
      <c r="P2986" t="n">
        <v>0</v>
      </c>
      <c r="Q2986" t="n">
        <v>0</v>
      </c>
      <c r="R2986" s="2" t="inlineStr"/>
    </row>
    <row r="2987" ht="15" customHeight="1">
      <c r="A2987" t="inlineStr">
        <is>
          <t>A 24374-2023</t>
        </is>
      </c>
      <c r="B2987" s="1" t="n">
        <v>45082</v>
      </c>
      <c r="C2987" s="1" t="n">
        <v>45358</v>
      </c>
      <c r="D2987" t="inlineStr">
        <is>
          <t>HALLANDS LÄN</t>
        </is>
      </c>
      <c r="E2987" t="inlineStr">
        <is>
          <t>HALMSTAD</t>
        </is>
      </c>
      <c r="G2987" t="n">
        <v>3.1</v>
      </c>
      <c r="H2987" t="n">
        <v>0</v>
      </c>
      <c r="I2987" t="n">
        <v>0</v>
      </c>
      <c r="J2987" t="n">
        <v>0</v>
      </c>
      <c r="K2987" t="n">
        <v>0</v>
      </c>
      <c r="L2987" t="n">
        <v>0</v>
      </c>
      <c r="M2987" t="n">
        <v>0</v>
      </c>
      <c r="N2987" t="n">
        <v>0</v>
      </c>
      <c r="O2987" t="n">
        <v>0</v>
      </c>
      <c r="P2987" t="n">
        <v>0</v>
      </c>
      <c r="Q2987" t="n">
        <v>0</v>
      </c>
      <c r="R2987" s="2" t="inlineStr"/>
    </row>
    <row r="2988" ht="15" customHeight="1">
      <c r="A2988" t="inlineStr">
        <is>
          <t>A 24377-2023</t>
        </is>
      </c>
      <c r="B2988" s="1" t="n">
        <v>45082</v>
      </c>
      <c r="C2988" s="1" t="n">
        <v>45358</v>
      </c>
      <c r="D2988" t="inlineStr">
        <is>
          <t>HALLANDS LÄN</t>
        </is>
      </c>
      <c r="E2988" t="inlineStr">
        <is>
          <t>HALMSTAD</t>
        </is>
      </c>
      <c r="G2988" t="n">
        <v>4</v>
      </c>
      <c r="H2988" t="n">
        <v>0</v>
      </c>
      <c r="I2988" t="n">
        <v>0</v>
      </c>
      <c r="J2988" t="n">
        <v>0</v>
      </c>
      <c r="K2988" t="n">
        <v>0</v>
      </c>
      <c r="L2988" t="n">
        <v>0</v>
      </c>
      <c r="M2988" t="n">
        <v>0</v>
      </c>
      <c r="N2988" t="n">
        <v>0</v>
      </c>
      <c r="O2988" t="n">
        <v>0</v>
      </c>
      <c r="P2988" t="n">
        <v>0</v>
      </c>
      <c r="Q2988" t="n">
        <v>0</v>
      </c>
      <c r="R2988" s="2" t="inlineStr"/>
    </row>
    <row r="2989" ht="15" customHeight="1">
      <c r="A2989" t="inlineStr">
        <is>
          <t>A 24383-2023</t>
        </is>
      </c>
      <c r="B2989" s="1" t="n">
        <v>45082</v>
      </c>
      <c r="C2989" s="1" t="n">
        <v>45358</v>
      </c>
      <c r="D2989" t="inlineStr">
        <is>
          <t>HALLANDS LÄN</t>
        </is>
      </c>
      <c r="E2989" t="inlineStr">
        <is>
          <t>HALMSTAD</t>
        </is>
      </c>
      <c r="G2989" t="n">
        <v>3.2</v>
      </c>
      <c r="H2989" t="n">
        <v>0</v>
      </c>
      <c r="I2989" t="n">
        <v>0</v>
      </c>
      <c r="J2989" t="n">
        <v>0</v>
      </c>
      <c r="K2989" t="n">
        <v>0</v>
      </c>
      <c r="L2989" t="n">
        <v>0</v>
      </c>
      <c r="M2989" t="n">
        <v>0</v>
      </c>
      <c r="N2989" t="n">
        <v>0</v>
      </c>
      <c r="O2989" t="n">
        <v>0</v>
      </c>
      <c r="P2989" t="n">
        <v>0</v>
      </c>
      <c r="Q2989" t="n">
        <v>0</v>
      </c>
      <c r="R2989" s="2" t="inlineStr"/>
    </row>
    <row r="2990" ht="15" customHeight="1">
      <c r="A2990" t="inlineStr">
        <is>
          <t>A 24605-2023</t>
        </is>
      </c>
      <c r="B2990" s="1" t="n">
        <v>45084</v>
      </c>
      <c r="C2990" s="1" t="n">
        <v>45358</v>
      </c>
      <c r="D2990" t="inlineStr">
        <is>
          <t>HALLANDS LÄN</t>
        </is>
      </c>
      <c r="E2990" t="inlineStr">
        <is>
          <t>HYLTE</t>
        </is>
      </c>
      <c r="G2990" t="n">
        <v>0.5</v>
      </c>
      <c r="H2990" t="n">
        <v>0</v>
      </c>
      <c r="I2990" t="n">
        <v>0</v>
      </c>
      <c r="J2990" t="n">
        <v>0</v>
      </c>
      <c r="K2990" t="n">
        <v>0</v>
      </c>
      <c r="L2990" t="n">
        <v>0</v>
      </c>
      <c r="M2990" t="n">
        <v>0</v>
      </c>
      <c r="N2990" t="n">
        <v>0</v>
      </c>
      <c r="O2990" t="n">
        <v>0</v>
      </c>
      <c r="P2990" t="n">
        <v>0</v>
      </c>
      <c r="Q2990" t="n">
        <v>0</v>
      </c>
      <c r="R2990" s="2" t="inlineStr"/>
    </row>
    <row r="2991" ht="15" customHeight="1">
      <c r="A2991" t="inlineStr">
        <is>
          <t>A 24659-2023</t>
        </is>
      </c>
      <c r="B2991" s="1" t="n">
        <v>45084</v>
      </c>
      <c r="C2991" s="1" t="n">
        <v>45358</v>
      </c>
      <c r="D2991" t="inlineStr">
        <is>
          <t>HALLANDS LÄN</t>
        </is>
      </c>
      <c r="E2991" t="inlineStr">
        <is>
          <t>HYLTE</t>
        </is>
      </c>
      <c r="G2991" t="n">
        <v>2.3</v>
      </c>
      <c r="H2991" t="n">
        <v>0</v>
      </c>
      <c r="I2991" t="n">
        <v>0</v>
      </c>
      <c r="J2991" t="n">
        <v>0</v>
      </c>
      <c r="K2991" t="n">
        <v>0</v>
      </c>
      <c r="L2991" t="n">
        <v>0</v>
      </c>
      <c r="M2991" t="n">
        <v>0</v>
      </c>
      <c r="N2991" t="n">
        <v>0</v>
      </c>
      <c r="O2991" t="n">
        <v>0</v>
      </c>
      <c r="P2991" t="n">
        <v>0</v>
      </c>
      <c r="Q2991" t="n">
        <v>0</v>
      </c>
      <c r="R2991" s="2" t="inlineStr"/>
    </row>
    <row r="2992" ht="15" customHeight="1">
      <c r="A2992" t="inlineStr">
        <is>
          <t>A 24699-2023</t>
        </is>
      </c>
      <c r="B2992" s="1" t="n">
        <v>45084</v>
      </c>
      <c r="C2992" s="1" t="n">
        <v>45358</v>
      </c>
      <c r="D2992" t="inlineStr">
        <is>
          <t>HALLANDS LÄN</t>
        </is>
      </c>
      <c r="E2992" t="inlineStr">
        <is>
          <t>FALKENBERG</t>
        </is>
      </c>
      <c r="G2992" t="n">
        <v>8.1</v>
      </c>
      <c r="H2992" t="n">
        <v>0</v>
      </c>
      <c r="I2992" t="n">
        <v>0</v>
      </c>
      <c r="J2992" t="n">
        <v>0</v>
      </c>
      <c r="K2992" t="n">
        <v>0</v>
      </c>
      <c r="L2992" t="n">
        <v>0</v>
      </c>
      <c r="M2992" t="n">
        <v>0</v>
      </c>
      <c r="N2992" t="n">
        <v>0</v>
      </c>
      <c r="O2992" t="n">
        <v>0</v>
      </c>
      <c r="P2992" t="n">
        <v>0</v>
      </c>
      <c r="Q2992" t="n">
        <v>0</v>
      </c>
      <c r="R2992" s="2" t="inlineStr"/>
    </row>
    <row r="2993" ht="15" customHeight="1">
      <c r="A2993" t="inlineStr">
        <is>
          <t>A 24839-2023</t>
        </is>
      </c>
      <c r="B2993" s="1" t="n">
        <v>45085</v>
      </c>
      <c r="C2993" s="1" t="n">
        <v>45358</v>
      </c>
      <c r="D2993" t="inlineStr">
        <is>
          <t>HALLANDS LÄN</t>
        </is>
      </c>
      <c r="E2993" t="inlineStr">
        <is>
          <t>VARBERG</t>
        </is>
      </c>
      <c r="G2993" t="n">
        <v>1.8</v>
      </c>
      <c r="H2993" t="n">
        <v>0</v>
      </c>
      <c r="I2993" t="n">
        <v>0</v>
      </c>
      <c r="J2993" t="n">
        <v>0</v>
      </c>
      <c r="K2993" t="n">
        <v>0</v>
      </c>
      <c r="L2993" t="n">
        <v>0</v>
      </c>
      <c r="M2993" t="n">
        <v>0</v>
      </c>
      <c r="N2993" t="n">
        <v>0</v>
      </c>
      <c r="O2993" t="n">
        <v>0</v>
      </c>
      <c r="P2993" t="n">
        <v>0</v>
      </c>
      <c r="Q2993" t="n">
        <v>0</v>
      </c>
      <c r="R2993" s="2" t="inlineStr"/>
    </row>
    <row r="2994" ht="15" customHeight="1">
      <c r="A2994" t="inlineStr">
        <is>
          <t>A 24894-2023</t>
        </is>
      </c>
      <c r="B2994" s="1" t="n">
        <v>45085</v>
      </c>
      <c r="C2994" s="1" t="n">
        <v>45358</v>
      </c>
      <c r="D2994" t="inlineStr">
        <is>
          <t>HALLANDS LÄN</t>
        </is>
      </c>
      <c r="E2994" t="inlineStr">
        <is>
          <t>FALKENBERG</t>
        </is>
      </c>
      <c r="G2994" t="n">
        <v>1.1</v>
      </c>
      <c r="H2994" t="n">
        <v>0</v>
      </c>
      <c r="I2994" t="n">
        <v>0</v>
      </c>
      <c r="J2994" t="n">
        <v>0</v>
      </c>
      <c r="K2994" t="n">
        <v>0</v>
      </c>
      <c r="L2994" t="n">
        <v>0</v>
      </c>
      <c r="M2994" t="n">
        <v>0</v>
      </c>
      <c r="N2994" t="n">
        <v>0</v>
      </c>
      <c r="O2994" t="n">
        <v>0</v>
      </c>
      <c r="P2994" t="n">
        <v>0</v>
      </c>
      <c r="Q2994" t="n">
        <v>0</v>
      </c>
      <c r="R2994" s="2" t="inlineStr"/>
    </row>
    <row r="2995" ht="15" customHeight="1">
      <c r="A2995" t="inlineStr">
        <is>
          <t>A 24908-2023</t>
        </is>
      </c>
      <c r="B2995" s="1" t="n">
        <v>45085</v>
      </c>
      <c r="C2995" s="1" t="n">
        <v>45358</v>
      </c>
      <c r="D2995" t="inlineStr">
        <is>
          <t>HALLANDS LÄN</t>
        </is>
      </c>
      <c r="E2995" t="inlineStr">
        <is>
          <t>HALMSTAD</t>
        </is>
      </c>
      <c r="F2995" t="inlineStr">
        <is>
          <t>Kommuner</t>
        </is>
      </c>
      <c r="G2995" t="n">
        <v>5.1</v>
      </c>
      <c r="H2995" t="n">
        <v>0</v>
      </c>
      <c r="I2995" t="n">
        <v>0</v>
      </c>
      <c r="J2995" t="n">
        <v>0</v>
      </c>
      <c r="K2995" t="n">
        <v>0</v>
      </c>
      <c r="L2995" t="n">
        <v>0</v>
      </c>
      <c r="M2995" t="n">
        <v>0</v>
      </c>
      <c r="N2995" t="n">
        <v>0</v>
      </c>
      <c r="O2995" t="n">
        <v>0</v>
      </c>
      <c r="P2995" t="n">
        <v>0</v>
      </c>
      <c r="Q2995" t="n">
        <v>0</v>
      </c>
      <c r="R2995" s="2" t="inlineStr"/>
    </row>
    <row r="2996" ht="15" customHeight="1">
      <c r="A2996" t="inlineStr">
        <is>
          <t>A 24939-2023</t>
        </is>
      </c>
      <c r="B2996" s="1" t="n">
        <v>45085</v>
      </c>
      <c r="C2996" s="1" t="n">
        <v>45358</v>
      </c>
      <c r="D2996" t="inlineStr">
        <is>
          <t>HALLANDS LÄN</t>
        </is>
      </c>
      <c r="E2996" t="inlineStr">
        <is>
          <t>HYLTE</t>
        </is>
      </c>
      <c r="G2996" t="n">
        <v>0.9</v>
      </c>
      <c r="H2996" t="n">
        <v>0</v>
      </c>
      <c r="I2996" t="n">
        <v>0</v>
      </c>
      <c r="J2996" t="n">
        <v>0</v>
      </c>
      <c r="K2996" t="n">
        <v>0</v>
      </c>
      <c r="L2996" t="n">
        <v>0</v>
      </c>
      <c r="M2996" t="n">
        <v>0</v>
      </c>
      <c r="N2996" t="n">
        <v>0</v>
      </c>
      <c r="O2996" t="n">
        <v>0</v>
      </c>
      <c r="P2996" t="n">
        <v>0</v>
      </c>
      <c r="Q2996" t="n">
        <v>0</v>
      </c>
      <c r="R2996" s="2" t="inlineStr"/>
    </row>
    <row r="2997" ht="15" customHeight="1">
      <c r="A2997" t="inlineStr">
        <is>
          <t>A 24961-2023</t>
        </is>
      </c>
      <c r="B2997" s="1" t="n">
        <v>45085</v>
      </c>
      <c r="C2997" s="1" t="n">
        <v>45358</v>
      </c>
      <c r="D2997" t="inlineStr">
        <is>
          <t>HALLANDS LÄN</t>
        </is>
      </c>
      <c r="E2997" t="inlineStr">
        <is>
          <t>VARBERG</t>
        </is>
      </c>
      <c r="G2997" t="n">
        <v>2.5</v>
      </c>
      <c r="H2997" t="n">
        <v>0</v>
      </c>
      <c r="I2997" t="n">
        <v>0</v>
      </c>
      <c r="J2997" t="n">
        <v>0</v>
      </c>
      <c r="K2997" t="n">
        <v>0</v>
      </c>
      <c r="L2997" t="n">
        <v>0</v>
      </c>
      <c r="M2997" t="n">
        <v>0</v>
      </c>
      <c r="N2997" t="n">
        <v>0</v>
      </c>
      <c r="O2997" t="n">
        <v>0</v>
      </c>
      <c r="P2997" t="n">
        <v>0</v>
      </c>
      <c r="Q2997" t="n">
        <v>0</v>
      </c>
      <c r="R2997" s="2" t="inlineStr"/>
    </row>
    <row r="2998" ht="15" customHeight="1">
      <c r="A2998" t="inlineStr">
        <is>
          <t>A 25023-2023</t>
        </is>
      </c>
      <c r="B2998" s="1" t="n">
        <v>45085</v>
      </c>
      <c r="C2998" s="1" t="n">
        <v>45358</v>
      </c>
      <c r="D2998" t="inlineStr">
        <is>
          <t>HALLANDS LÄN</t>
        </is>
      </c>
      <c r="E2998" t="inlineStr">
        <is>
          <t>VARBERG</t>
        </is>
      </c>
      <c r="G2998" t="n">
        <v>4.8</v>
      </c>
      <c r="H2998" t="n">
        <v>0</v>
      </c>
      <c r="I2998" t="n">
        <v>0</v>
      </c>
      <c r="J2998" t="n">
        <v>0</v>
      </c>
      <c r="K2998" t="n">
        <v>0</v>
      </c>
      <c r="L2998" t="n">
        <v>0</v>
      </c>
      <c r="M2998" t="n">
        <v>0</v>
      </c>
      <c r="N2998" t="n">
        <v>0</v>
      </c>
      <c r="O2998" t="n">
        <v>0</v>
      </c>
      <c r="P2998" t="n">
        <v>0</v>
      </c>
      <c r="Q2998" t="n">
        <v>0</v>
      </c>
      <c r="R2998" s="2" t="inlineStr"/>
    </row>
    <row r="2999" ht="15" customHeight="1">
      <c r="A2999" t="inlineStr">
        <is>
          <t>A 25022-2023</t>
        </is>
      </c>
      <c r="B2999" s="1" t="n">
        <v>45085</v>
      </c>
      <c r="C2999" s="1" t="n">
        <v>45358</v>
      </c>
      <c r="D2999" t="inlineStr">
        <is>
          <t>HALLANDS LÄN</t>
        </is>
      </c>
      <c r="E2999" t="inlineStr">
        <is>
          <t>VARBERG</t>
        </is>
      </c>
      <c r="G2999" t="n">
        <v>0.8</v>
      </c>
      <c r="H2999" t="n">
        <v>0</v>
      </c>
      <c r="I2999" t="n">
        <v>0</v>
      </c>
      <c r="J2999" t="n">
        <v>0</v>
      </c>
      <c r="K2999" t="n">
        <v>0</v>
      </c>
      <c r="L2999" t="n">
        <v>0</v>
      </c>
      <c r="M2999" t="n">
        <v>0</v>
      </c>
      <c r="N2999" t="n">
        <v>0</v>
      </c>
      <c r="O2999" t="n">
        <v>0</v>
      </c>
      <c r="P2999" t="n">
        <v>0</v>
      </c>
      <c r="Q2999" t="n">
        <v>0</v>
      </c>
      <c r="R2999" s="2" t="inlineStr"/>
    </row>
    <row r="3000" ht="15" customHeight="1">
      <c r="A3000" t="inlineStr">
        <is>
          <t>A 25242-2023</t>
        </is>
      </c>
      <c r="B3000" s="1" t="n">
        <v>45086</v>
      </c>
      <c r="C3000" s="1" t="n">
        <v>45358</v>
      </c>
      <c r="D3000" t="inlineStr">
        <is>
          <t>HALLANDS LÄN</t>
        </is>
      </c>
      <c r="E3000" t="inlineStr">
        <is>
          <t>VARBERG</t>
        </is>
      </c>
      <c r="G3000" t="n">
        <v>2.2</v>
      </c>
      <c r="H3000" t="n">
        <v>0</v>
      </c>
      <c r="I3000" t="n">
        <v>0</v>
      </c>
      <c r="J3000" t="n">
        <v>0</v>
      </c>
      <c r="K3000" t="n">
        <v>0</v>
      </c>
      <c r="L3000" t="n">
        <v>0</v>
      </c>
      <c r="M3000" t="n">
        <v>0</v>
      </c>
      <c r="N3000" t="n">
        <v>0</v>
      </c>
      <c r="O3000" t="n">
        <v>0</v>
      </c>
      <c r="P3000" t="n">
        <v>0</v>
      </c>
      <c r="Q3000" t="n">
        <v>0</v>
      </c>
      <c r="R3000" s="2" t="inlineStr"/>
    </row>
    <row r="3001" ht="15" customHeight="1">
      <c r="A3001" t="inlineStr">
        <is>
          <t>A 25130-2023</t>
        </is>
      </c>
      <c r="B3001" s="1" t="n">
        <v>45086</v>
      </c>
      <c r="C3001" s="1" t="n">
        <v>45358</v>
      </c>
      <c r="D3001" t="inlineStr">
        <is>
          <t>HALLANDS LÄN</t>
        </is>
      </c>
      <c r="E3001" t="inlineStr">
        <is>
          <t>VARBERG</t>
        </is>
      </c>
      <c r="G3001" t="n">
        <v>4.5</v>
      </c>
      <c r="H3001" t="n">
        <v>0</v>
      </c>
      <c r="I3001" t="n">
        <v>0</v>
      </c>
      <c r="J3001" t="n">
        <v>0</v>
      </c>
      <c r="K3001" t="n">
        <v>0</v>
      </c>
      <c r="L3001" t="n">
        <v>0</v>
      </c>
      <c r="M3001" t="n">
        <v>0</v>
      </c>
      <c r="N3001" t="n">
        <v>0</v>
      </c>
      <c r="O3001" t="n">
        <v>0</v>
      </c>
      <c r="P3001" t="n">
        <v>0</v>
      </c>
      <c r="Q3001" t="n">
        <v>0</v>
      </c>
      <c r="R3001" s="2" t="inlineStr"/>
    </row>
    <row r="3002" ht="15" customHeight="1">
      <c r="A3002" t="inlineStr">
        <is>
          <t>A 25149-2023</t>
        </is>
      </c>
      <c r="B3002" s="1" t="n">
        <v>45086</v>
      </c>
      <c r="C3002" s="1" t="n">
        <v>45358</v>
      </c>
      <c r="D3002" t="inlineStr">
        <is>
          <t>HALLANDS LÄN</t>
        </is>
      </c>
      <c r="E3002" t="inlineStr">
        <is>
          <t>HYLTE</t>
        </is>
      </c>
      <c r="G3002" t="n">
        <v>1.8</v>
      </c>
      <c r="H3002" t="n">
        <v>0</v>
      </c>
      <c r="I3002" t="n">
        <v>0</v>
      </c>
      <c r="J3002" t="n">
        <v>0</v>
      </c>
      <c r="K3002" t="n">
        <v>0</v>
      </c>
      <c r="L3002" t="n">
        <v>0</v>
      </c>
      <c r="M3002" t="n">
        <v>0</v>
      </c>
      <c r="N3002" t="n">
        <v>0</v>
      </c>
      <c r="O3002" t="n">
        <v>0</v>
      </c>
      <c r="P3002" t="n">
        <v>0</v>
      </c>
      <c r="Q3002" t="n">
        <v>0</v>
      </c>
      <c r="R3002" s="2" t="inlineStr"/>
    </row>
    <row r="3003" ht="15" customHeight="1">
      <c r="A3003" t="inlineStr">
        <is>
          <t>A 25131-2023</t>
        </is>
      </c>
      <c r="B3003" s="1" t="n">
        <v>45086</v>
      </c>
      <c r="C3003" s="1" t="n">
        <v>45358</v>
      </c>
      <c r="D3003" t="inlineStr">
        <is>
          <t>HALLANDS LÄN</t>
        </is>
      </c>
      <c r="E3003" t="inlineStr">
        <is>
          <t>VARBERG</t>
        </is>
      </c>
      <c r="G3003" t="n">
        <v>1</v>
      </c>
      <c r="H3003" t="n">
        <v>0</v>
      </c>
      <c r="I3003" t="n">
        <v>0</v>
      </c>
      <c r="J3003" t="n">
        <v>0</v>
      </c>
      <c r="K3003" t="n">
        <v>0</v>
      </c>
      <c r="L3003" t="n">
        <v>0</v>
      </c>
      <c r="M3003" t="n">
        <v>0</v>
      </c>
      <c r="N3003" t="n">
        <v>0</v>
      </c>
      <c r="O3003" t="n">
        <v>0</v>
      </c>
      <c r="P3003" t="n">
        <v>0</v>
      </c>
      <c r="Q3003" t="n">
        <v>0</v>
      </c>
      <c r="R3003" s="2" t="inlineStr"/>
    </row>
    <row r="3004" ht="15" customHeight="1">
      <c r="A3004" t="inlineStr">
        <is>
          <t>A 25128-2023</t>
        </is>
      </c>
      <c r="B3004" s="1" t="n">
        <v>45086</v>
      </c>
      <c r="C3004" s="1" t="n">
        <v>45358</v>
      </c>
      <c r="D3004" t="inlineStr">
        <is>
          <t>HALLANDS LÄN</t>
        </is>
      </c>
      <c r="E3004" t="inlineStr">
        <is>
          <t>VARBERG</t>
        </is>
      </c>
      <c r="G3004" t="n">
        <v>1.4</v>
      </c>
      <c r="H3004" t="n">
        <v>0</v>
      </c>
      <c r="I3004" t="n">
        <v>0</v>
      </c>
      <c r="J3004" t="n">
        <v>0</v>
      </c>
      <c r="K3004" t="n">
        <v>0</v>
      </c>
      <c r="L3004" t="n">
        <v>0</v>
      </c>
      <c r="M3004" t="n">
        <v>0</v>
      </c>
      <c r="N3004" t="n">
        <v>0</v>
      </c>
      <c r="O3004" t="n">
        <v>0</v>
      </c>
      <c r="P3004" t="n">
        <v>0</v>
      </c>
      <c r="Q3004" t="n">
        <v>0</v>
      </c>
      <c r="R3004" s="2" t="inlineStr"/>
    </row>
    <row r="3005" ht="15" customHeight="1">
      <c r="A3005" t="inlineStr">
        <is>
          <t>A 25166-2023</t>
        </is>
      </c>
      <c r="B3005" s="1" t="n">
        <v>45086</v>
      </c>
      <c r="C3005" s="1" t="n">
        <v>45358</v>
      </c>
      <c r="D3005" t="inlineStr">
        <is>
          <t>HALLANDS LÄN</t>
        </is>
      </c>
      <c r="E3005" t="inlineStr">
        <is>
          <t>FALKENBERG</t>
        </is>
      </c>
      <c r="G3005" t="n">
        <v>1.7</v>
      </c>
      <c r="H3005" t="n">
        <v>0</v>
      </c>
      <c r="I3005" t="n">
        <v>0</v>
      </c>
      <c r="J3005" t="n">
        <v>0</v>
      </c>
      <c r="K3005" t="n">
        <v>0</v>
      </c>
      <c r="L3005" t="n">
        <v>0</v>
      </c>
      <c r="M3005" t="n">
        <v>0</v>
      </c>
      <c r="N3005" t="n">
        <v>0</v>
      </c>
      <c r="O3005" t="n">
        <v>0</v>
      </c>
      <c r="P3005" t="n">
        <v>0</v>
      </c>
      <c r="Q3005" t="n">
        <v>0</v>
      </c>
      <c r="R3005" s="2" t="inlineStr"/>
    </row>
    <row r="3006" ht="15" customHeight="1">
      <c r="A3006" t="inlineStr">
        <is>
          <t>A 25358-2023</t>
        </is>
      </c>
      <c r="B3006" s="1" t="n">
        <v>45088</v>
      </c>
      <c r="C3006" s="1" t="n">
        <v>45358</v>
      </c>
      <c r="D3006" t="inlineStr">
        <is>
          <t>HALLANDS LÄN</t>
        </is>
      </c>
      <c r="E3006" t="inlineStr">
        <is>
          <t>VARBERG</t>
        </is>
      </c>
      <c r="G3006" t="n">
        <v>1.2</v>
      </c>
      <c r="H3006" t="n">
        <v>0</v>
      </c>
      <c r="I3006" t="n">
        <v>0</v>
      </c>
      <c r="J3006" t="n">
        <v>0</v>
      </c>
      <c r="K3006" t="n">
        <v>0</v>
      </c>
      <c r="L3006" t="n">
        <v>0</v>
      </c>
      <c r="M3006" t="n">
        <v>0</v>
      </c>
      <c r="N3006" t="n">
        <v>0</v>
      </c>
      <c r="O3006" t="n">
        <v>0</v>
      </c>
      <c r="P3006" t="n">
        <v>0</v>
      </c>
      <c r="Q3006" t="n">
        <v>0</v>
      </c>
      <c r="R3006" s="2" t="inlineStr"/>
    </row>
    <row r="3007" ht="15" customHeight="1">
      <c r="A3007" t="inlineStr">
        <is>
          <t>A 25359-2023</t>
        </is>
      </c>
      <c r="B3007" s="1" t="n">
        <v>45088</v>
      </c>
      <c r="C3007" s="1" t="n">
        <v>45358</v>
      </c>
      <c r="D3007" t="inlineStr">
        <is>
          <t>HALLANDS LÄN</t>
        </is>
      </c>
      <c r="E3007" t="inlineStr">
        <is>
          <t>VARBERG</t>
        </is>
      </c>
      <c r="G3007" t="n">
        <v>3.4</v>
      </c>
      <c r="H3007" t="n">
        <v>0</v>
      </c>
      <c r="I3007" t="n">
        <v>0</v>
      </c>
      <c r="J3007" t="n">
        <v>0</v>
      </c>
      <c r="K3007" t="n">
        <v>0</v>
      </c>
      <c r="L3007" t="n">
        <v>0</v>
      </c>
      <c r="M3007" t="n">
        <v>0</v>
      </c>
      <c r="N3007" t="n">
        <v>0</v>
      </c>
      <c r="O3007" t="n">
        <v>0</v>
      </c>
      <c r="P3007" t="n">
        <v>0</v>
      </c>
      <c r="Q3007" t="n">
        <v>0</v>
      </c>
      <c r="R3007" s="2" t="inlineStr"/>
    </row>
    <row r="3008" ht="15" customHeight="1">
      <c r="A3008" t="inlineStr">
        <is>
          <t>A 25442-2023</t>
        </is>
      </c>
      <c r="B3008" s="1" t="n">
        <v>45089</v>
      </c>
      <c r="C3008" s="1" t="n">
        <v>45358</v>
      </c>
      <c r="D3008" t="inlineStr">
        <is>
          <t>HALLANDS LÄN</t>
        </is>
      </c>
      <c r="E3008" t="inlineStr">
        <is>
          <t>FALKENBERG</t>
        </is>
      </c>
      <c r="G3008" t="n">
        <v>0.9</v>
      </c>
      <c r="H3008" t="n">
        <v>0</v>
      </c>
      <c r="I3008" t="n">
        <v>0</v>
      </c>
      <c r="J3008" t="n">
        <v>0</v>
      </c>
      <c r="K3008" t="n">
        <v>0</v>
      </c>
      <c r="L3008" t="n">
        <v>0</v>
      </c>
      <c r="M3008" t="n">
        <v>0</v>
      </c>
      <c r="N3008" t="n">
        <v>0</v>
      </c>
      <c r="O3008" t="n">
        <v>0</v>
      </c>
      <c r="P3008" t="n">
        <v>0</v>
      </c>
      <c r="Q3008" t="n">
        <v>0</v>
      </c>
      <c r="R3008" s="2" t="inlineStr"/>
    </row>
    <row r="3009" ht="15" customHeight="1">
      <c r="A3009" t="inlineStr">
        <is>
          <t>A 25592-2023</t>
        </is>
      </c>
      <c r="B3009" s="1" t="n">
        <v>45089</v>
      </c>
      <c r="C3009" s="1" t="n">
        <v>45358</v>
      </c>
      <c r="D3009" t="inlineStr">
        <is>
          <t>HALLANDS LÄN</t>
        </is>
      </c>
      <c r="E3009" t="inlineStr">
        <is>
          <t>LAHOLM</t>
        </is>
      </c>
      <c r="F3009" t="inlineStr">
        <is>
          <t>Sveaskog</t>
        </is>
      </c>
      <c r="G3009" t="n">
        <v>1.2</v>
      </c>
      <c r="H3009" t="n">
        <v>0</v>
      </c>
      <c r="I3009" t="n">
        <v>0</v>
      </c>
      <c r="J3009" t="n">
        <v>0</v>
      </c>
      <c r="K3009" t="n">
        <v>0</v>
      </c>
      <c r="L3009" t="n">
        <v>0</v>
      </c>
      <c r="M3009" t="n">
        <v>0</v>
      </c>
      <c r="N3009" t="n">
        <v>0</v>
      </c>
      <c r="O3009" t="n">
        <v>0</v>
      </c>
      <c r="P3009" t="n">
        <v>0</v>
      </c>
      <c r="Q3009" t="n">
        <v>0</v>
      </c>
      <c r="R3009" s="2" t="inlineStr"/>
    </row>
    <row r="3010" ht="15" customHeight="1">
      <c r="A3010" t="inlineStr">
        <is>
          <t>A 25411-2023</t>
        </is>
      </c>
      <c r="B3010" s="1" t="n">
        <v>45089</v>
      </c>
      <c r="C3010" s="1" t="n">
        <v>45358</v>
      </c>
      <c r="D3010" t="inlineStr">
        <is>
          <t>HALLANDS LÄN</t>
        </is>
      </c>
      <c r="E3010" t="inlineStr">
        <is>
          <t>FALKENBERG</t>
        </is>
      </c>
      <c r="G3010" t="n">
        <v>0.8</v>
      </c>
      <c r="H3010" t="n">
        <v>0</v>
      </c>
      <c r="I3010" t="n">
        <v>0</v>
      </c>
      <c r="J3010" t="n">
        <v>0</v>
      </c>
      <c r="K3010" t="n">
        <v>0</v>
      </c>
      <c r="L3010" t="n">
        <v>0</v>
      </c>
      <c r="M3010" t="n">
        <v>0</v>
      </c>
      <c r="N3010" t="n">
        <v>0</v>
      </c>
      <c r="O3010" t="n">
        <v>0</v>
      </c>
      <c r="P3010" t="n">
        <v>0</v>
      </c>
      <c r="Q3010" t="n">
        <v>0</v>
      </c>
      <c r="R3010" s="2" t="inlineStr"/>
    </row>
    <row r="3011" ht="15" customHeight="1">
      <c r="A3011" t="inlineStr">
        <is>
          <t>A 25600-2023</t>
        </is>
      </c>
      <c r="B3011" s="1" t="n">
        <v>45089</v>
      </c>
      <c r="C3011" s="1" t="n">
        <v>45358</v>
      </c>
      <c r="D3011" t="inlineStr">
        <is>
          <t>HALLANDS LÄN</t>
        </is>
      </c>
      <c r="E3011" t="inlineStr">
        <is>
          <t>LAHOLM</t>
        </is>
      </c>
      <c r="G3011" t="n">
        <v>4</v>
      </c>
      <c r="H3011" t="n">
        <v>0</v>
      </c>
      <c r="I3011" t="n">
        <v>0</v>
      </c>
      <c r="J3011" t="n">
        <v>0</v>
      </c>
      <c r="K3011" t="n">
        <v>0</v>
      </c>
      <c r="L3011" t="n">
        <v>0</v>
      </c>
      <c r="M3011" t="n">
        <v>0</v>
      </c>
      <c r="N3011" t="n">
        <v>0</v>
      </c>
      <c r="O3011" t="n">
        <v>0</v>
      </c>
      <c r="P3011" t="n">
        <v>0</v>
      </c>
      <c r="Q3011" t="n">
        <v>0</v>
      </c>
      <c r="R3011" s="2" t="inlineStr"/>
    </row>
    <row r="3012" ht="15" customHeight="1">
      <c r="A3012" t="inlineStr">
        <is>
          <t>A 25516-2023</t>
        </is>
      </c>
      <c r="B3012" s="1" t="n">
        <v>45089</v>
      </c>
      <c r="C3012" s="1" t="n">
        <v>45358</v>
      </c>
      <c r="D3012" t="inlineStr">
        <is>
          <t>HALLANDS LÄN</t>
        </is>
      </c>
      <c r="E3012" t="inlineStr">
        <is>
          <t>LAHOLM</t>
        </is>
      </c>
      <c r="F3012" t="inlineStr">
        <is>
          <t>Sveaskog</t>
        </is>
      </c>
      <c r="G3012" t="n">
        <v>6.4</v>
      </c>
      <c r="H3012" t="n">
        <v>0</v>
      </c>
      <c r="I3012" t="n">
        <v>0</v>
      </c>
      <c r="J3012" t="n">
        <v>0</v>
      </c>
      <c r="K3012" t="n">
        <v>0</v>
      </c>
      <c r="L3012" t="n">
        <v>0</v>
      </c>
      <c r="M3012" t="n">
        <v>0</v>
      </c>
      <c r="N3012" t="n">
        <v>0</v>
      </c>
      <c r="O3012" t="n">
        <v>0</v>
      </c>
      <c r="P3012" t="n">
        <v>0</v>
      </c>
      <c r="Q3012" t="n">
        <v>0</v>
      </c>
      <c r="R3012" s="2" t="inlineStr"/>
    </row>
    <row r="3013" ht="15" customHeight="1">
      <c r="A3013" t="inlineStr">
        <is>
          <t>A 25537-2023</t>
        </is>
      </c>
      <c r="B3013" s="1" t="n">
        <v>45089</v>
      </c>
      <c r="C3013" s="1" t="n">
        <v>45358</v>
      </c>
      <c r="D3013" t="inlineStr">
        <is>
          <t>HALLANDS LÄN</t>
        </is>
      </c>
      <c r="E3013" t="inlineStr">
        <is>
          <t>HYLTE</t>
        </is>
      </c>
      <c r="G3013" t="n">
        <v>5.7</v>
      </c>
      <c r="H3013" t="n">
        <v>0</v>
      </c>
      <c r="I3013" t="n">
        <v>0</v>
      </c>
      <c r="J3013" t="n">
        <v>0</v>
      </c>
      <c r="K3013" t="n">
        <v>0</v>
      </c>
      <c r="L3013" t="n">
        <v>0</v>
      </c>
      <c r="M3013" t="n">
        <v>0</v>
      </c>
      <c r="N3013" t="n">
        <v>0</v>
      </c>
      <c r="O3013" t="n">
        <v>0</v>
      </c>
      <c r="P3013" t="n">
        <v>0</v>
      </c>
      <c r="Q3013" t="n">
        <v>0</v>
      </c>
      <c r="R3013" s="2" t="inlineStr"/>
    </row>
    <row r="3014" ht="15" customHeight="1">
      <c r="A3014" t="inlineStr">
        <is>
          <t>A 25593-2023</t>
        </is>
      </c>
      <c r="B3014" s="1" t="n">
        <v>45089</v>
      </c>
      <c r="C3014" s="1" t="n">
        <v>45358</v>
      </c>
      <c r="D3014" t="inlineStr">
        <is>
          <t>HALLANDS LÄN</t>
        </is>
      </c>
      <c r="E3014" t="inlineStr">
        <is>
          <t>LAHOLM</t>
        </is>
      </c>
      <c r="F3014" t="inlineStr">
        <is>
          <t>Sveaskog</t>
        </is>
      </c>
      <c r="G3014" t="n">
        <v>1.3</v>
      </c>
      <c r="H3014" t="n">
        <v>0</v>
      </c>
      <c r="I3014" t="n">
        <v>0</v>
      </c>
      <c r="J3014" t="n">
        <v>0</v>
      </c>
      <c r="K3014" t="n">
        <v>0</v>
      </c>
      <c r="L3014" t="n">
        <v>0</v>
      </c>
      <c r="M3014" t="n">
        <v>0</v>
      </c>
      <c r="N3014" t="n">
        <v>0</v>
      </c>
      <c r="O3014" t="n">
        <v>0</v>
      </c>
      <c r="P3014" t="n">
        <v>0</v>
      </c>
      <c r="Q3014" t="n">
        <v>0</v>
      </c>
      <c r="R3014" s="2" t="inlineStr"/>
    </row>
    <row r="3015" ht="15" customHeight="1">
      <c r="A3015" t="inlineStr">
        <is>
          <t>A 25597-2023</t>
        </is>
      </c>
      <c r="B3015" s="1" t="n">
        <v>45089</v>
      </c>
      <c r="C3015" s="1" t="n">
        <v>45358</v>
      </c>
      <c r="D3015" t="inlineStr">
        <is>
          <t>HALLANDS LÄN</t>
        </is>
      </c>
      <c r="E3015" t="inlineStr">
        <is>
          <t>LAHOLM</t>
        </is>
      </c>
      <c r="F3015" t="inlineStr">
        <is>
          <t>Sveaskog</t>
        </is>
      </c>
      <c r="G3015" t="n">
        <v>1.9</v>
      </c>
      <c r="H3015" t="n">
        <v>0</v>
      </c>
      <c r="I3015" t="n">
        <v>0</v>
      </c>
      <c r="J3015" t="n">
        <v>0</v>
      </c>
      <c r="K3015" t="n">
        <v>0</v>
      </c>
      <c r="L3015" t="n">
        <v>0</v>
      </c>
      <c r="M3015" t="n">
        <v>0</v>
      </c>
      <c r="N3015" t="n">
        <v>0</v>
      </c>
      <c r="O3015" t="n">
        <v>0</v>
      </c>
      <c r="P3015" t="n">
        <v>0</v>
      </c>
      <c r="Q3015" t="n">
        <v>0</v>
      </c>
      <c r="R3015" s="2" t="inlineStr"/>
    </row>
    <row r="3016" ht="15" customHeight="1">
      <c r="A3016" t="inlineStr">
        <is>
          <t>A 25590-2023</t>
        </is>
      </c>
      <c r="B3016" s="1" t="n">
        <v>45089</v>
      </c>
      <c r="C3016" s="1" t="n">
        <v>45358</v>
      </c>
      <c r="D3016" t="inlineStr">
        <is>
          <t>HALLANDS LÄN</t>
        </is>
      </c>
      <c r="E3016" t="inlineStr">
        <is>
          <t>LAHOLM</t>
        </is>
      </c>
      <c r="G3016" t="n">
        <v>1.6</v>
      </c>
      <c r="H3016" t="n">
        <v>0</v>
      </c>
      <c r="I3016" t="n">
        <v>0</v>
      </c>
      <c r="J3016" t="n">
        <v>0</v>
      </c>
      <c r="K3016" t="n">
        <v>0</v>
      </c>
      <c r="L3016" t="n">
        <v>0</v>
      </c>
      <c r="M3016" t="n">
        <v>0</v>
      </c>
      <c r="N3016" t="n">
        <v>0</v>
      </c>
      <c r="O3016" t="n">
        <v>0</v>
      </c>
      <c r="P3016" t="n">
        <v>0</v>
      </c>
      <c r="Q3016" t="n">
        <v>0</v>
      </c>
      <c r="R3016" s="2" t="inlineStr"/>
    </row>
    <row r="3017" ht="15" customHeight="1">
      <c r="A3017" t="inlineStr">
        <is>
          <t>A 25612-2023</t>
        </is>
      </c>
      <c r="B3017" s="1" t="n">
        <v>45089</v>
      </c>
      <c r="C3017" s="1" t="n">
        <v>45358</v>
      </c>
      <c r="D3017" t="inlineStr">
        <is>
          <t>HALLANDS LÄN</t>
        </is>
      </c>
      <c r="E3017" t="inlineStr">
        <is>
          <t>FALKENBERG</t>
        </is>
      </c>
      <c r="G3017" t="n">
        <v>0.8</v>
      </c>
      <c r="H3017" t="n">
        <v>0</v>
      </c>
      <c r="I3017" t="n">
        <v>0</v>
      </c>
      <c r="J3017" t="n">
        <v>0</v>
      </c>
      <c r="K3017" t="n">
        <v>0</v>
      </c>
      <c r="L3017" t="n">
        <v>0</v>
      </c>
      <c r="M3017" t="n">
        <v>0</v>
      </c>
      <c r="N3017" t="n">
        <v>0</v>
      </c>
      <c r="O3017" t="n">
        <v>0</v>
      </c>
      <c r="P3017" t="n">
        <v>0</v>
      </c>
      <c r="Q3017" t="n">
        <v>0</v>
      </c>
      <c r="R3017" s="2" t="inlineStr"/>
    </row>
    <row r="3018" ht="15" customHeight="1">
      <c r="A3018" t="inlineStr">
        <is>
          <t>A 25591-2023</t>
        </is>
      </c>
      <c r="B3018" s="1" t="n">
        <v>45089</v>
      </c>
      <c r="C3018" s="1" t="n">
        <v>45358</v>
      </c>
      <c r="D3018" t="inlineStr">
        <is>
          <t>HALLANDS LÄN</t>
        </is>
      </c>
      <c r="E3018" t="inlineStr">
        <is>
          <t>LAHOLM</t>
        </is>
      </c>
      <c r="F3018" t="inlineStr">
        <is>
          <t>Sveaskog</t>
        </is>
      </c>
      <c r="G3018" t="n">
        <v>5.7</v>
      </c>
      <c r="H3018" t="n">
        <v>0</v>
      </c>
      <c r="I3018" t="n">
        <v>0</v>
      </c>
      <c r="J3018" t="n">
        <v>0</v>
      </c>
      <c r="K3018" t="n">
        <v>0</v>
      </c>
      <c r="L3018" t="n">
        <v>0</v>
      </c>
      <c r="M3018" t="n">
        <v>0</v>
      </c>
      <c r="N3018" t="n">
        <v>0</v>
      </c>
      <c r="O3018" t="n">
        <v>0</v>
      </c>
      <c r="P3018" t="n">
        <v>0</v>
      </c>
      <c r="Q3018" t="n">
        <v>0</v>
      </c>
      <c r="R3018" s="2" t="inlineStr"/>
    </row>
    <row r="3019" ht="15" customHeight="1">
      <c r="A3019" t="inlineStr">
        <is>
          <t>A 25698-2023</t>
        </is>
      </c>
      <c r="B3019" s="1" t="n">
        <v>45090</v>
      </c>
      <c r="C3019" s="1" t="n">
        <v>45358</v>
      </c>
      <c r="D3019" t="inlineStr">
        <is>
          <t>HALLANDS LÄN</t>
        </is>
      </c>
      <c r="E3019" t="inlineStr">
        <is>
          <t>HALMSTAD</t>
        </is>
      </c>
      <c r="G3019" t="n">
        <v>0.6</v>
      </c>
      <c r="H3019" t="n">
        <v>0</v>
      </c>
      <c r="I3019" t="n">
        <v>0</v>
      </c>
      <c r="J3019" t="n">
        <v>0</v>
      </c>
      <c r="K3019" t="n">
        <v>0</v>
      </c>
      <c r="L3019" t="n">
        <v>0</v>
      </c>
      <c r="M3019" t="n">
        <v>0</v>
      </c>
      <c r="N3019" t="n">
        <v>0</v>
      </c>
      <c r="O3019" t="n">
        <v>0</v>
      </c>
      <c r="P3019" t="n">
        <v>0</v>
      </c>
      <c r="Q3019" t="n">
        <v>0</v>
      </c>
      <c r="R3019" s="2" t="inlineStr"/>
    </row>
    <row r="3020" ht="15" customHeight="1">
      <c r="A3020" t="inlineStr">
        <is>
          <t>A 25828-2023</t>
        </is>
      </c>
      <c r="B3020" s="1" t="n">
        <v>45090</v>
      </c>
      <c r="C3020" s="1" t="n">
        <v>45358</v>
      </c>
      <c r="D3020" t="inlineStr">
        <is>
          <t>HALLANDS LÄN</t>
        </is>
      </c>
      <c r="E3020" t="inlineStr">
        <is>
          <t>VARBERG</t>
        </is>
      </c>
      <c r="G3020" t="n">
        <v>0.7</v>
      </c>
      <c r="H3020" t="n">
        <v>0</v>
      </c>
      <c r="I3020" t="n">
        <v>0</v>
      </c>
      <c r="J3020" t="n">
        <v>0</v>
      </c>
      <c r="K3020" t="n">
        <v>0</v>
      </c>
      <c r="L3020" t="n">
        <v>0</v>
      </c>
      <c r="M3020" t="n">
        <v>0</v>
      </c>
      <c r="N3020" t="n">
        <v>0</v>
      </c>
      <c r="O3020" t="n">
        <v>0</v>
      </c>
      <c r="P3020" t="n">
        <v>0</v>
      </c>
      <c r="Q3020" t="n">
        <v>0</v>
      </c>
      <c r="R3020" s="2" t="inlineStr"/>
    </row>
    <row r="3021" ht="15" customHeight="1">
      <c r="A3021" t="inlineStr">
        <is>
          <t>A 25853-2023</t>
        </is>
      </c>
      <c r="B3021" s="1" t="n">
        <v>45090</v>
      </c>
      <c r="C3021" s="1" t="n">
        <v>45358</v>
      </c>
      <c r="D3021" t="inlineStr">
        <is>
          <t>HALLANDS LÄN</t>
        </is>
      </c>
      <c r="E3021" t="inlineStr">
        <is>
          <t>VARBERG</t>
        </is>
      </c>
      <c r="G3021" t="n">
        <v>2</v>
      </c>
      <c r="H3021" t="n">
        <v>0</v>
      </c>
      <c r="I3021" t="n">
        <v>0</v>
      </c>
      <c r="J3021" t="n">
        <v>0</v>
      </c>
      <c r="K3021" t="n">
        <v>0</v>
      </c>
      <c r="L3021" t="n">
        <v>0</v>
      </c>
      <c r="M3021" t="n">
        <v>0</v>
      </c>
      <c r="N3021" t="n">
        <v>0</v>
      </c>
      <c r="O3021" t="n">
        <v>0</v>
      </c>
      <c r="P3021" t="n">
        <v>0</v>
      </c>
      <c r="Q3021" t="n">
        <v>0</v>
      </c>
      <c r="R3021" s="2" t="inlineStr"/>
    </row>
    <row r="3022" ht="15" customHeight="1">
      <c r="A3022" t="inlineStr">
        <is>
          <t>A 25821-2023</t>
        </is>
      </c>
      <c r="B3022" s="1" t="n">
        <v>45090</v>
      </c>
      <c r="C3022" s="1" t="n">
        <v>45358</v>
      </c>
      <c r="D3022" t="inlineStr">
        <is>
          <t>HALLANDS LÄN</t>
        </is>
      </c>
      <c r="E3022" t="inlineStr">
        <is>
          <t>VARBERG</t>
        </is>
      </c>
      <c r="G3022" t="n">
        <v>5.2</v>
      </c>
      <c r="H3022" t="n">
        <v>0</v>
      </c>
      <c r="I3022" t="n">
        <v>0</v>
      </c>
      <c r="J3022" t="n">
        <v>0</v>
      </c>
      <c r="K3022" t="n">
        <v>0</v>
      </c>
      <c r="L3022" t="n">
        <v>0</v>
      </c>
      <c r="M3022" t="n">
        <v>0</v>
      </c>
      <c r="N3022" t="n">
        <v>0</v>
      </c>
      <c r="O3022" t="n">
        <v>0</v>
      </c>
      <c r="P3022" t="n">
        <v>0</v>
      </c>
      <c r="Q3022" t="n">
        <v>0</v>
      </c>
      <c r="R3022" s="2" t="inlineStr"/>
    </row>
    <row r="3023" ht="15" customHeight="1">
      <c r="A3023" t="inlineStr">
        <is>
          <t>A 25825-2023</t>
        </is>
      </c>
      <c r="B3023" s="1" t="n">
        <v>45090</v>
      </c>
      <c r="C3023" s="1" t="n">
        <v>45358</v>
      </c>
      <c r="D3023" t="inlineStr">
        <is>
          <t>HALLANDS LÄN</t>
        </is>
      </c>
      <c r="E3023" t="inlineStr">
        <is>
          <t>VARBERG</t>
        </is>
      </c>
      <c r="G3023" t="n">
        <v>1.5</v>
      </c>
      <c r="H3023" t="n">
        <v>0</v>
      </c>
      <c r="I3023" t="n">
        <v>0</v>
      </c>
      <c r="J3023" t="n">
        <v>0</v>
      </c>
      <c r="K3023" t="n">
        <v>0</v>
      </c>
      <c r="L3023" t="n">
        <v>0</v>
      </c>
      <c r="M3023" t="n">
        <v>0</v>
      </c>
      <c r="N3023" t="n">
        <v>0</v>
      </c>
      <c r="O3023" t="n">
        <v>0</v>
      </c>
      <c r="P3023" t="n">
        <v>0</v>
      </c>
      <c r="Q3023" t="n">
        <v>0</v>
      </c>
      <c r="R3023" s="2" t="inlineStr"/>
    </row>
    <row r="3024" ht="15" customHeight="1">
      <c r="A3024" t="inlineStr">
        <is>
          <t>A 25830-2023</t>
        </is>
      </c>
      <c r="B3024" s="1" t="n">
        <v>45090</v>
      </c>
      <c r="C3024" s="1" t="n">
        <v>45358</v>
      </c>
      <c r="D3024" t="inlineStr">
        <is>
          <t>HALLANDS LÄN</t>
        </is>
      </c>
      <c r="E3024" t="inlineStr">
        <is>
          <t>VARBERG</t>
        </is>
      </c>
      <c r="G3024" t="n">
        <v>0.6</v>
      </c>
      <c r="H3024" t="n">
        <v>0</v>
      </c>
      <c r="I3024" t="n">
        <v>0</v>
      </c>
      <c r="J3024" t="n">
        <v>0</v>
      </c>
      <c r="K3024" t="n">
        <v>0</v>
      </c>
      <c r="L3024" t="n">
        <v>0</v>
      </c>
      <c r="M3024" t="n">
        <v>0</v>
      </c>
      <c r="N3024" t="n">
        <v>0</v>
      </c>
      <c r="O3024" t="n">
        <v>0</v>
      </c>
      <c r="P3024" t="n">
        <v>0</v>
      </c>
      <c r="Q3024" t="n">
        <v>0</v>
      </c>
      <c r="R3024" s="2" t="inlineStr"/>
    </row>
    <row r="3025" ht="15" customHeight="1">
      <c r="A3025" t="inlineStr">
        <is>
          <t>A 26159-2023</t>
        </is>
      </c>
      <c r="B3025" s="1" t="n">
        <v>45091</v>
      </c>
      <c r="C3025" s="1" t="n">
        <v>45358</v>
      </c>
      <c r="D3025" t="inlineStr">
        <is>
          <t>HALLANDS LÄN</t>
        </is>
      </c>
      <c r="E3025" t="inlineStr">
        <is>
          <t>KUNGSBACKA</t>
        </is>
      </c>
      <c r="G3025" t="n">
        <v>3.8</v>
      </c>
      <c r="H3025" t="n">
        <v>0</v>
      </c>
      <c r="I3025" t="n">
        <v>0</v>
      </c>
      <c r="J3025" t="n">
        <v>0</v>
      </c>
      <c r="K3025" t="n">
        <v>0</v>
      </c>
      <c r="L3025" t="n">
        <v>0</v>
      </c>
      <c r="M3025" t="n">
        <v>0</v>
      </c>
      <c r="N3025" t="n">
        <v>0</v>
      </c>
      <c r="O3025" t="n">
        <v>0</v>
      </c>
      <c r="P3025" t="n">
        <v>0</v>
      </c>
      <c r="Q3025" t="n">
        <v>0</v>
      </c>
      <c r="R3025" s="2" t="inlineStr"/>
    </row>
    <row r="3026" ht="15" customHeight="1">
      <c r="A3026" t="inlineStr">
        <is>
          <t>A 26310-2023</t>
        </is>
      </c>
      <c r="B3026" s="1" t="n">
        <v>45091</v>
      </c>
      <c r="C3026" s="1" t="n">
        <v>45358</v>
      </c>
      <c r="D3026" t="inlineStr">
        <is>
          <t>HALLANDS LÄN</t>
        </is>
      </c>
      <c r="E3026" t="inlineStr">
        <is>
          <t>FALKENBERG</t>
        </is>
      </c>
      <c r="G3026" t="n">
        <v>4.7</v>
      </c>
      <c r="H3026" t="n">
        <v>0</v>
      </c>
      <c r="I3026" t="n">
        <v>0</v>
      </c>
      <c r="J3026" t="n">
        <v>0</v>
      </c>
      <c r="K3026" t="n">
        <v>0</v>
      </c>
      <c r="L3026" t="n">
        <v>0</v>
      </c>
      <c r="M3026" t="n">
        <v>0</v>
      </c>
      <c r="N3026" t="n">
        <v>0</v>
      </c>
      <c r="O3026" t="n">
        <v>0</v>
      </c>
      <c r="P3026" t="n">
        <v>0</v>
      </c>
      <c r="Q3026" t="n">
        <v>0</v>
      </c>
      <c r="R3026" s="2" t="inlineStr"/>
    </row>
    <row r="3027" ht="15" customHeight="1">
      <c r="A3027" t="inlineStr">
        <is>
          <t>A 26313-2023</t>
        </is>
      </c>
      <c r="B3027" s="1" t="n">
        <v>45091</v>
      </c>
      <c r="C3027" s="1" t="n">
        <v>45358</v>
      </c>
      <c r="D3027" t="inlineStr">
        <is>
          <t>HALLANDS LÄN</t>
        </is>
      </c>
      <c r="E3027" t="inlineStr">
        <is>
          <t>HYLTE</t>
        </is>
      </c>
      <c r="G3027" t="n">
        <v>1.7</v>
      </c>
      <c r="H3027" t="n">
        <v>0</v>
      </c>
      <c r="I3027" t="n">
        <v>0</v>
      </c>
      <c r="J3027" t="n">
        <v>0</v>
      </c>
      <c r="K3027" t="n">
        <v>0</v>
      </c>
      <c r="L3027" t="n">
        <v>0</v>
      </c>
      <c r="M3027" t="n">
        <v>0</v>
      </c>
      <c r="N3027" t="n">
        <v>0</v>
      </c>
      <c r="O3027" t="n">
        <v>0</v>
      </c>
      <c r="P3027" t="n">
        <v>0</v>
      </c>
      <c r="Q3027" t="n">
        <v>0</v>
      </c>
      <c r="R3027" s="2" t="inlineStr"/>
    </row>
    <row r="3028" ht="15" customHeight="1">
      <c r="A3028" t="inlineStr">
        <is>
          <t>A 26257-2023</t>
        </is>
      </c>
      <c r="B3028" s="1" t="n">
        <v>45091</v>
      </c>
      <c r="C3028" s="1" t="n">
        <v>45358</v>
      </c>
      <c r="D3028" t="inlineStr">
        <is>
          <t>HALLANDS LÄN</t>
        </is>
      </c>
      <c r="E3028" t="inlineStr">
        <is>
          <t>HYLTE</t>
        </is>
      </c>
      <c r="G3028" t="n">
        <v>4.9</v>
      </c>
      <c r="H3028" t="n">
        <v>0</v>
      </c>
      <c r="I3028" t="n">
        <v>0</v>
      </c>
      <c r="J3028" t="n">
        <v>0</v>
      </c>
      <c r="K3028" t="n">
        <v>0</v>
      </c>
      <c r="L3028" t="n">
        <v>0</v>
      </c>
      <c r="M3028" t="n">
        <v>0</v>
      </c>
      <c r="N3028" t="n">
        <v>0</v>
      </c>
      <c r="O3028" t="n">
        <v>0</v>
      </c>
      <c r="P3028" t="n">
        <v>0</v>
      </c>
      <c r="Q3028" t="n">
        <v>0</v>
      </c>
      <c r="R3028" s="2" t="inlineStr"/>
    </row>
    <row r="3029" ht="15" customHeight="1">
      <c r="A3029" t="inlineStr">
        <is>
          <t>A 26312-2023</t>
        </is>
      </c>
      <c r="B3029" s="1" t="n">
        <v>45091</v>
      </c>
      <c r="C3029" s="1" t="n">
        <v>45358</v>
      </c>
      <c r="D3029" t="inlineStr">
        <is>
          <t>HALLANDS LÄN</t>
        </is>
      </c>
      <c r="E3029" t="inlineStr">
        <is>
          <t>FALKENBERG</t>
        </is>
      </c>
      <c r="G3029" t="n">
        <v>0.6</v>
      </c>
      <c r="H3029" t="n">
        <v>0</v>
      </c>
      <c r="I3029" t="n">
        <v>0</v>
      </c>
      <c r="J3029" t="n">
        <v>0</v>
      </c>
      <c r="K3029" t="n">
        <v>0</v>
      </c>
      <c r="L3029" t="n">
        <v>0</v>
      </c>
      <c r="M3029" t="n">
        <v>0</v>
      </c>
      <c r="N3029" t="n">
        <v>0</v>
      </c>
      <c r="O3029" t="n">
        <v>0</v>
      </c>
      <c r="P3029" t="n">
        <v>0</v>
      </c>
      <c r="Q3029" t="n">
        <v>0</v>
      </c>
      <c r="R3029" s="2" t="inlineStr"/>
    </row>
    <row r="3030" ht="15" customHeight="1">
      <c r="A3030" t="inlineStr">
        <is>
          <t>A 26024-2023</t>
        </is>
      </c>
      <c r="B3030" s="1" t="n">
        <v>45091</v>
      </c>
      <c r="C3030" s="1" t="n">
        <v>45358</v>
      </c>
      <c r="D3030" t="inlineStr">
        <is>
          <t>HALLANDS LÄN</t>
        </is>
      </c>
      <c r="E3030" t="inlineStr">
        <is>
          <t>HALMSTAD</t>
        </is>
      </c>
      <c r="G3030" t="n">
        <v>0.5</v>
      </c>
      <c r="H3030" t="n">
        <v>0</v>
      </c>
      <c r="I3030" t="n">
        <v>0</v>
      </c>
      <c r="J3030" t="n">
        <v>0</v>
      </c>
      <c r="K3030" t="n">
        <v>0</v>
      </c>
      <c r="L3030" t="n">
        <v>0</v>
      </c>
      <c r="M3030" t="n">
        <v>0</v>
      </c>
      <c r="N3030" t="n">
        <v>0</v>
      </c>
      <c r="O3030" t="n">
        <v>0</v>
      </c>
      <c r="P3030" t="n">
        <v>0</v>
      </c>
      <c r="Q3030" t="n">
        <v>0</v>
      </c>
      <c r="R3030" s="2" t="inlineStr"/>
    </row>
    <row r="3031" ht="15" customHeight="1">
      <c r="A3031" t="inlineStr">
        <is>
          <t>A 26049-2023</t>
        </is>
      </c>
      <c r="B3031" s="1" t="n">
        <v>45091</v>
      </c>
      <c r="C3031" s="1" t="n">
        <v>45358</v>
      </c>
      <c r="D3031" t="inlineStr">
        <is>
          <t>HALLANDS LÄN</t>
        </is>
      </c>
      <c r="E3031" t="inlineStr">
        <is>
          <t>HALMSTAD</t>
        </is>
      </c>
      <c r="G3031" t="n">
        <v>0.4</v>
      </c>
      <c r="H3031" t="n">
        <v>0</v>
      </c>
      <c r="I3031" t="n">
        <v>0</v>
      </c>
      <c r="J3031" t="n">
        <v>0</v>
      </c>
      <c r="K3031" t="n">
        <v>0</v>
      </c>
      <c r="L3031" t="n">
        <v>0</v>
      </c>
      <c r="M3031" t="n">
        <v>0</v>
      </c>
      <c r="N3031" t="n">
        <v>0</v>
      </c>
      <c r="O3031" t="n">
        <v>0</v>
      </c>
      <c r="P3031" t="n">
        <v>0</v>
      </c>
      <c r="Q3031" t="n">
        <v>0</v>
      </c>
      <c r="R3031" s="2" t="inlineStr"/>
    </row>
    <row r="3032" ht="15" customHeight="1">
      <c r="A3032" t="inlineStr">
        <is>
          <t>A 26122-2023</t>
        </is>
      </c>
      <c r="B3032" s="1" t="n">
        <v>45091</v>
      </c>
      <c r="C3032" s="1" t="n">
        <v>45358</v>
      </c>
      <c r="D3032" t="inlineStr">
        <is>
          <t>HALLANDS LÄN</t>
        </is>
      </c>
      <c r="E3032" t="inlineStr">
        <is>
          <t>HALMSTAD</t>
        </is>
      </c>
      <c r="G3032" t="n">
        <v>5.3</v>
      </c>
      <c r="H3032" t="n">
        <v>0</v>
      </c>
      <c r="I3032" t="n">
        <v>0</v>
      </c>
      <c r="J3032" t="n">
        <v>0</v>
      </c>
      <c r="K3032" t="n">
        <v>0</v>
      </c>
      <c r="L3032" t="n">
        <v>0</v>
      </c>
      <c r="M3032" t="n">
        <v>0</v>
      </c>
      <c r="N3032" t="n">
        <v>0</v>
      </c>
      <c r="O3032" t="n">
        <v>0</v>
      </c>
      <c r="P3032" t="n">
        <v>0</v>
      </c>
      <c r="Q3032" t="n">
        <v>0</v>
      </c>
      <c r="R3032" s="2" t="inlineStr"/>
    </row>
    <row r="3033" ht="15" customHeight="1">
      <c r="A3033" t="inlineStr">
        <is>
          <t>A 26150-2023</t>
        </is>
      </c>
      <c r="B3033" s="1" t="n">
        <v>45091</v>
      </c>
      <c r="C3033" s="1" t="n">
        <v>45358</v>
      </c>
      <c r="D3033" t="inlineStr">
        <is>
          <t>HALLANDS LÄN</t>
        </is>
      </c>
      <c r="E3033" t="inlineStr">
        <is>
          <t>KUNGSBACKA</t>
        </is>
      </c>
      <c r="G3033" t="n">
        <v>3.8</v>
      </c>
      <c r="H3033" t="n">
        <v>0</v>
      </c>
      <c r="I3033" t="n">
        <v>0</v>
      </c>
      <c r="J3033" t="n">
        <v>0</v>
      </c>
      <c r="K3033" t="n">
        <v>0</v>
      </c>
      <c r="L3033" t="n">
        <v>0</v>
      </c>
      <c r="M3033" t="n">
        <v>0</v>
      </c>
      <c r="N3033" t="n">
        <v>0</v>
      </c>
      <c r="O3033" t="n">
        <v>0</v>
      </c>
      <c r="P3033" t="n">
        <v>0</v>
      </c>
      <c r="Q3033" t="n">
        <v>0</v>
      </c>
      <c r="R3033" s="2" t="inlineStr"/>
    </row>
    <row r="3034" ht="15" customHeight="1">
      <c r="A3034" t="inlineStr">
        <is>
          <t>A 26155-2023</t>
        </is>
      </c>
      <c r="B3034" s="1" t="n">
        <v>45091</v>
      </c>
      <c r="C3034" s="1" t="n">
        <v>45358</v>
      </c>
      <c r="D3034" t="inlineStr">
        <is>
          <t>HALLANDS LÄN</t>
        </is>
      </c>
      <c r="E3034" t="inlineStr">
        <is>
          <t>KUNGSBACKA</t>
        </is>
      </c>
      <c r="G3034" t="n">
        <v>5.2</v>
      </c>
      <c r="H3034" t="n">
        <v>0</v>
      </c>
      <c r="I3034" t="n">
        <v>0</v>
      </c>
      <c r="J3034" t="n">
        <v>0</v>
      </c>
      <c r="K3034" t="n">
        <v>0</v>
      </c>
      <c r="L3034" t="n">
        <v>0</v>
      </c>
      <c r="M3034" t="n">
        <v>0</v>
      </c>
      <c r="N3034" t="n">
        <v>0</v>
      </c>
      <c r="O3034" t="n">
        <v>0</v>
      </c>
      <c r="P3034" t="n">
        <v>0</v>
      </c>
      <c r="Q3034" t="n">
        <v>0</v>
      </c>
      <c r="R3034" s="2" t="inlineStr"/>
    </row>
    <row r="3035" ht="15" customHeight="1">
      <c r="A3035" t="inlineStr">
        <is>
          <t>A 26145-2023</t>
        </is>
      </c>
      <c r="B3035" s="1" t="n">
        <v>45091</v>
      </c>
      <c r="C3035" s="1" t="n">
        <v>45358</v>
      </c>
      <c r="D3035" t="inlineStr">
        <is>
          <t>HALLANDS LÄN</t>
        </is>
      </c>
      <c r="E3035" t="inlineStr">
        <is>
          <t>KUNGSBACKA</t>
        </is>
      </c>
      <c r="G3035" t="n">
        <v>0.7</v>
      </c>
      <c r="H3035" t="n">
        <v>0</v>
      </c>
      <c r="I3035" t="n">
        <v>0</v>
      </c>
      <c r="J3035" t="n">
        <v>0</v>
      </c>
      <c r="K3035" t="n">
        <v>0</v>
      </c>
      <c r="L3035" t="n">
        <v>0</v>
      </c>
      <c r="M3035" t="n">
        <v>0</v>
      </c>
      <c r="N3035" t="n">
        <v>0</v>
      </c>
      <c r="O3035" t="n">
        <v>0</v>
      </c>
      <c r="P3035" t="n">
        <v>0</v>
      </c>
      <c r="Q3035" t="n">
        <v>0</v>
      </c>
      <c r="R3035" s="2" t="inlineStr"/>
    </row>
    <row r="3036" ht="15" customHeight="1">
      <c r="A3036" t="inlineStr">
        <is>
          <t>A 26148-2023</t>
        </is>
      </c>
      <c r="B3036" s="1" t="n">
        <v>45091</v>
      </c>
      <c r="C3036" s="1" t="n">
        <v>45358</v>
      </c>
      <c r="D3036" t="inlineStr">
        <is>
          <t>HALLANDS LÄN</t>
        </is>
      </c>
      <c r="E3036" t="inlineStr">
        <is>
          <t>KUNGSBACKA</t>
        </is>
      </c>
      <c r="G3036" t="n">
        <v>0.8</v>
      </c>
      <c r="H3036" t="n">
        <v>0</v>
      </c>
      <c r="I3036" t="n">
        <v>0</v>
      </c>
      <c r="J3036" t="n">
        <v>0</v>
      </c>
      <c r="K3036" t="n">
        <v>0</v>
      </c>
      <c r="L3036" t="n">
        <v>0</v>
      </c>
      <c r="M3036" t="n">
        <v>0</v>
      </c>
      <c r="N3036" t="n">
        <v>0</v>
      </c>
      <c r="O3036" t="n">
        <v>0</v>
      </c>
      <c r="P3036" t="n">
        <v>0</v>
      </c>
      <c r="Q3036" t="n">
        <v>0</v>
      </c>
      <c r="R3036" s="2" t="inlineStr"/>
    </row>
    <row r="3037" ht="15" customHeight="1">
      <c r="A3037" t="inlineStr">
        <is>
          <t>A 26432-2023</t>
        </is>
      </c>
      <c r="B3037" s="1" t="n">
        <v>45092</v>
      </c>
      <c r="C3037" s="1" t="n">
        <v>45358</v>
      </c>
      <c r="D3037" t="inlineStr">
        <is>
          <t>HALLANDS LÄN</t>
        </is>
      </c>
      <c r="E3037" t="inlineStr">
        <is>
          <t>HYLTE</t>
        </is>
      </c>
      <c r="G3037" t="n">
        <v>3.7</v>
      </c>
      <c r="H3037" t="n">
        <v>0</v>
      </c>
      <c r="I3037" t="n">
        <v>0</v>
      </c>
      <c r="J3037" t="n">
        <v>0</v>
      </c>
      <c r="K3037" t="n">
        <v>0</v>
      </c>
      <c r="L3037" t="n">
        <v>0</v>
      </c>
      <c r="M3037" t="n">
        <v>0</v>
      </c>
      <c r="N3037" t="n">
        <v>0</v>
      </c>
      <c r="O3037" t="n">
        <v>0</v>
      </c>
      <c r="P3037" t="n">
        <v>0</v>
      </c>
      <c r="Q3037" t="n">
        <v>0</v>
      </c>
      <c r="R3037" s="2" t="inlineStr"/>
    </row>
    <row r="3038" ht="15" customHeight="1">
      <c r="A3038" t="inlineStr">
        <is>
          <t>A 26378-2023</t>
        </is>
      </c>
      <c r="B3038" s="1" t="n">
        <v>45092</v>
      </c>
      <c r="C3038" s="1" t="n">
        <v>45358</v>
      </c>
      <c r="D3038" t="inlineStr">
        <is>
          <t>HALLANDS LÄN</t>
        </is>
      </c>
      <c r="E3038" t="inlineStr">
        <is>
          <t>VARBERG</t>
        </is>
      </c>
      <c r="G3038" t="n">
        <v>6.1</v>
      </c>
      <c r="H3038" t="n">
        <v>0</v>
      </c>
      <c r="I3038" t="n">
        <v>0</v>
      </c>
      <c r="J3038" t="n">
        <v>0</v>
      </c>
      <c r="K3038" t="n">
        <v>0</v>
      </c>
      <c r="L3038" t="n">
        <v>0</v>
      </c>
      <c r="M3038" t="n">
        <v>0</v>
      </c>
      <c r="N3038" t="n">
        <v>0</v>
      </c>
      <c r="O3038" t="n">
        <v>0</v>
      </c>
      <c r="P3038" t="n">
        <v>0</v>
      </c>
      <c r="Q3038" t="n">
        <v>0</v>
      </c>
      <c r="R3038" s="2" t="inlineStr"/>
    </row>
    <row r="3039" ht="15" customHeight="1">
      <c r="A3039" t="inlineStr">
        <is>
          <t>A 26566-2023</t>
        </is>
      </c>
      <c r="B3039" s="1" t="n">
        <v>45092</v>
      </c>
      <c r="C3039" s="1" t="n">
        <v>45358</v>
      </c>
      <c r="D3039" t="inlineStr">
        <is>
          <t>HALLANDS LÄN</t>
        </is>
      </c>
      <c r="E3039" t="inlineStr">
        <is>
          <t>KUNGSBACKA</t>
        </is>
      </c>
      <c r="G3039" t="n">
        <v>0.5</v>
      </c>
      <c r="H3039" t="n">
        <v>0</v>
      </c>
      <c r="I3039" t="n">
        <v>0</v>
      </c>
      <c r="J3039" t="n">
        <v>0</v>
      </c>
      <c r="K3039" t="n">
        <v>0</v>
      </c>
      <c r="L3039" t="n">
        <v>0</v>
      </c>
      <c r="M3039" t="n">
        <v>0</v>
      </c>
      <c r="N3039" t="n">
        <v>0</v>
      </c>
      <c r="O3039" t="n">
        <v>0</v>
      </c>
      <c r="P3039" t="n">
        <v>0</v>
      </c>
      <c r="Q3039" t="n">
        <v>0</v>
      </c>
      <c r="R3039" s="2" t="inlineStr"/>
    </row>
    <row r="3040" ht="15" customHeight="1">
      <c r="A3040" t="inlineStr">
        <is>
          <t>A 26548-2023</t>
        </is>
      </c>
      <c r="B3040" s="1" t="n">
        <v>45092</v>
      </c>
      <c r="C3040" s="1" t="n">
        <v>45358</v>
      </c>
      <c r="D3040" t="inlineStr">
        <is>
          <t>HALLANDS LÄN</t>
        </is>
      </c>
      <c r="E3040" t="inlineStr">
        <is>
          <t>HYLTE</t>
        </is>
      </c>
      <c r="G3040" t="n">
        <v>1</v>
      </c>
      <c r="H3040" t="n">
        <v>0</v>
      </c>
      <c r="I3040" t="n">
        <v>0</v>
      </c>
      <c r="J3040" t="n">
        <v>0</v>
      </c>
      <c r="K3040" t="n">
        <v>0</v>
      </c>
      <c r="L3040" t="n">
        <v>0</v>
      </c>
      <c r="M3040" t="n">
        <v>0</v>
      </c>
      <c r="N3040" t="n">
        <v>0</v>
      </c>
      <c r="O3040" t="n">
        <v>0</v>
      </c>
      <c r="P3040" t="n">
        <v>0</v>
      </c>
      <c r="Q3040" t="n">
        <v>0</v>
      </c>
      <c r="R3040" s="2" t="inlineStr"/>
    </row>
    <row r="3041" ht="15" customHeight="1">
      <c r="A3041" t="inlineStr">
        <is>
          <t>A 26794-2023</t>
        </is>
      </c>
      <c r="B3041" s="1" t="n">
        <v>45093</v>
      </c>
      <c r="C3041" s="1" t="n">
        <v>45358</v>
      </c>
      <c r="D3041" t="inlineStr">
        <is>
          <t>HALLANDS LÄN</t>
        </is>
      </c>
      <c r="E3041" t="inlineStr">
        <is>
          <t>LAHOLM</t>
        </is>
      </c>
      <c r="G3041" t="n">
        <v>2</v>
      </c>
      <c r="H3041" t="n">
        <v>0</v>
      </c>
      <c r="I3041" t="n">
        <v>0</v>
      </c>
      <c r="J3041" t="n">
        <v>0</v>
      </c>
      <c r="K3041" t="n">
        <v>0</v>
      </c>
      <c r="L3041" t="n">
        <v>0</v>
      </c>
      <c r="M3041" t="n">
        <v>0</v>
      </c>
      <c r="N3041" t="n">
        <v>0</v>
      </c>
      <c r="O3041" t="n">
        <v>0</v>
      </c>
      <c r="P3041" t="n">
        <v>0</v>
      </c>
      <c r="Q3041" t="n">
        <v>0</v>
      </c>
      <c r="R3041" s="2" t="inlineStr"/>
    </row>
    <row r="3042" ht="15" customHeight="1">
      <c r="A3042" t="inlineStr">
        <is>
          <t>A 26806-2023</t>
        </is>
      </c>
      <c r="B3042" s="1" t="n">
        <v>45093</v>
      </c>
      <c r="C3042" s="1" t="n">
        <v>45358</v>
      </c>
      <c r="D3042" t="inlineStr">
        <is>
          <t>HALLANDS LÄN</t>
        </is>
      </c>
      <c r="E3042" t="inlineStr">
        <is>
          <t>FALKENBERG</t>
        </is>
      </c>
      <c r="G3042" t="n">
        <v>1.9</v>
      </c>
      <c r="H3042" t="n">
        <v>0</v>
      </c>
      <c r="I3042" t="n">
        <v>0</v>
      </c>
      <c r="J3042" t="n">
        <v>0</v>
      </c>
      <c r="K3042" t="n">
        <v>0</v>
      </c>
      <c r="L3042" t="n">
        <v>0</v>
      </c>
      <c r="M3042" t="n">
        <v>0</v>
      </c>
      <c r="N3042" t="n">
        <v>0</v>
      </c>
      <c r="O3042" t="n">
        <v>0</v>
      </c>
      <c r="P3042" t="n">
        <v>0</v>
      </c>
      <c r="Q3042" t="n">
        <v>0</v>
      </c>
      <c r="R3042" s="2" t="inlineStr"/>
    </row>
    <row r="3043" ht="15" customHeight="1">
      <c r="A3043" t="inlineStr">
        <is>
          <t>A 26798-2023</t>
        </is>
      </c>
      <c r="B3043" s="1" t="n">
        <v>45093</v>
      </c>
      <c r="C3043" s="1" t="n">
        <v>45358</v>
      </c>
      <c r="D3043" t="inlineStr">
        <is>
          <t>HALLANDS LÄN</t>
        </is>
      </c>
      <c r="E3043" t="inlineStr">
        <is>
          <t>LAHOLM</t>
        </is>
      </c>
      <c r="G3043" t="n">
        <v>1.7</v>
      </c>
      <c r="H3043" t="n">
        <v>0</v>
      </c>
      <c r="I3043" t="n">
        <v>0</v>
      </c>
      <c r="J3043" t="n">
        <v>0</v>
      </c>
      <c r="K3043" t="n">
        <v>0</v>
      </c>
      <c r="L3043" t="n">
        <v>0</v>
      </c>
      <c r="M3043" t="n">
        <v>0</v>
      </c>
      <c r="N3043" t="n">
        <v>0</v>
      </c>
      <c r="O3043" t="n">
        <v>0</v>
      </c>
      <c r="P3043" t="n">
        <v>0</v>
      </c>
      <c r="Q3043" t="n">
        <v>0</v>
      </c>
      <c r="R3043" s="2" t="inlineStr"/>
    </row>
    <row r="3044" ht="15" customHeight="1">
      <c r="A3044" t="inlineStr">
        <is>
          <t>A 26908-2023</t>
        </is>
      </c>
      <c r="B3044" s="1" t="n">
        <v>45093</v>
      </c>
      <c r="C3044" s="1" t="n">
        <v>45358</v>
      </c>
      <c r="D3044" t="inlineStr">
        <is>
          <t>HALLANDS LÄN</t>
        </is>
      </c>
      <c r="E3044" t="inlineStr">
        <is>
          <t>LAHOLM</t>
        </is>
      </c>
      <c r="G3044" t="n">
        <v>2.3</v>
      </c>
      <c r="H3044" t="n">
        <v>0</v>
      </c>
      <c r="I3044" t="n">
        <v>0</v>
      </c>
      <c r="J3044" t="n">
        <v>0</v>
      </c>
      <c r="K3044" t="n">
        <v>0</v>
      </c>
      <c r="L3044" t="n">
        <v>0</v>
      </c>
      <c r="M3044" t="n">
        <v>0</v>
      </c>
      <c r="N3044" t="n">
        <v>0</v>
      </c>
      <c r="O3044" t="n">
        <v>0</v>
      </c>
      <c r="P3044" t="n">
        <v>0</v>
      </c>
      <c r="Q3044" t="n">
        <v>0</v>
      </c>
      <c r="R3044" s="2" t="inlineStr"/>
    </row>
    <row r="3045" ht="15" customHeight="1">
      <c r="A3045" t="inlineStr">
        <is>
          <t>A 26807-2023</t>
        </is>
      </c>
      <c r="B3045" s="1" t="n">
        <v>45093</v>
      </c>
      <c r="C3045" s="1" t="n">
        <v>45358</v>
      </c>
      <c r="D3045" t="inlineStr">
        <is>
          <t>HALLANDS LÄN</t>
        </is>
      </c>
      <c r="E3045" t="inlineStr">
        <is>
          <t>FALKENBERG</t>
        </is>
      </c>
      <c r="G3045" t="n">
        <v>1.1</v>
      </c>
      <c r="H3045" t="n">
        <v>0</v>
      </c>
      <c r="I3045" t="n">
        <v>0</v>
      </c>
      <c r="J3045" t="n">
        <v>0</v>
      </c>
      <c r="K3045" t="n">
        <v>0</v>
      </c>
      <c r="L3045" t="n">
        <v>0</v>
      </c>
      <c r="M3045" t="n">
        <v>0</v>
      </c>
      <c r="N3045" t="n">
        <v>0</v>
      </c>
      <c r="O3045" t="n">
        <v>0</v>
      </c>
      <c r="P3045" t="n">
        <v>0</v>
      </c>
      <c r="Q3045" t="n">
        <v>0</v>
      </c>
      <c r="R3045" s="2" t="inlineStr"/>
    </row>
    <row r="3046" ht="15" customHeight="1">
      <c r="A3046" t="inlineStr">
        <is>
          <t>A 26920-2023</t>
        </is>
      </c>
      <c r="B3046" s="1" t="n">
        <v>45093</v>
      </c>
      <c r="C3046" s="1" t="n">
        <v>45358</v>
      </c>
      <c r="D3046" t="inlineStr">
        <is>
          <t>HALLANDS LÄN</t>
        </is>
      </c>
      <c r="E3046" t="inlineStr">
        <is>
          <t>LAHOLM</t>
        </is>
      </c>
      <c r="G3046" t="n">
        <v>1.5</v>
      </c>
      <c r="H3046" t="n">
        <v>0</v>
      </c>
      <c r="I3046" t="n">
        <v>0</v>
      </c>
      <c r="J3046" t="n">
        <v>0</v>
      </c>
      <c r="K3046" t="n">
        <v>0</v>
      </c>
      <c r="L3046" t="n">
        <v>0</v>
      </c>
      <c r="M3046" t="n">
        <v>0</v>
      </c>
      <c r="N3046" t="n">
        <v>0</v>
      </c>
      <c r="O3046" t="n">
        <v>0</v>
      </c>
      <c r="P3046" t="n">
        <v>0</v>
      </c>
      <c r="Q3046" t="n">
        <v>0</v>
      </c>
      <c r="R3046" s="2" t="inlineStr"/>
    </row>
    <row r="3047" ht="15" customHeight="1">
      <c r="A3047" t="inlineStr">
        <is>
          <t>A 26919-2023</t>
        </is>
      </c>
      <c r="B3047" s="1" t="n">
        <v>45093</v>
      </c>
      <c r="C3047" s="1" t="n">
        <v>45358</v>
      </c>
      <c r="D3047" t="inlineStr">
        <is>
          <t>HALLANDS LÄN</t>
        </is>
      </c>
      <c r="E3047" t="inlineStr">
        <is>
          <t>FALKENBERG</t>
        </is>
      </c>
      <c r="G3047" t="n">
        <v>1.1</v>
      </c>
      <c r="H3047" t="n">
        <v>0</v>
      </c>
      <c r="I3047" t="n">
        <v>0</v>
      </c>
      <c r="J3047" t="n">
        <v>0</v>
      </c>
      <c r="K3047" t="n">
        <v>0</v>
      </c>
      <c r="L3047" t="n">
        <v>0</v>
      </c>
      <c r="M3047" t="n">
        <v>0</v>
      </c>
      <c r="N3047" t="n">
        <v>0</v>
      </c>
      <c r="O3047" t="n">
        <v>0</v>
      </c>
      <c r="P3047" t="n">
        <v>0</v>
      </c>
      <c r="Q3047" t="n">
        <v>0</v>
      </c>
      <c r="R3047" s="2" t="inlineStr"/>
    </row>
    <row r="3048" ht="15" customHeight="1">
      <c r="A3048" t="inlineStr">
        <is>
          <t>A 27469-2023</t>
        </is>
      </c>
      <c r="B3048" s="1" t="n">
        <v>45093</v>
      </c>
      <c r="C3048" s="1" t="n">
        <v>45358</v>
      </c>
      <c r="D3048" t="inlineStr">
        <is>
          <t>HALLANDS LÄN</t>
        </is>
      </c>
      <c r="E3048" t="inlineStr">
        <is>
          <t>VARBERG</t>
        </is>
      </c>
      <c r="G3048" t="n">
        <v>8.699999999999999</v>
      </c>
      <c r="H3048" t="n">
        <v>0</v>
      </c>
      <c r="I3048" t="n">
        <v>0</v>
      </c>
      <c r="J3048" t="n">
        <v>0</v>
      </c>
      <c r="K3048" t="n">
        <v>0</v>
      </c>
      <c r="L3048" t="n">
        <v>0</v>
      </c>
      <c r="M3048" t="n">
        <v>0</v>
      </c>
      <c r="N3048" t="n">
        <v>0</v>
      </c>
      <c r="O3048" t="n">
        <v>0</v>
      </c>
      <c r="P3048" t="n">
        <v>0</v>
      </c>
      <c r="Q3048" t="n">
        <v>0</v>
      </c>
      <c r="R3048" s="2" t="inlineStr"/>
    </row>
    <row r="3049" ht="15" customHeight="1">
      <c r="A3049" t="inlineStr">
        <is>
          <t>A 27075-2023</t>
        </is>
      </c>
      <c r="B3049" s="1" t="n">
        <v>45096</v>
      </c>
      <c r="C3049" s="1" t="n">
        <v>45358</v>
      </c>
      <c r="D3049" t="inlineStr">
        <is>
          <t>HALLANDS LÄN</t>
        </is>
      </c>
      <c r="E3049" t="inlineStr">
        <is>
          <t>HYLTE</t>
        </is>
      </c>
      <c r="G3049" t="n">
        <v>1.3</v>
      </c>
      <c r="H3049" t="n">
        <v>0</v>
      </c>
      <c r="I3049" t="n">
        <v>0</v>
      </c>
      <c r="J3049" t="n">
        <v>0</v>
      </c>
      <c r="K3049" t="n">
        <v>0</v>
      </c>
      <c r="L3049" t="n">
        <v>0</v>
      </c>
      <c r="M3049" t="n">
        <v>0</v>
      </c>
      <c r="N3049" t="n">
        <v>0</v>
      </c>
      <c r="O3049" t="n">
        <v>0</v>
      </c>
      <c r="P3049" t="n">
        <v>0</v>
      </c>
      <c r="Q3049" t="n">
        <v>0</v>
      </c>
      <c r="R3049" s="2" t="inlineStr"/>
    </row>
    <row r="3050" ht="15" customHeight="1">
      <c r="A3050" t="inlineStr">
        <is>
          <t>A 27193-2023</t>
        </is>
      </c>
      <c r="B3050" s="1" t="n">
        <v>45096</v>
      </c>
      <c r="C3050" s="1" t="n">
        <v>45358</v>
      </c>
      <c r="D3050" t="inlineStr">
        <is>
          <t>HALLANDS LÄN</t>
        </is>
      </c>
      <c r="E3050" t="inlineStr">
        <is>
          <t>HALMSTAD</t>
        </is>
      </c>
      <c r="G3050" t="n">
        <v>3.7</v>
      </c>
      <c r="H3050" t="n">
        <v>0</v>
      </c>
      <c r="I3050" t="n">
        <v>0</v>
      </c>
      <c r="J3050" t="n">
        <v>0</v>
      </c>
      <c r="K3050" t="n">
        <v>0</v>
      </c>
      <c r="L3050" t="n">
        <v>0</v>
      </c>
      <c r="M3050" t="n">
        <v>0</v>
      </c>
      <c r="N3050" t="n">
        <v>0</v>
      </c>
      <c r="O3050" t="n">
        <v>0</v>
      </c>
      <c r="P3050" t="n">
        <v>0</v>
      </c>
      <c r="Q3050" t="n">
        <v>0</v>
      </c>
      <c r="R3050" s="2" t="inlineStr"/>
    </row>
    <row r="3051" ht="15" customHeight="1">
      <c r="A3051" t="inlineStr">
        <is>
          <t>A 27219-2023</t>
        </is>
      </c>
      <c r="B3051" s="1" t="n">
        <v>45096</v>
      </c>
      <c r="C3051" s="1" t="n">
        <v>45358</v>
      </c>
      <c r="D3051" t="inlineStr">
        <is>
          <t>HALLANDS LÄN</t>
        </is>
      </c>
      <c r="E3051" t="inlineStr">
        <is>
          <t>LAHOLM</t>
        </is>
      </c>
      <c r="G3051" t="n">
        <v>2.8</v>
      </c>
      <c r="H3051" t="n">
        <v>0</v>
      </c>
      <c r="I3051" t="n">
        <v>0</v>
      </c>
      <c r="J3051" t="n">
        <v>0</v>
      </c>
      <c r="K3051" t="n">
        <v>0</v>
      </c>
      <c r="L3051" t="n">
        <v>0</v>
      </c>
      <c r="M3051" t="n">
        <v>0</v>
      </c>
      <c r="N3051" t="n">
        <v>0</v>
      </c>
      <c r="O3051" t="n">
        <v>0</v>
      </c>
      <c r="P3051" t="n">
        <v>0</v>
      </c>
      <c r="Q3051" t="n">
        <v>0</v>
      </c>
      <c r="R3051" s="2" t="inlineStr"/>
    </row>
    <row r="3052" ht="15" customHeight="1">
      <c r="A3052" t="inlineStr">
        <is>
          <t>A 27224-2023</t>
        </is>
      </c>
      <c r="B3052" s="1" t="n">
        <v>45096</v>
      </c>
      <c r="C3052" s="1" t="n">
        <v>45358</v>
      </c>
      <c r="D3052" t="inlineStr">
        <is>
          <t>HALLANDS LÄN</t>
        </is>
      </c>
      <c r="E3052" t="inlineStr">
        <is>
          <t>LAHOLM</t>
        </is>
      </c>
      <c r="G3052" t="n">
        <v>4.5</v>
      </c>
      <c r="H3052" t="n">
        <v>0</v>
      </c>
      <c r="I3052" t="n">
        <v>0</v>
      </c>
      <c r="J3052" t="n">
        <v>0</v>
      </c>
      <c r="K3052" t="n">
        <v>0</v>
      </c>
      <c r="L3052" t="n">
        <v>0</v>
      </c>
      <c r="M3052" t="n">
        <v>0</v>
      </c>
      <c r="N3052" t="n">
        <v>0</v>
      </c>
      <c r="O3052" t="n">
        <v>0</v>
      </c>
      <c r="P3052" t="n">
        <v>0</v>
      </c>
      <c r="Q3052" t="n">
        <v>0</v>
      </c>
      <c r="R3052" s="2" t="inlineStr"/>
    </row>
    <row r="3053" ht="15" customHeight="1">
      <c r="A3053" t="inlineStr">
        <is>
          <t>A 27271-2023</t>
        </is>
      </c>
      <c r="B3053" s="1" t="n">
        <v>45096</v>
      </c>
      <c r="C3053" s="1" t="n">
        <v>45358</v>
      </c>
      <c r="D3053" t="inlineStr">
        <is>
          <t>HALLANDS LÄN</t>
        </is>
      </c>
      <c r="E3053" t="inlineStr">
        <is>
          <t>HALMSTAD</t>
        </is>
      </c>
      <c r="G3053" t="n">
        <v>3.5</v>
      </c>
      <c r="H3053" t="n">
        <v>0</v>
      </c>
      <c r="I3053" t="n">
        <v>0</v>
      </c>
      <c r="J3053" t="n">
        <v>0</v>
      </c>
      <c r="K3053" t="n">
        <v>0</v>
      </c>
      <c r="L3053" t="n">
        <v>0</v>
      </c>
      <c r="M3053" t="n">
        <v>0</v>
      </c>
      <c r="N3053" t="n">
        <v>0</v>
      </c>
      <c r="O3053" t="n">
        <v>0</v>
      </c>
      <c r="P3053" t="n">
        <v>0</v>
      </c>
      <c r="Q3053" t="n">
        <v>0</v>
      </c>
      <c r="R3053" s="2" t="inlineStr"/>
    </row>
    <row r="3054" ht="15" customHeight="1">
      <c r="A3054" t="inlineStr">
        <is>
          <t>A 27286-2023</t>
        </is>
      </c>
      <c r="B3054" s="1" t="n">
        <v>45096</v>
      </c>
      <c r="C3054" s="1" t="n">
        <v>45358</v>
      </c>
      <c r="D3054" t="inlineStr">
        <is>
          <t>HALLANDS LÄN</t>
        </is>
      </c>
      <c r="E3054" t="inlineStr">
        <is>
          <t>VARBERG</t>
        </is>
      </c>
      <c r="G3054" t="n">
        <v>1.8</v>
      </c>
      <c r="H3054" t="n">
        <v>0</v>
      </c>
      <c r="I3054" t="n">
        <v>0</v>
      </c>
      <c r="J3054" t="n">
        <v>0</v>
      </c>
      <c r="K3054" t="n">
        <v>0</v>
      </c>
      <c r="L3054" t="n">
        <v>0</v>
      </c>
      <c r="M3054" t="n">
        <v>0</v>
      </c>
      <c r="N3054" t="n">
        <v>0</v>
      </c>
      <c r="O3054" t="n">
        <v>0</v>
      </c>
      <c r="P3054" t="n">
        <v>0</v>
      </c>
      <c r="Q3054" t="n">
        <v>0</v>
      </c>
      <c r="R3054" s="2" t="inlineStr"/>
    </row>
    <row r="3055" ht="15" customHeight="1">
      <c r="A3055" t="inlineStr">
        <is>
          <t>A 27226-2023</t>
        </is>
      </c>
      <c r="B3055" s="1" t="n">
        <v>45096</v>
      </c>
      <c r="C3055" s="1" t="n">
        <v>45358</v>
      </c>
      <c r="D3055" t="inlineStr">
        <is>
          <t>HALLANDS LÄN</t>
        </is>
      </c>
      <c r="E3055" t="inlineStr">
        <is>
          <t>LAHOLM</t>
        </is>
      </c>
      <c r="G3055" t="n">
        <v>1</v>
      </c>
      <c r="H3055" t="n">
        <v>0</v>
      </c>
      <c r="I3055" t="n">
        <v>0</v>
      </c>
      <c r="J3055" t="n">
        <v>0</v>
      </c>
      <c r="K3055" t="n">
        <v>0</v>
      </c>
      <c r="L3055" t="n">
        <v>0</v>
      </c>
      <c r="M3055" t="n">
        <v>0</v>
      </c>
      <c r="N3055" t="n">
        <v>0</v>
      </c>
      <c r="O3055" t="n">
        <v>0</v>
      </c>
      <c r="P3055" t="n">
        <v>0</v>
      </c>
      <c r="Q3055" t="n">
        <v>0</v>
      </c>
      <c r="R3055" s="2" t="inlineStr"/>
    </row>
    <row r="3056" ht="15" customHeight="1">
      <c r="A3056" t="inlineStr">
        <is>
          <t>A 27290-2023</t>
        </is>
      </c>
      <c r="B3056" s="1" t="n">
        <v>45096</v>
      </c>
      <c r="C3056" s="1" t="n">
        <v>45358</v>
      </c>
      <c r="D3056" t="inlineStr">
        <is>
          <t>HALLANDS LÄN</t>
        </is>
      </c>
      <c r="E3056" t="inlineStr">
        <is>
          <t>KUNGSBACKA</t>
        </is>
      </c>
      <c r="G3056" t="n">
        <v>4.4</v>
      </c>
      <c r="H3056" t="n">
        <v>0</v>
      </c>
      <c r="I3056" t="n">
        <v>0</v>
      </c>
      <c r="J3056" t="n">
        <v>0</v>
      </c>
      <c r="K3056" t="n">
        <v>0</v>
      </c>
      <c r="L3056" t="n">
        <v>0</v>
      </c>
      <c r="M3056" t="n">
        <v>0</v>
      </c>
      <c r="N3056" t="n">
        <v>0</v>
      </c>
      <c r="O3056" t="n">
        <v>0</v>
      </c>
      <c r="P3056" t="n">
        <v>0</v>
      </c>
      <c r="Q3056" t="n">
        <v>0</v>
      </c>
      <c r="R3056" s="2" t="inlineStr"/>
    </row>
    <row r="3057" ht="15" customHeight="1">
      <c r="A3057" t="inlineStr">
        <is>
          <t>A 27295-2023</t>
        </is>
      </c>
      <c r="B3057" s="1" t="n">
        <v>45096</v>
      </c>
      <c r="C3057" s="1" t="n">
        <v>45358</v>
      </c>
      <c r="D3057" t="inlineStr">
        <is>
          <t>HALLANDS LÄN</t>
        </is>
      </c>
      <c r="E3057" t="inlineStr">
        <is>
          <t>KUNGSBACKA</t>
        </is>
      </c>
      <c r="G3057" t="n">
        <v>1.4</v>
      </c>
      <c r="H3057" t="n">
        <v>0</v>
      </c>
      <c r="I3057" t="n">
        <v>0</v>
      </c>
      <c r="J3057" t="n">
        <v>0</v>
      </c>
      <c r="K3057" t="n">
        <v>0</v>
      </c>
      <c r="L3057" t="n">
        <v>0</v>
      </c>
      <c r="M3057" t="n">
        <v>0</v>
      </c>
      <c r="N3057" t="n">
        <v>0</v>
      </c>
      <c r="O3057" t="n">
        <v>0</v>
      </c>
      <c r="P3057" t="n">
        <v>0</v>
      </c>
      <c r="Q3057" t="n">
        <v>0</v>
      </c>
      <c r="R3057" s="2" t="inlineStr"/>
    </row>
    <row r="3058" ht="15" customHeight="1">
      <c r="A3058" t="inlineStr">
        <is>
          <t>A 27301-2023</t>
        </is>
      </c>
      <c r="B3058" s="1" t="n">
        <v>45096</v>
      </c>
      <c r="C3058" s="1" t="n">
        <v>45358</v>
      </c>
      <c r="D3058" t="inlineStr">
        <is>
          <t>HALLANDS LÄN</t>
        </is>
      </c>
      <c r="E3058" t="inlineStr">
        <is>
          <t>KUNGSBACKA</t>
        </is>
      </c>
      <c r="G3058" t="n">
        <v>0.7</v>
      </c>
      <c r="H3058" t="n">
        <v>0</v>
      </c>
      <c r="I3058" t="n">
        <v>0</v>
      </c>
      <c r="J3058" t="n">
        <v>0</v>
      </c>
      <c r="K3058" t="n">
        <v>0</v>
      </c>
      <c r="L3058" t="n">
        <v>0</v>
      </c>
      <c r="M3058" t="n">
        <v>0</v>
      </c>
      <c r="N3058" t="n">
        <v>0</v>
      </c>
      <c r="O3058" t="n">
        <v>0</v>
      </c>
      <c r="P3058" t="n">
        <v>0</v>
      </c>
      <c r="Q3058" t="n">
        <v>0</v>
      </c>
      <c r="R3058" s="2" t="inlineStr"/>
    </row>
    <row r="3059" ht="15" customHeight="1">
      <c r="A3059" t="inlineStr">
        <is>
          <t>A 27278-2023</t>
        </is>
      </c>
      <c r="B3059" s="1" t="n">
        <v>45096</v>
      </c>
      <c r="C3059" s="1" t="n">
        <v>45358</v>
      </c>
      <c r="D3059" t="inlineStr">
        <is>
          <t>HALLANDS LÄN</t>
        </is>
      </c>
      <c r="E3059" t="inlineStr">
        <is>
          <t>KUNGSBACKA</t>
        </is>
      </c>
      <c r="G3059" t="n">
        <v>2.5</v>
      </c>
      <c r="H3059" t="n">
        <v>0</v>
      </c>
      <c r="I3059" t="n">
        <v>0</v>
      </c>
      <c r="J3059" t="n">
        <v>0</v>
      </c>
      <c r="K3059" t="n">
        <v>0</v>
      </c>
      <c r="L3059" t="n">
        <v>0</v>
      </c>
      <c r="M3059" t="n">
        <v>0</v>
      </c>
      <c r="N3059" t="n">
        <v>0</v>
      </c>
      <c r="O3059" t="n">
        <v>0</v>
      </c>
      <c r="P3059" t="n">
        <v>0</v>
      </c>
      <c r="Q3059" t="n">
        <v>0</v>
      </c>
      <c r="R3059" s="2" t="inlineStr"/>
    </row>
    <row r="3060" ht="15" customHeight="1">
      <c r="A3060" t="inlineStr">
        <is>
          <t>A 27287-2023</t>
        </is>
      </c>
      <c r="B3060" s="1" t="n">
        <v>45096</v>
      </c>
      <c r="C3060" s="1" t="n">
        <v>45358</v>
      </c>
      <c r="D3060" t="inlineStr">
        <is>
          <t>HALLANDS LÄN</t>
        </is>
      </c>
      <c r="E3060" t="inlineStr">
        <is>
          <t>KUNGSBACKA</t>
        </is>
      </c>
      <c r="G3060" t="n">
        <v>0.4</v>
      </c>
      <c r="H3060" t="n">
        <v>0</v>
      </c>
      <c r="I3060" t="n">
        <v>0</v>
      </c>
      <c r="J3060" t="n">
        <v>0</v>
      </c>
      <c r="K3060" t="n">
        <v>0</v>
      </c>
      <c r="L3060" t="n">
        <v>0</v>
      </c>
      <c r="M3060" t="n">
        <v>0</v>
      </c>
      <c r="N3060" t="n">
        <v>0</v>
      </c>
      <c r="O3060" t="n">
        <v>0</v>
      </c>
      <c r="P3060" t="n">
        <v>0</v>
      </c>
      <c r="Q3060" t="n">
        <v>0</v>
      </c>
      <c r="R3060" s="2" t="inlineStr"/>
    </row>
    <row r="3061" ht="15" customHeight="1">
      <c r="A3061" t="inlineStr">
        <is>
          <t>A 27632-2023</t>
        </is>
      </c>
      <c r="B3061" s="1" t="n">
        <v>45097</v>
      </c>
      <c r="C3061" s="1" t="n">
        <v>45358</v>
      </c>
      <c r="D3061" t="inlineStr">
        <is>
          <t>HALLANDS LÄN</t>
        </is>
      </c>
      <c r="E3061" t="inlineStr">
        <is>
          <t>HYLTE</t>
        </is>
      </c>
      <c r="G3061" t="n">
        <v>3.7</v>
      </c>
      <c r="H3061" t="n">
        <v>0</v>
      </c>
      <c r="I3061" t="n">
        <v>0</v>
      </c>
      <c r="J3061" t="n">
        <v>0</v>
      </c>
      <c r="K3061" t="n">
        <v>0</v>
      </c>
      <c r="L3061" t="n">
        <v>0</v>
      </c>
      <c r="M3061" t="n">
        <v>0</v>
      </c>
      <c r="N3061" t="n">
        <v>0</v>
      </c>
      <c r="O3061" t="n">
        <v>0</v>
      </c>
      <c r="P3061" t="n">
        <v>0</v>
      </c>
      <c r="Q3061" t="n">
        <v>0</v>
      </c>
      <c r="R3061" s="2" t="inlineStr"/>
    </row>
    <row r="3062" ht="15" customHeight="1">
      <c r="A3062" t="inlineStr">
        <is>
          <t>A 27627-2023</t>
        </is>
      </c>
      <c r="B3062" s="1" t="n">
        <v>45097</v>
      </c>
      <c r="C3062" s="1" t="n">
        <v>45358</v>
      </c>
      <c r="D3062" t="inlineStr">
        <is>
          <t>HALLANDS LÄN</t>
        </is>
      </c>
      <c r="E3062" t="inlineStr">
        <is>
          <t>HYLTE</t>
        </is>
      </c>
      <c r="G3062" t="n">
        <v>1.8</v>
      </c>
      <c r="H3062" t="n">
        <v>0</v>
      </c>
      <c r="I3062" t="n">
        <v>0</v>
      </c>
      <c r="J3062" t="n">
        <v>0</v>
      </c>
      <c r="K3062" t="n">
        <v>0</v>
      </c>
      <c r="L3062" t="n">
        <v>0</v>
      </c>
      <c r="M3062" t="n">
        <v>0</v>
      </c>
      <c r="N3062" t="n">
        <v>0</v>
      </c>
      <c r="O3062" t="n">
        <v>0</v>
      </c>
      <c r="P3062" t="n">
        <v>0</v>
      </c>
      <c r="Q3062" t="n">
        <v>0</v>
      </c>
      <c r="R3062" s="2" t="inlineStr"/>
    </row>
    <row r="3063" ht="15" customHeight="1">
      <c r="A3063" t="inlineStr">
        <is>
          <t>A 27549-2023</t>
        </is>
      </c>
      <c r="B3063" s="1" t="n">
        <v>45097</v>
      </c>
      <c r="C3063" s="1" t="n">
        <v>45358</v>
      </c>
      <c r="D3063" t="inlineStr">
        <is>
          <t>HALLANDS LÄN</t>
        </is>
      </c>
      <c r="E3063" t="inlineStr">
        <is>
          <t>LAHOLM</t>
        </is>
      </c>
      <c r="G3063" t="n">
        <v>3</v>
      </c>
      <c r="H3063" t="n">
        <v>0</v>
      </c>
      <c r="I3063" t="n">
        <v>0</v>
      </c>
      <c r="J3063" t="n">
        <v>0</v>
      </c>
      <c r="K3063" t="n">
        <v>0</v>
      </c>
      <c r="L3063" t="n">
        <v>0</v>
      </c>
      <c r="M3063" t="n">
        <v>0</v>
      </c>
      <c r="N3063" t="n">
        <v>0</v>
      </c>
      <c r="O3063" t="n">
        <v>0</v>
      </c>
      <c r="P3063" t="n">
        <v>0</v>
      </c>
      <c r="Q3063" t="n">
        <v>0</v>
      </c>
      <c r="R3063" s="2" t="inlineStr"/>
    </row>
    <row r="3064" ht="15" customHeight="1">
      <c r="A3064" t="inlineStr">
        <is>
          <t>A 27604-2023</t>
        </is>
      </c>
      <c r="B3064" s="1" t="n">
        <v>45097</v>
      </c>
      <c r="C3064" s="1" t="n">
        <v>45358</v>
      </c>
      <c r="D3064" t="inlineStr">
        <is>
          <t>HALLANDS LÄN</t>
        </is>
      </c>
      <c r="E3064" t="inlineStr">
        <is>
          <t>HYLTE</t>
        </is>
      </c>
      <c r="G3064" t="n">
        <v>4.4</v>
      </c>
      <c r="H3064" t="n">
        <v>0</v>
      </c>
      <c r="I3064" t="n">
        <v>0</v>
      </c>
      <c r="J3064" t="n">
        <v>0</v>
      </c>
      <c r="K3064" t="n">
        <v>0</v>
      </c>
      <c r="L3064" t="n">
        <v>0</v>
      </c>
      <c r="M3064" t="n">
        <v>0</v>
      </c>
      <c r="N3064" t="n">
        <v>0</v>
      </c>
      <c r="O3064" t="n">
        <v>0</v>
      </c>
      <c r="P3064" t="n">
        <v>0</v>
      </c>
      <c r="Q3064" t="n">
        <v>0</v>
      </c>
      <c r="R3064" s="2" t="inlineStr"/>
    </row>
    <row r="3065" ht="15" customHeight="1">
      <c r="A3065" t="inlineStr">
        <is>
          <t>A 27612-2023</t>
        </is>
      </c>
      <c r="B3065" s="1" t="n">
        <v>45097</v>
      </c>
      <c r="C3065" s="1" t="n">
        <v>45358</v>
      </c>
      <c r="D3065" t="inlineStr">
        <is>
          <t>HALLANDS LÄN</t>
        </is>
      </c>
      <c r="E3065" t="inlineStr">
        <is>
          <t>HYLTE</t>
        </is>
      </c>
      <c r="G3065" t="n">
        <v>1.9</v>
      </c>
      <c r="H3065" t="n">
        <v>0</v>
      </c>
      <c r="I3065" t="n">
        <v>0</v>
      </c>
      <c r="J3065" t="n">
        <v>0</v>
      </c>
      <c r="K3065" t="n">
        <v>0</v>
      </c>
      <c r="L3065" t="n">
        <v>0</v>
      </c>
      <c r="M3065" t="n">
        <v>0</v>
      </c>
      <c r="N3065" t="n">
        <v>0</v>
      </c>
      <c r="O3065" t="n">
        <v>0</v>
      </c>
      <c r="P3065" t="n">
        <v>0</v>
      </c>
      <c r="Q3065" t="n">
        <v>0</v>
      </c>
      <c r="R3065" s="2" t="inlineStr"/>
    </row>
    <row r="3066" ht="15" customHeight="1">
      <c r="A3066" t="inlineStr">
        <is>
          <t>A 27654-2023</t>
        </is>
      </c>
      <c r="B3066" s="1" t="n">
        <v>45097</v>
      </c>
      <c r="C3066" s="1" t="n">
        <v>45358</v>
      </c>
      <c r="D3066" t="inlineStr">
        <is>
          <t>HALLANDS LÄN</t>
        </is>
      </c>
      <c r="E3066" t="inlineStr">
        <is>
          <t>VARBERG</t>
        </is>
      </c>
      <c r="G3066" t="n">
        <v>1.5</v>
      </c>
      <c r="H3066" t="n">
        <v>0</v>
      </c>
      <c r="I3066" t="n">
        <v>0</v>
      </c>
      <c r="J3066" t="n">
        <v>0</v>
      </c>
      <c r="K3066" t="n">
        <v>0</v>
      </c>
      <c r="L3066" t="n">
        <v>0</v>
      </c>
      <c r="M3066" t="n">
        <v>0</v>
      </c>
      <c r="N3066" t="n">
        <v>0</v>
      </c>
      <c r="O3066" t="n">
        <v>0</v>
      </c>
      <c r="P3066" t="n">
        <v>0</v>
      </c>
      <c r="Q3066" t="n">
        <v>0</v>
      </c>
      <c r="R3066" s="2" t="inlineStr"/>
    </row>
    <row r="3067" ht="15" customHeight="1">
      <c r="A3067" t="inlineStr">
        <is>
          <t>A 27652-2023</t>
        </is>
      </c>
      <c r="B3067" s="1" t="n">
        <v>45097</v>
      </c>
      <c r="C3067" s="1" t="n">
        <v>45358</v>
      </c>
      <c r="D3067" t="inlineStr">
        <is>
          <t>HALLANDS LÄN</t>
        </is>
      </c>
      <c r="E3067" t="inlineStr">
        <is>
          <t>VARBERG</t>
        </is>
      </c>
      <c r="G3067" t="n">
        <v>3.7</v>
      </c>
      <c r="H3067" t="n">
        <v>0</v>
      </c>
      <c r="I3067" t="n">
        <v>0</v>
      </c>
      <c r="J3067" t="n">
        <v>0</v>
      </c>
      <c r="K3067" t="n">
        <v>0</v>
      </c>
      <c r="L3067" t="n">
        <v>0</v>
      </c>
      <c r="M3067" t="n">
        <v>0</v>
      </c>
      <c r="N3067" t="n">
        <v>0</v>
      </c>
      <c r="O3067" t="n">
        <v>0</v>
      </c>
      <c r="P3067" t="n">
        <v>0</v>
      </c>
      <c r="Q3067" t="n">
        <v>0</v>
      </c>
      <c r="R3067" s="2" t="inlineStr"/>
    </row>
    <row r="3068" ht="15" customHeight="1">
      <c r="A3068" t="inlineStr">
        <is>
          <t>A 29237-2023</t>
        </is>
      </c>
      <c r="B3068" s="1" t="n">
        <v>45097</v>
      </c>
      <c r="C3068" s="1" t="n">
        <v>45358</v>
      </c>
      <c r="D3068" t="inlineStr">
        <is>
          <t>HALLANDS LÄN</t>
        </is>
      </c>
      <c r="E3068" t="inlineStr">
        <is>
          <t>KUNGSBACKA</t>
        </is>
      </c>
      <c r="F3068" t="inlineStr">
        <is>
          <t>Kyrkan</t>
        </is>
      </c>
      <c r="G3068" t="n">
        <v>1.5</v>
      </c>
      <c r="H3068" t="n">
        <v>0</v>
      </c>
      <c r="I3068" t="n">
        <v>0</v>
      </c>
      <c r="J3068" t="n">
        <v>0</v>
      </c>
      <c r="K3068" t="n">
        <v>0</v>
      </c>
      <c r="L3068" t="n">
        <v>0</v>
      </c>
      <c r="M3068" t="n">
        <v>0</v>
      </c>
      <c r="N3068" t="n">
        <v>0</v>
      </c>
      <c r="O3068" t="n">
        <v>0</v>
      </c>
      <c r="P3068" t="n">
        <v>0</v>
      </c>
      <c r="Q3068" t="n">
        <v>0</v>
      </c>
      <c r="R3068" s="2" t="inlineStr"/>
    </row>
    <row r="3069" ht="15" customHeight="1">
      <c r="A3069" t="inlineStr">
        <is>
          <t>A 27722-2023</t>
        </is>
      </c>
      <c r="B3069" s="1" t="n">
        <v>45098</v>
      </c>
      <c r="C3069" s="1" t="n">
        <v>45358</v>
      </c>
      <c r="D3069" t="inlineStr">
        <is>
          <t>HALLANDS LÄN</t>
        </is>
      </c>
      <c r="E3069" t="inlineStr">
        <is>
          <t>LAHOLM</t>
        </is>
      </c>
      <c r="G3069" t="n">
        <v>1</v>
      </c>
      <c r="H3069" t="n">
        <v>0</v>
      </c>
      <c r="I3069" t="n">
        <v>0</v>
      </c>
      <c r="J3069" t="n">
        <v>0</v>
      </c>
      <c r="K3069" t="n">
        <v>0</v>
      </c>
      <c r="L3069" t="n">
        <v>0</v>
      </c>
      <c r="M3069" t="n">
        <v>0</v>
      </c>
      <c r="N3069" t="n">
        <v>0</v>
      </c>
      <c r="O3069" t="n">
        <v>0</v>
      </c>
      <c r="P3069" t="n">
        <v>0</v>
      </c>
      <c r="Q3069" t="n">
        <v>0</v>
      </c>
      <c r="R3069" s="2" t="inlineStr"/>
    </row>
    <row r="3070" ht="15" customHeight="1">
      <c r="A3070" t="inlineStr">
        <is>
          <t>A 27746-2023</t>
        </is>
      </c>
      <c r="B3070" s="1" t="n">
        <v>45098</v>
      </c>
      <c r="C3070" s="1" t="n">
        <v>45358</v>
      </c>
      <c r="D3070" t="inlineStr">
        <is>
          <t>HALLANDS LÄN</t>
        </is>
      </c>
      <c r="E3070" t="inlineStr">
        <is>
          <t>HALMSTAD</t>
        </is>
      </c>
      <c r="F3070" t="inlineStr">
        <is>
          <t>Bergvik skog väst AB</t>
        </is>
      </c>
      <c r="G3070" t="n">
        <v>10.7</v>
      </c>
      <c r="H3070" t="n">
        <v>0</v>
      </c>
      <c r="I3070" t="n">
        <v>0</v>
      </c>
      <c r="J3070" t="n">
        <v>0</v>
      </c>
      <c r="K3070" t="n">
        <v>0</v>
      </c>
      <c r="L3070" t="n">
        <v>0</v>
      </c>
      <c r="M3070" t="n">
        <v>0</v>
      </c>
      <c r="N3070" t="n">
        <v>0</v>
      </c>
      <c r="O3070" t="n">
        <v>0</v>
      </c>
      <c r="P3070" t="n">
        <v>0</v>
      </c>
      <c r="Q3070" t="n">
        <v>0</v>
      </c>
      <c r="R3070" s="2" t="inlineStr"/>
    </row>
    <row r="3071" ht="15" customHeight="1">
      <c r="A3071" t="inlineStr">
        <is>
          <t>A 27750-2023</t>
        </is>
      </c>
      <c r="B3071" s="1" t="n">
        <v>45098</v>
      </c>
      <c r="C3071" s="1" t="n">
        <v>45358</v>
      </c>
      <c r="D3071" t="inlineStr">
        <is>
          <t>HALLANDS LÄN</t>
        </is>
      </c>
      <c r="E3071" t="inlineStr">
        <is>
          <t>LAHOLM</t>
        </is>
      </c>
      <c r="G3071" t="n">
        <v>0.7</v>
      </c>
      <c r="H3071" t="n">
        <v>0</v>
      </c>
      <c r="I3071" t="n">
        <v>0</v>
      </c>
      <c r="J3071" t="n">
        <v>0</v>
      </c>
      <c r="K3071" t="n">
        <v>0</v>
      </c>
      <c r="L3071" t="n">
        <v>0</v>
      </c>
      <c r="M3071" t="n">
        <v>0</v>
      </c>
      <c r="N3071" t="n">
        <v>0</v>
      </c>
      <c r="O3071" t="n">
        <v>0</v>
      </c>
      <c r="P3071" t="n">
        <v>0</v>
      </c>
      <c r="Q3071" t="n">
        <v>0</v>
      </c>
      <c r="R3071" s="2" t="inlineStr"/>
    </row>
    <row r="3072" ht="15" customHeight="1">
      <c r="A3072" t="inlineStr">
        <is>
          <t>A 27754-2023</t>
        </is>
      </c>
      <c r="B3072" s="1" t="n">
        <v>45098</v>
      </c>
      <c r="C3072" s="1" t="n">
        <v>45358</v>
      </c>
      <c r="D3072" t="inlineStr">
        <is>
          <t>HALLANDS LÄN</t>
        </is>
      </c>
      <c r="E3072" t="inlineStr">
        <is>
          <t>LAHOLM</t>
        </is>
      </c>
      <c r="G3072" t="n">
        <v>0.5</v>
      </c>
      <c r="H3072" t="n">
        <v>0</v>
      </c>
      <c r="I3072" t="n">
        <v>0</v>
      </c>
      <c r="J3072" t="n">
        <v>0</v>
      </c>
      <c r="K3072" t="n">
        <v>0</v>
      </c>
      <c r="L3072" t="n">
        <v>0</v>
      </c>
      <c r="M3072" t="n">
        <v>0</v>
      </c>
      <c r="N3072" t="n">
        <v>0</v>
      </c>
      <c r="O3072" t="n">
        <v>0</v>
      </c>
      <c r="P3072" t="n">
        <v>0</v>
      </c>
      <c r="Q3072" t="n">
        <v>0</v>
      </c>
      <c r="R3072" s="2" t="inlineStr"/>
    </row>
    <row r="3073" ht="15" customHeight="1">
      <c r="A3073" t="inlineStr">
        <is>
          <t>A 27723-2023</t>
        </is>
      </c>
      <c r="B3073" s="1" t="n">
        <v>45098</v>
      </c>
      <c r="C3073" s="1" t="n">
        <v>45358</v>
      </c>
      <c r="D3073" t="inlineStr">
        <is>
          <t>HALLANDS LÄN</t>
        </is>
      </c>
      <c r="E3073" t="inlineStr">
        <is>
          <t>LAHOLM</t>
        </is>
      </c>
      <c r="G3073" t="n">
        <v>1.2</v>
      </c>
      <c r="H3073" t="n">
        <v>0</v>
      </c>
      <c r="I3073" t="n">
        <v>0</v>
      </c>
      <c r="J3073" t="n">
        <v>0</v>
      </c>
      <c r="K3073" t="n">
        <v>0</v>
      </c>
      <c r="L3073" t="n">
        <v>0</v>
      </c>
      <c r="M3073" t="n">
        <v>0</v>
      </c>
      <c r="N3073" t="n">
        <v>0</v>
      </c>
      <c r="O3073" t="n">
        <v>0</v>
      </c>
      <c r="P3073" t="n">
        <v>0</v>
      </c>
      <c r="Q3073" t="n">
        <v>0</v>
      </c>
      <c r="R3073" s="2" t="inlineStr"/>
    </row>
    <row r="3074" ht="15" customHeight="1">
      <c r="A3074" t="inlineStr">
        <is>
          <t>A 27729-2023</t>
        </is>
      </c>
      <c r="B3074" s="1" t="n">
        <v>45098</v>
      </c>
      <c r="C3074" s="1" t="n">
        <v>45358</v>
      </c>
      <c r="D3074" t="inlineStr">
        <is>
          <t>HALLANDS LÄN</t>
        </is>
      </c>
      <c r="E3074" t="inlineStr">
        <is>
          <t>LAHOLM</t>
        </is>
      </c>
      <c r="G3074" t="n">
        <v>1</v>
      </c>
      <c r="H3074" t="n">
        <v>0</v>
      </c>
      <c r="I3074" t="n">
        <v>0</v>
      </c>
      <c r="J3074" t="n">
        <v>0</v>
      </c>
      <c r="K3074" t="n">
        <v>0</v>
      </c>
      <c r="L3074" t="n">
        <v>0</v>
      </c>
      <c r="M3074" t="n">
        <v>0</v>
      </c>
      <c r="N3074" t="n">
        <v>0</v>
      </c>
      <c r="O3074" t="n">
        <v>0</v>
      </c>
      <c r="P3074" t="n">
        <v>0</v>
      </c>
      <c r="Q3074" t="n">
        <v>0</v>
      </c>
      <c r="R3074" s="2" t="inlineStr"/>
    </row>
    <row r="3075" ht="15" customHeight="1">
      <c r="A3075" t="inlineStr">
        <is>
          <t>A 27743-2023</t>
        </is>
      </c>
      <c r="B3075" s="1" t="n">
        <v>45098</v>
      </c>
      <c r="C3075" s="1" t="n">
        <v>45358</v>
      </c>
      <c r="D3075" t="inlineStr">
        <is>
          <t>HALLANDS LÄN</t>
        </is>
      </c>
      <c r="E3075" t="inlineStr">
        <is>
          <t>LAHOLM</t>
        </is>
      </c>
      <c r="G3075" t="n">
        <v>2.7</v>
      </c>
      <c r="H3075" t="n">
        <v>0</v>
      </c>
      <c r="I3075" t="n">
        <v>0</v>
      </c>
      <c r="J3075" t="n">
        <v>0</v>
      </c>
      <c r="K3075" t="n">
        <v>0</v>
      </c>
      <c r="L3075" t="n">
        <v>0</v>
      </c>
      <c r="M3075" t="n">
        <v>0</v>
      </c>
      <c r="N3075" t="n">
        <v>0</v>
      </c>
      <c r="O3075" t="n">
        <v>0</v>
      </c>
      <c r="P3075" t="n">
        <v>0</v>
      </c>
      <c r="Q3075" t="n">
        <v>0</v>
      </c>
      <c r="R3075" s="2" t="inlineStr"/>
    </row>
    <row r="3076" ht="15" customHeight="1">
      <c r="A3076" t="inlineStr">
        <is>
          <t>A 27751-2023</t>
        </is>
      </c>
      <c r="B3076" s="1" t="n">
        <v>45098</v>
      </c>
      <c r="C3076" s="1" t="n">
        <v>45358</v>
      </c>
      <c r="D3076" t="inlineStr">
        <is>
          <t>HALLANDS LÄN</t>
        </is>
      </c>
      <c r="E3076" t="inlineStr">
        <is>
          <t>HYLTE</t>
        </is>
      </c>
      <c r="F3076" t="inlineStr">
        <is>
          <t>Bergvik skog väst AB</t>
        </is>
      </c>
      <c r="G3076" t="n">
        <v>2.5</v>
      </c>
      <c r="H3076" t="n">
        <v>0</v>
      </c>
      <c r="I3076" t="n">
        <v>0</v>
      </c>
      <c r="J3076" t="n">
        <v>0</v>
      </c>
      <c r="K3076" t="n">
        <v>0</v>
      </c>
      <c r="L3076" t="n">
        <v>0</v>
      </c>
      <c r="M3076" t="n">
        <v>0</v>
      </c>
      <c r="N3076" t="n">
        <v>0</v>
      </c>
      <c r="O3076" t="n">
        <v>0</v>
      </c>
      <c r="P3076" t="n">
        <v>0</v>
      </c>
      <c r="Q3076" t="n">
        <v>0</v>
      </c>
      <c r="R3076" s="2" t="inlineStr"/>
    </row>
    <row r="3077" ht="15" customHeight="1">
      <c r="A3077" t="inlineStr">
        <is>
          <t>A 27720-2023</t>
        </is>
      </c>
      <c r="B3077" s="1" t="n">
        <v>45098</v>
      </c>
      <c r="C3077" s="1" t="n">
        <v>45358</v>
      </c>
      <c r="D3077" t="inlineStr">
        <is>
          <t>HALLANDS LÄN</t>
        </is>
      </c>
      <c r="E3077" t="inlineStr">
        <is>
          <t>LAHOLM</t>
        </is>
      </c>
      <c r="G3077" t="n">
        <v>1.5</v>
      </c>
      <c r="H3077" t="n">
        <v>0</v>
      </c>
      <c r="I3077" t="n">
        <v>0</v>
      </c>
      <c r="J3077" t="n">
        <v>0</v>
      </c>
      <c r="K3077" t="n">
        <v>0</v>
      </c>
      <c r="L3077" t="n">
        <v>0</v>
      </c>
      <c r="M3077" t="n">
        <v>0</v>
      </c>
      <c r="N3077" t="n">
        <v>0</v>
      </c>
      <c r="O3077" t="n">
        <v>0</v>
      </c>
      <c r="P3077" t="n">
        <v>0</v>
      </c>
      <c r="Q3077" t="n">
        <v>0</v>
      </c>
      <c r="R3077" s="2" t="inlineStr"/>
    </row>
    <row r="3078" ht="15" customHeight="1">
      <c r="A3078" t="inlineStr">
        <is>
          <t>A 27752-2023</t>
        </is>
      </c>
      <c r="B3078" s="1" t="n">
        <v>45098</v>
      </c>
      <c r="C3078" s="1" t="n">
        <v>45358</v>
      </c>
      <c r="D3078" t="inlineStr">
        <is>
          <t>HALLANDS LÄN</t>
        </is>
      </c>
      <c r="E3078" t="inlineStr">
        <is>
          <t>LAHOLM</t>
        </is>
      </c>
      <c r="G3078" t="n">
        <v>0.6</v>
      </c>
      <c r="H3078" t="n">
        <v>0</v>
      </c>
      <c r="I3078" t="n">
        <v>0</v>
      </c>
      <c r="J3078" t="n">
        <v>0</v>
      </c>
      <c r="K3078" t="n">
        <v>0</v>
      </c>
      <c r="L3078" t="n">
        <v>0</v>
      </c>
      <c r="M3078" t="n">
        <v>0</v>
      </c>
      <c r="N3078" t="n">
        <v>0</v>
      </c>
      <c r="O3078" t="n">
        <v>0</v>
      </c>
      <c r="P3078" t="n">
        <v>0</v>
      </c>
      <c r="Q3078" t="n">
        <v>0</v>
      </c>
      <c r="R3078" s="2" t="inlineStr"/>
    </row>
    <row r="3079" ht="15" customHeight="1">
      <c r="A3079" t="inlineStr">
        <is>
          <t>A 27726-2023</t>
        </is>
      </c>
      <c r="B3079" s="1" t="n">
        <v>45098</v>
      </c>
      <c r="C3079" s="1" t="n">
        <v>45358</v>
      </c>
      <c r="D3079" t="inlineStr">
        <is>
          <t>HALLANDS LÄN</t>
        </is>
      </c>
      <c r="E3079" t="inlineStr">
        <is>
          <t>LAHOLM</t>
        </is>
      </c>
      <c r="G3079" t="n">
        <v>3.7</v>
      </c>
      <c r="H3079" t="n">
        <v>0</v>
      </c>
      <c r="I3079" t="n">
        <v>0</v>
      </c>
      <c r="J3079" t="n">
        <v>0</v>
      </c>
      <c r="K3079" t="n">
        <v>0</v>
      </c>
      <c r="L3079" t="n">
        <v>0</v>
      </c>
      <c r="M3079" t="n">
        <v>0</v>
      </c>
      <c r="N3079" t="n">
        <v>0</v>
      </c>
      <c r="O3079" t="n">
        <v>0</v>
      </c>
      <c r="P3079" t="n">
        <v>0</v>
      </c>
      <c r="Q3079" t="n">
        <v>0</v>
      </c>
      <c r="R3079" s="2" t="inlineStr"/>
    </row>
    <row r="3080" ht="15" customHeight="1">
      <c r="A3080" t="inlineStr">
        <is>
          <t>A 27732-2023</t>
        </is>
      </c>
      <c r="B3080" s="1" t="n">
        <v>45098</v>
      </c>
      <c r="C3080" s="1" t="n">
        <v>45358</v>
      </c>
      <c r="D3080" t="inlineStr">
        <is>
          <t>HALLANDS LÄN</t>
        </is>
      </c>
      <c r="E3080" t="inlineStr">
        <is>
          <t>LAHOLM</t>
        </is>
      </c>
      <c r="G3080" t="n">
        <v>1.8</v>
      </c>
      <c r="H3080" t="n">
        <v>0</v>
      </c>
      <c r="I3080" t="n">
        <v>0</v>
      </c>
      <c r="J3080" t="n">
        <v>0</v>
      </c>
      <c r="K3080" t="n">
        <v>0</v>
      </c>
      <c r="L3080" t="n">
        <v>0</v>
      </c>
      <c r="M3080" t="n">
        <v>0</v>
      </c>
      <c r="N3080" t="n">
        <v>0</v>
      </c>
      <c r="O3080" t="n">
        <v>0</v>
      </c>
      <c r="P3080" t="n">
        <v>0</v>
      </c>
      <c r="Q3080" t="n">
        <v>0</v>
      </c>
      <c r="R3080" s="2" t="inlineStr"/>
    </row>
    <row r="3081" ht="15" customHeight="1">
      <c r="A3081" t="inlineStr">
        <is>
          <t>A 27745-2023</t>
        </is>
      </c>
      <c r="B3081" s="1" t="n">
        <v>45098</v>
      </c>
      <c r="C3081" s="1" t="n">
        <v>45358</v>
      </c>
      <c r="D3081" t="inlineStr">
        <is>
          <t>HALLANDS LÄN</t>
        </is>
      </c>
      <c r="E3081" t="inlineStr">
        <is>
          <t>LAHOLM</t>
        </is>
      </c>
      <c r="G3081" t="n">
        <v>1.7</v>
      </c>
      <c r="H3081" t="n">
        <v>0</v>
      </c>
      <c r="I3081" t="n">
        <v>0</v>
      </c>
      <c r="J3081" t="n">
        <v>0</v>
      </c>
      <c r="K3081" t="n">
        <v>0</v>
      </c>
      <c r="L3081" t="n">
        <v>0</v>
      </c>
      <c r="M3081" t="n">
        <v>0</v>
      </c>
      <c r="N3081" t="n">
        <v>0</v>
      </c>
      <c r="O3081" t="n">
        <v>0</v>
      </c>
      <c r="P3081" t="n">
        <v>0</v>
      </c>
      <c r="Q3081" t="n">
        <v>0</v>
      </c>
      <c r="R3081" s="2" t="inlineStr"/>
    </row>
    <row r="3082" ht="15" customHeight="1">
      <c r="A3082" t="inlineStr">
        <is>
          <t>A 27757-2023</t>
        </is>
      </c>
      <c r="B3082" s="1" t="n">
        <v>45098</v>
      </c>
      <c r="C3082" s="1" t="n">
        <v>45358</v>
      </c>
      <c r="D3082" t="inlineStr">
        <is>
          <t>HALLANDS LÄN</t>
        </is>
      </c>
      <c r="E3082" t="inlineStr">
        <is>
          <t>HYLTE</t>
        </is>
      </c>
      <c r="F3082" t="inlineStr">
        <is>
          <t>Bergvik skog väst AB</t>
        </is>
      </c>
      <c r="G3082" t="n">
        <v>1.7</v>
      </c>
      <c r="H3082" t="n">
        <v>0</v>
      </c>
      <c r="I3082" t="n">
        <v>0</v>
      </c>
      <c r="J3082" t="n">
        <v>0</v>
      </c>
      <c r="K3082" t="n">
        <v>0</v>
      </c>
      <c r="L3082" t="n">
        <v>0</v>
      </c>
      <c r="M3082" t="n">
        <v>0</v>
      </c>
      <c r="N3082" t="n">
        <v>0</v>
      </c>
      <c r="O3082" t="n">
        <v>0</v>
      </c>
      <c r="P3082" t="n">
        <v>0</v>
      </c>
      <c r="Q3082" t="n">
        <v>0</v>
      </c>
      <c r="R3082" s="2" t="inlineStr"/>
    </row>
    <row r="3083" ht="15" customHeight="1">
      <c r="A3083" t="inlineStr">
        <is>
          <t>A 28036-2023</t>
        </is>
      </c>
      <c r="B3083" s="1" t="n">
        <v>45099</v>
      </c>
      <c r="C3083" s="1" t="n">
        <v>45358</v>
      </c>
      <c r="D3083" t="inlineStr">
        <is>
          <t>HALLANDS LÄN</t>
        </is>
      </c>
      <c r="E3083" t="inlineStr">
        <is>
          <t>KUNGSBACKA</t>
        </is>
      </c>
      <c r="G3083" t="n">
        <v>3</v>
      </c>
      <c r="H3083" t="n">
        <v>0</v>
      </c>
      <c r="I3083" t="n">
        <v>0</v>
      </c>
      <c r="J3083" t="n">
        <v>0</v>
      </c>
      <c r="K3083" t="n">
        <v>0</v>
      </c>
      <c r="L3083" t="n">
        <v>0</v>
      </c>
      <c r="M3083" t="n">
        <v>0</v>
      </c>
      <c r="N3083" t="n">
        <v>0</v>
      </c>
      <c r="O3083" t="n">
        <v>0</v>
      </c>
      <c r="P3083" t="n">
        <v>0</v>
      </c>
      <c r="Q3083" t="n">
        <v>0</v>
      </c>
      <c r="R3083" s="2" t="inlineStr"/>
    </row>
    <row r="3084" ht="15" customHeight="1">
      <c r="A3084" t="inlineStr">
        <is>
          <t>A 28098-2023</t>
        </is>
      </c>
      <c r="B3084" s="1" t="n">
        <v>45099</v>
      </c>
      <c r="C3084" s="1" t="n">
        <v>45358</v>
      </c>
      <c r="D3084" t="inlineStr">
        <is>
          <t>HALLANDS LÄN</t>
        </is>
      </c>
      <c r="E3084" t="inlineStr">
        <is>
          <t>HALMSTAD</t>
        </is>
      </c>
      <c r="G3084" t="n">
        <v>2.3</v>
      </c>
      <c r="H3084" t="n">
        <v>0</v>
      </c>
      <c r="I3084" t="n">
        <v>0</v>
      </c>
      <c r="J3084" t="n">
        <v>0</v>
      </c>
      <c r="K3084" t="n">
        <v>0</v>
      </c>
      <c r="L3084" t="n">
        <v>0</v>
      </c>
      <c r="M3084" t="n">
        <v>0</v>
      </c>
      <c r="N3084" t="n">
        <v>0</v>
      </c>
      <c r="O3084" t="n">
        <v>0</v>
      </c>
      <c r="P3084" t="n">
        <v>0</v>
      </c>
      <c r="Q3084" t="n">
        <v>0</v>
      </c>
      <c r="R3084" s="2" t="inlineStr"/>
    </row>
    <row r="3085" ht="15" customHeight="1">
      <c r="A3085" t="inlineStr">
        <is>
          <t>A 28111-2023</t>
        </is>
      </c>
      <c r="B3085" s="1" t="n">
        <v>45099</v>
      </c>
      <c r="C3085" s="1" t="n">
        <v>45358</v>
      </c>
      <c r="D3085" t="inlineStr">
        <is>
          <t>HALLANDS LÄN</t>
        </is>
      </c>
      <c r="E3085" t="inlineStr">
        <is>
          <t>HYLTE</t>
        </is>
      </c>
      <c r="G3085" t="n">
        <v>1.2</v>
      </c>
      <c r="H3085" t="n">
        <v>0</v>
      </c>
      <c r="I3085" t="n">
        <v>0</v>
      </c>
      <c r="J3085" t="n">
        <v>0</v>
      </c>
      <c r="K3085" t="n">
        <v>0</v>
      </c>
      <c r="L3085" t="n">
        <v>0</v>
      </c>
      <c r="M3085" t="n">
        <v>0</v>
      </c>
      <c r="N3085" t="n">
        <v>0</v>
      </c>
      <c r="O3085" t="n">
        <v>0</v>
      </c>
      <c r="P3085" t="n">
        <v>0</v>
      </c>
      <c r="Q3085" t="n">
        <v>0</v>
      </c>
      <c r="R3085" s="2" t="inlineStr"/>
    </row>
    <row r="3086" ht="15" customHeight="1">
      <c r="A3086" t="inlineStr">
        <is>
          <t>A 28173-2023</t>
        </is>
      </c>
      <c r="B3086" s="1" t="n">
        <v>45099</v>
      </c>
      <c r="C3086" s="1" t="n">
        <v>45358</v>
      </c>
      <c r="D3086" t="inlineStr">
        <is>
          <t>HALLANDS LÄN</t>
        </is>
      </c>
      <c r="E3086" t="inlineStr">
        <is>
          <t>FALKENBERG</t>
        </is>
      </c>
      <c r="G3086" t="n">
        <v>9.5</v>
      </c>
      <c r="H3086" t="n">
        <v>0</v>
      </c>
      <c r="I3086" t="n">
        <v>0</v>
      </c>
      <c r="J3086" t="n">
        <v>0</v>
      </c>
      <c r="K3086" t="n">
        <v>0</v>
      </c>
      <c r="L3086" t="n">
        <v>0</v>
      </c>
      <c r="M3086" t="n">
        <v>0</v>
      </c>
      <c r="N3086" t="n">
        <v>0</v>
      </c>
      <c r="O3086" t="n">
        <v>0</v>
      </c>
      <c r="P3086" t="n">
        <v>0</v>
      </c>
      <c r="Q3086" t="n">
        <v>0</v>
      </c>
      <c r="R3086" s="2" t="inlineStr"/>
    </row>
    <row r="3087" ht="15" customHeight="1">
      <c r="A3087" t="inlineStr">
        <is>
          <t>A 28069-2023</t>
        </is>
      </c>
      <c r="B3087" s="1" t="n">
        <v>45099</v>
      </c>
      <c r="C3087" s="1" t="n">
        <v>45358</v>
      </c>
      <c r="D3087" t="inlineStr">
        <is>
          <t>HALLANDS LÄN</t>
        </is>
      </c>
      <c r="E3087" t="inlineStr">
        <is>
          <t>HALMSTAD</t>
        </is>
      </c>
      <c r="G3087" t="n">
        <v>0.9</v>
      </c>
      <c r="H3087" t="n">
        <v>0</v>
      </c>
      <c r="I3087" t="n">
        <v>0</v>
      </c>
      <c r="J3087" t="n">
        <v>0</v>
      </c>
      <c r="K3087" t="n">
        <v>0</v>
      </c>
      <c r="L3087" t="n">
        <v>0</v>
      </c>
      <c r="M3087" t="n">
        <v>0</v>
      </c>
      <c r="N3087" t="n">
        <v>0</v>
      </c>
      <c r="O3087" t="n">
        <v>0</v>
      </c>
      <c r="P3087" t="n">
        <v>0</v>
      </c>
      <c r="Q3087" t="n">
        <v>0</v>
      </c>
      <c r="R3087" s="2" t="inlineStr"/>
    </row>
    <row r="3088" ht="15" customHeight="1">
      <c r="A3088" t="inlineStr">
        <is>
          <t>A 28145-2023</t>
        </is>
      </c>
      <c r="B3088" s="1" t="n">
        <v>45099</v>
      </c>
      <c r="C3088" s="1" t="n">
        <v>45358</v>
      </c>
      <c r="D3088" t="inlineStr">
        <is>
          <t>HALLANDS LÄN</t>
        </is>
      </c>
      <c r="E3088" t="inlineStr">
        <is>
          <t>HALMSTAD</t>
        </is>
      </c>
      <c r="G3088" t="n">
        <v>0.7</v>
      </c>
      <c r="H3088" t="n">
        <v>0</v>
      </c>
      <c r="I3088" t="n">
        <v>0</v>
      </c>
      <c r="J3088" t="n">
        <v>0</v>
      </c>
      <c r="K3088" t="n">
        <v>0</v>
      </c>
      <c r="L3088" t="n">
        <v>0</v>
      </c>
      <c r="M3088" t="n">
        <v>0</v>
      </c>
      <c r="N3088" t="n">
        <v>0</v>
      </c>
      <c r="O3088" t="n">
        <v>0</v>
      </c>
      <c r="P3088" t="n">
        <v>0</v>
      </c>
      <c r="Q3088" t="n">
        <v>0</v>
      </c>
      <c r="R3088" s="2" t="inlineStr"/>
    </row>
    <row r="3089" ht="15" customHeight="1">
      <c r="A3089" t="inlineStr">
        <is>
          <t>A 28361-2023</t>
        </is>
      </c>
      <c r="B3089" s="1" t="n">
        <v>45100</v>
      </c>
      <c r="C3089" s="1" t="n">
        <v>45358</v>
      </c>
      <c r="D3089" t="inlineStr">
        <is>
          <t>HALLANDS LÄN</t>
        </is>
      </c>
      <c r="E3089" t="inlineStr">
        <is>
          <t>HALMSTAD</t>
        </is>
      </c>
      <c r="G3089" t="n">
        <v>1.3</v>
      </c>
      <c r="H3089" t="n">
        <v>0</v>
      </c>
      <c r="I3089" t="n">
        <v>0</v>
      </c>
      <c r="J3089" t="n">
        <v>0</v>
      </c>
      <c r="K3089" t="n">
        <v>0</v>
      </c>
      <c r="L3089" t="n">
        <v>0</v>
      </c>
      <c r="M3089" t="n">
        <v>0</v>
      </c>
      <c r="N3089" t="n">
        <v>0</v>
      </c>
      <c r="O3089" t="n">
        <v>0</v>
      </c>
      <c r="P3089" t="n">
        <v>0</v>
      </c>
      <c r="Q3089" t="n">
        <v>0</v>
      </c>
      <c r="R3089" s="2" t="inlineStr"/>
    </row>
    <row r="3090" ht="15" customHeight="1">
      <c r="A3090" t="inlineStr">
        <is>
          <t>A 30093-2023</t>
        </is>
      </c>
      <c r="B3090" s="1" t="n">
        <v>45099</v>
      </c>
      <c r="C3090" s="1" t="n">
        <v>45358</v>
      </c>
      <c r="D3090" t="inlineStr">
        <is>
          <t>HALLANDS LÄN</t>
        </is>
      </c>
      <c r="E3090" t="inlineStr">
        <is>
          <t>HALMSTAD</t>
        </is>
      </c>
      <c r="G3090" t="n">
        <v>0.7</v>
      </c>
      <c r="H3090" t="n">
        <v>0</v>
      </c>
      <c r="I3090" t="n">
        <v>0</v>
      </c>
      <c r="J3090" t="n">
        <v>0</v>
      </c>
      <c r="K3090" t="n">
        <v>0</v>
      </c>
      <c r="L3090" t="n">
        <v>0</v>
      </c>
      <c r="M3090" t="n">
        <v>0</v>
      </c>
      <c r="N3090" t="n">
        <v>0</v>
      </c>
      <c r="O3090" t="n">
        <v>0</v>
      </c>
      <c r="P3090" t="n">
        <v>0</v>
      </c>
      <c r="Q3090" t="n">
        <v>0</v>
      </c>
      <c r="R3090" s="2" t="inlineStr"/>
    </row>
    <row r="3091" ht="15" customHeight="1">
      <c r="A3091" t="inlineStr">
        <is>
          <t>A 30088-2023</t>
        </is>
      </c>
      <c r="B3091" s="1" t="n">
        <v>45099</v>
      </c>
      <c r="C3091" s="1" t="n">
        <v>45358</v>
      </c>
      <c r="D3091" t="inlineStr">
        <is>
          <t>HALLANDS LÄN</t>
        </is>
      </c>
      <c r="E3091" t="inlineStr">
        <is>
          <t>HALMSTAD</t>
        </is>
      </c>
      <c r="G3091" t="n">
        <v>2.9</v>
      </c>
      <c r="H3091" t="n">
        <v>0</v>
      </c>
      <c r="I3091" t="n">
        <v>0</v>
      </c>
      <c r="J3091" t="n">
        <v>0</v>
      </c>
      <c r="K3091" t="n">
        <v>0</v>
      </c>
      <c r="L3091" t="n">
        <v>0</v>
      </c>
      <c r="M3091" t="n">
        <v>0</v>
      </c>
      <c r="N3091" t="n">
        <v>0</v>
      </c>
      <c r="O3091" t="n">
        <v>0</v>
      </c>
      <c r="P3091" t="n">
        <v>0</v>
      </c>
      <c r="Q3091" t="n">
        <v>0</v>
      </c>
      <c r="R3091" s="2" t="inlineStr"/>
    </row>
    <row r="3092" ht="15" customHeight="1">
      <c r="A3092" t="inlineStr">
        <is>
          <t>A 28611-2023</t>
        </is>
      </c>
      <c r="B3092" s="1" t="n">
        <v>45103</v>
      </c>
      <c r="C3092" s="1" t="n">
        <v>45358</v>
      </c>
      <c r="D3092" t="inlineStr">
        <is>
          <t>HALLANDS LÄN</t>
        </is>
      </c>
      <c r="E3092" t="inlineStr">
        <is>
          <t>KUNGSBACKA</t>
        </is>
      </c>
      <c r="G3092" t="n">
        <v>0.7</v>
      </c>
      <c r="H3092" t="n">
        <v>0</v>
      </c>
      <c r="I3092" t="n">
        <v>0</v>
      </c>
      <c r="J3092" t="n">
        <v>0</v>
      </c>
      <c r="K3092" t="n">
        <v>0</v>
      </c>
      <c r="L3092" t="n">
        <v>0</v>
      </c>
      <c r="M3092" t="n">
        <v>0</v>
      </c>
      <c r="N3092" t="n">
        <v>0</v>
      </c>
      <c r="O3092" t="n">
        <v>0</v>
      </c>
      <c r="P3092" t="n">
        <v>0</v>
      </c>
      <c r="Q3092" t="n">
        <v>0</v>
      </c>
      <c r="R3092" s="2" t="inlineStr"/>
    </row>
    <row r="3093" ht="15" customHeight="1">
      <c r="A3093" t="inlineStr">
        <is>
          <t>A 28608-2023</t>
        </is>
      </c>
      <c r="B3093" s="1" t="n">
        <v>45103</v>
      </c>
      <c r="C3093" s="1" t="n">
        <v>45358</v>
      </c>
      <c r="D3093" t="inlineStr">
        <is>
          <t>HALLANDS LÄN</t>
        </is>
      </c>
      <c r="E3093" t="inlineStr">
        <is>
          <t>KUNGSBACKA</t>
        </is>
      </c>
      <c r="G3093" t="n">
        <v>0.6</v>
      </c>
      <c r="H3093" t="n">
        <v>0</v>
      </c>
      <c r="I3093" t="n">
        <v>0</v>
      </c>
      <c r="J3093" t="n">
        <v>0</v>
      </c>
      <c r="K3093" t="n">
        <v>0</v>
      </c>
      <c r="L3093" t="n">
        <v>0</v>
      </c>
      <c r="M3093" t="n">
        <v>0</v>
      </c>
      <c r="N3093" t="n">
        <v>0</v>
      </c>
      <c r="O3093" t="n">
        <v>0</v>
      </c>
      <c r="P3093" t="n">
        <v>0</v>
      </c>
      <c r="Q3093" t="n">
        <v>0</v>
      </c>
      <c r="R3093" s="2" t="inlineStr"/>
    </row>
    <row r="3094" ht="15" customHeight="1">
      <c r="A3094" t="inlineStr">
        <is>
          <t>A 28610-2023</t>
        </is>
      </c>
      <c r="B3094" s="1" t="n">
        <v>45103</v>
      </c>
      <c r="C3094" s="1" t="n">
        <v>45358</v>
      </c>
      <c r="D3094" t="inlineStr">
        <is>
          <t>HALLANDS LÄN</t>
        </is>
      </c>
      <c r="E3094" t="inlineStr">
        <is>
          <t>KUNGSBACKA</t>
        </is>
      </c>
      <c r="G3094" t="n">
        <v>1.1</v>
      </c>
      <c r="H3094" t="n">
        <v>0</v>
      </c>
      <c r="I3094" t="n">
        <v>0</v>
      </c>
      <c r="J3094" t="n">
        <v>0</v>
      </c>
      <c r="K3094" t="n">
        <v>0</v>
      </c>
      <c r="L3094" t="n">
        <v>0</v>
      </c>
      <c r="M3094" t="n">
        <v>0</v>
      </c>
      <c r="N3094" t="n">
        <v>0</v>
      </c>
      <c r="O3094" t="n">
        <v>0</v>
      </c>
      <c r="P3094" t="n">
        <v>0</v>
      </c>
      <c r="Q3094" t="n">
        <v>0</v>
      </c>
      <c r="R3094" s="2" t="inlineStr"/>
    </row>
    <row r="3095" ht="15" customHeight="1">
      <c r="A3095" t="inlineStr">
        <is>
          <t>A 28800-2023</t>
        </is>
      </c>
      <c r="B3095" s="1" t="n">
        <v>45104</v>
      </c>
      <c r="C3095" s="1" t="n">
        <v>45358</v>
      </c>
      <c r="D3095" t="inlineStr">
        <is>
          <t>HALLANDS LÄN</t>
        </is>
      </c>
      <c r="E3095" t="inlineStr">
        <is>
          <t>LAHOLM</t>
        </is>
      </c>
      <c r="G3095" t="n">
        <v>2</v>
      </c>
      <c r="H3095" t="n">
        <v>0</v>
      </c>
      <c r="I3095" t="n">
        <v>0</v>
      </c>
      <c r="J3095" t="n">
        <v>0</v>
      </c>
      <c r="K3095" t="n">
        <v>0</v>
      </c>
      <c r="L3095" t="n">
        <v>0</v>
      </c>
      <c r="M3095" t="n">
        <v>0</v>
      </c>
      <c r="N3095" t="n">
        <v>0</v>
      </c>
      <c r="O3095" t="n">
        <v>0</v>
      </c>
      <c r="P3095" t="n">
        <v>0</v>
      </c>
      <c r="Q3095" t="n">
        <v>0</v>
      </c>
      <c r="R3095" s="2" t="inlineStr"/>
    </row>
    <row r="3096" ht="15" customHeight="1">
      <c r="A3096" t="inlineStr">
        <is>
          <t>A 28803-2023</t>
        </is>
      </c>
      <c r="B3096" s="1" t="n">
        <v>45104</v>
      </c>
      <c r="C3096" s="1" t="n">
        <v>45358</v>
      </c>
      <c r="D3096" t="inlineStr">
        <is>
          <t>HALLANDS LÄN</t>
        </is>
      </c>
      <c r="E3096" t="inlineStr">
        <is>
          <t>HYLTE</t>
        </is>
      </c>
      <c r="G3096" t="n">
        <v>4.1</v>
      </c>
      <c r="H3096" t="n">
        <v>0</v>
      </c>
      <c r="I3096" t="n">
        <v>0</v>
      </c>
      <c r="J3096" t="n">
        <v>0</v>
      </c>
      <c r="K3096" t="n">
        <v>0</v>
      </c>
      <c r="L3096" t="n">
        <v>0</v>
      </c>
      <c r="M3096" t="n">
        <v>0</v>
      </c>
      <c r="N3096" t="n">
        <v>0</v>
      </c>
      <c r="O3096" t="n">
        <v>0</v>
      </c>
      <c r="P3096" t="n">
        <v>0</v>
      </c>
      <c r="Q3096" t="n">
        <v>0</v>
      </c>
      <c r="R3096" s="2" t="inlineStr"/>
    </row>
    <row r="3097" ht="15" customHeight="1">
      <c r="A3097" t="inlineStr">
        <is>
          <t>A 28842-2023</t>
        </is>
      </c>
      <c r="B3097" s="1" t="n">
        <v>45104</v>
      </c>
      <c r="C3097" s="1" t="n">
        <v>45358</v>
      </c>
      <c r="D3097" t="inlineStr">
        <is>
          <t>HALLANDS LÄN</t>
        </is>
      </c>
      <c r="E3097" t="inlineStr">
        <is>
          <t>VARBERG</t>
        </is>
      </c>
      <c r="G3097" t="n">
        <v>1.3</v>
      </c>
      <c r="H3097" t="n">
        <v>0</v>
      </c>
      <c r="I3097" t="n">
        <v>0</v>
      </c>
      <c r="J3097" t="n">
        <v>0</v>
      </c>
      <c r="K3097" t="n">
        <v>0</v>
      </c>
      <c r="L3097" t="n">
        <v>0</v>
      </c>
      <c r="M3097" t="n">
        <v>0</v>
      </c>
      <c r="N3097" t="n">
        <v>0</v>
      </c>
      <c r="O3097" t="n">
        <v>0</v>
      </c>
      <c r="P3097" t="n">
        <v>0</v>
      </c>
      <c r="Q3097" t="n">
        <v>0</v>
      </c>
      <c r="R3097" s="2" t="inlineStr"/>
    </row>
    <row r="3098" ht="15" customHeight="1">
      <c r="A3098" t="inlineStr">
        <is>
          <t>A 29023-2023</t>
        </is>
      </c>
      <c r="B3098" s="1" t="n">
        <v>45104</v>
      </c>
      <c r="C3098" s="1" t="n">
        <v>45358</v>
      </c>
      <c r="D3098" t="inlineStr">
        <is>
          <t>HALLANDS LÄN</t>
        </is>
      </c>
      <c r="E3098" t="inlineStr">
        <is>
          <t>HALMSTAD</t>
        </is>
      </c>
      <c r="G3098" t="n">
        <v>1.9</v>
      </c>
      <c r="H3098" t="n">
        <v>0</v>
      </c>
      <c r="I3098" t="n">
        <v>0</v>
      </c>
      <c r="J3098" t="n">
        <v>0</v>
      </c>
      <c r="K3098" t="n">
        <v>0</v>
      </c>
      <c r="L3098" t="n">
        <v>0</v>
      </c>
      <c r="M3098" t="n">
        <v>0</v>
      </c>
      <c r="N3098" t="n">
        <v>0</v>
      </c>
      <c r="O3098" t="n">
        <v>0</v>
      </c>
      <c r="P3098" t="n">
        <v>0</v>
      </c>
      <c r="Q3098" t="n">
        <v>0</v>
      </c>
      <c r="R3098" s="2" t="inlineStr"/>
    </row>
    <row r="3099" ht="15" customHeight="1">
      <c r="A3099" t="inlineStr">
        <is>
          <t>A 28789-2023</t>
        </is>
      </c>
      <c r="B3099" s="1" t="n">
        <v>45104</v>
      </c>
      <c r="C3099" s="1" t="n">
        <v>45358</v>
      </c>
      <c r="D3099" t="inlineStr">
        <is>
          <t>HALLANDS LÄN</t>
        </is>
      </c>
      <c r="E3099" t="inlineStr">
        <is>
          <t>LAHOLM</t>
        </is>
      </c>
      <c r="G3099" t="n">
        <v>10.8</v>
      </c>
      <c r="H3099" t="n">
        <v>0</v>
      </c>
      <c r="I3099" t="n">
        <v>0</v>
      </c>
      <c r="J3099" t="n">
        <v>0</v>
      </c>
      <c r="K3099" t="n">
        <v>0</v>
      </c>
      <c r="L3099" t="n">
        <v>0</v>
      </c>
      <c r="M3099" t="n">
        <v>0</v>
      </c>
      <c r="N3099" t="n">
        <v>0</v>
      </c>
      <c r="O3099" t="n">
        <v>0</v>
      </c>
      <c r="P3099" t="n">
        <v>0</v>
      </c>
      <c r="Q3099" t="n">
        <v>0</v>
      </c>
      <c r="R3099" s="2" t="inlineStr"/>
    </row>
    <row r="3100" ht="15" customHeight="1">
      <c r="A3100" t="inlineStr">
        <is>
          <t>A 29021-2023</t>
        </is>
      </c>
      <c r="B3100" s="1" t="n">
        <v>45104</v>
      </c>
      <c r="C3100" s="1" t="n">
        <v>45358</v>
      </c>
      <c r="D3100" t="inlineStr">
        <is>
          <t>HALLANDS LÄN</t>
        </is>
      </c>
      <c r="E3100" t="inlineStr">
        <is>
          <t>HALMSTAD</t>
        </is>
      </c>
      <c r="G3100" t="n">
        <v>2.6</v>
      </c>
      <c r="H3100" t="n">
        <v>0</v>
      </c>
      <c r="I3100" t="n">
        <v>0</v>
      </c>
      <c r="J3100" t="n">
        <v>0</v>
      </c>
      <c r="K3100" t="n">
        <v>0</v>
      </c>
      <c r="L3100" t="n">
        <v>0</v>
      </c>
      <c r="M3100" t="n">
        <v>0</v>
      </c>
      <c r="N3100" t="n">
        <v>0</v>
      </c>
      <c r="O3100" t="n">
        <v>0</v>
      </c>
      <c r="P3100" t="n">
        <v>0</v>
      </c>
      <c r="Q3100" t="n">
        <v>0</v>
      </c>
      <c r="R3100" s="2" t="inlineStr"/>
    </row>
    <row r="3101" ht="15" customHeight="1">
      <c r="A3101" t="inlineStr">
        <is>
          <t>A 28835-2023</t>
        </is>
      </c>
      <c r="B3101" s="1" t="n">
        <v>45104</v>
      </c>
      <c r="C3101" s="1" t="n">
        <v>45358</v>
      </c>
      <c r="D3101" t="inlineStr">
        <is>
          <t>HALLANDS LÄN</t>
        </is>
      </c>
      <c r="E3101" t="inlineStr">
        <is>
          <t>HYLTE</t>
        </is>
      </c>
      <c r="G3101" t="n">
        <v>2.8</v>
      </c>
      <c r="H3101" t="n">
        <v>0</v>
      </c>
      <c r="I3101" t="n">
        <v>0</v>
      </c>
      <c r="J3101" t="n">
        <v>0</v>
      </c>
      <c r="K3101" t="n">
        <v>0</v>
      </c>
      <c r="L3101" t="n">
        <v>0</v>
      </c>
      <c r="M3101" t="n">
        <v>0</v>
      </c>
      <c r="N3101" t="n">
        <v>0</v>
      </c>
      <c r="O3101" t="n">
        <v>0</v>
      </c>
      <c r="P3101" t="n">
        <v>0</v>
      </c>
      <c r="Q3101" t="n">
        <v>0</v>
      </c>
      <c r="R3101" s="2" t="inlineStr"/>
    </row>
    <row r="3102" ht="15" customHeight="1">
      <c r="A3102" t="inlineStr">
        <is>
          <t>A 28843-2023</t>
        </is>
      </c>
      <c r="B3102" s="1" t="n">
        <v>45104</v>
      </c>
      <c r="C3102" s="1" t="n">
        <v>45358</v>
      </c>
      <c r="D3102" t="inlineStr">
        <is>
          <t>HALLANDS LÄN</t>
        </is>
      </c>
      <c r="E3102" t="inlineStr">
        <is>
          <t>VARBERG</t>
        </is>
      </c>
      <c r="G3102" t="n">
        <v>4.4</v>
      </c>
      <c r="H3102" t="n">
        <v>0</v>
      </c>
      <c r="I3102" t="n">
        <v>0</v>
      </c>
      <c r="J3102" t="n">
        <v>0</v>
      </c>
      <c r="K3102" t="n">
        <v>0</v>
      </c>
      <c r="L3102" t="n">
        <v>0</v>
      </c>
      <c r="M3102" t="n">
        <v>0</v>
      </c>
      <c r="N3102" t="n">
        <v>0</v>
      </c>
      <c r="O3102" t="n">
        <v>0</v>
      </c>
      <c r="P3102" t="n">
        <v>0</v>
      </c>
      <c r="Q3102" t="n">
        <v>0</v>
      </c>
      <c r="R3102" s="2" t="inlineStr"/>
    </row>
    <row r="3103" ht="15" customHeight="1">
      <c r="A3103" t="inlineStr">
        <is>
          <t>A 28960-2023</t>
        </is>
      </c>
      <c r="B3103" s="1" t="n">
        <v>45104</v>
      </c>
      <c r="C3103" s="1" t="n">
        <v>45358</v>
      </c>
      <c r="D3103" t="inlineStr">
        <is>
          <t>HALLANDS LÄN</t>
        </is>
      </c>
      <c r="E3103" t="inlineStr">
        <is>
          <t>HYLTE</t>
        </is>
      </c>
      <c r="G3103" t="n">
        <v>0.7</v>
      </c>
      <c r="H3103" t="n">
        <v>0</v>
      </c>
      <c r="I3103" t="n">
        <v>0</v>
      </c>
      <c r="J3103" t="n">
        <v>0</v>
      </c>
      <c r="K3103" t="n">
        <v>0</v>
      </c>
      <c r="L3103" t="n">
        <v>0</v>
      </c>
      <c r="M3103" t="n">
        <v>0</v>
      </c>
      <c r="N3103" t="n">
        <v>0</v>
      </c>
      <c r="O3103" t="n">
        <v>0</v>
      </c>
      <c r="P3103" t="n">
        <v>0</v>
      </c>
      <c r="Q3103" t="n">
        <v>0</v>
      </c>
      <c r="R3103" s="2" t="inlineStr"/>
    </row>
    <row r="3104" ht="15" customHeight="1">
      <c r="A3104" t="inlineStr">
        <is>
          <t>A 28845-2023</t>
        </is>
      </c>
      <c r="B3104" s="1" t="n">
        <v>45104</v>
      </c>
      <c r="C3104" s="1" t="n">
        <v>45358</v>
      </c>
      <c r="D3104" t="inlineStr">
        <is>
          <t>HALLANDS LÄN</t>
        </is>
      </c>
      <c r="E3104" t="inlineStr">
        <is>
          <t>HYLTE</t>
        </is>
      </c>
      <c r="G3104" t="n">
        <v>1</v>
      </c>
      <c r="H3104" t="n">
        <v>0</v>
      </c>
      <c r="I3104" t="n">
        <v>0</v>
      </c>
      <c r="J3104" t="n">
        <v>0</v>
      </c>
      <c r="K3104" t="n">
        <v>0</v>
      </c>
      <c r="L3104" t="n">
        <v>0</v>
      </c>
      <c r="M3104" t="n">
        <v>0</v>
      </c>
      <c r="N3104" t="n">
        <v>0</v>
      </c>
      <c r="O3104" t="n">
        <v>0</v>
      </c>
      <c r="P3104" t="n">
        <v>0</v>
      </c>
      <c r="Q3104" t="n">
        <v>0</v>
      </c>
      <c r="R3104" s="2" t="inlineStr"/>
    </row>
    <row r="3105" ht="15" customHeight="1">
      <c r="A3105" t="inlineStr">
        <is>
          <t>A 29201-2023</t>
        </is>
      </c>
      <c r="B3105" s="1" t="n">
        <v>45105</v>
      </c>
      <c r="C3105" s="1" t="n">
        <v>45358</v>
      </c>
      <c r="D3105" t="inlineStr">
        <is>
          <t>HALLANDS LÄN</t>
        </is>
      </c>
      <c r="E3105" t="inlineStr">
        <is>
          <t>FALKENBERG</t>
        </is>
      </c>
      <c r="G3105" t="n">
        <v>3.6</v>
      </c>
      <c r="H3105" t="n">
        <v>0</v>
      </c>
      <c r="I3105" t="n">
        <v>0</v>
      </c>
      <c r="J3105" t="n">
        <v>0</v>
      </c>
      <c r="K3105" t="n">
        <v>0</v>
      </c>
      <c r="L3105" t="n">
        <v>0</v>
      </c>
      <c r="M3105" t="n">
        <v>0</v>
      </c>
      <c r="N3105" t="n">
        <v>0</v>
      </c>
      <c r="O3105" t="n">
        <v>0</v>
      </c>
      <c r="P3105" t="n">
        <v>0</v>
      </c>
      <c r="Q3105" t="n">
        <v>0</v>
      </c>
      <c r="R3105" s="2" t="inlineStr"/>
    </row>
    <row r="3106" ht="15" customHeight="1">
      <c r="A3106" t="inlineStr">
        <is>
          <t>A 29391-2023</t>
        </is>
      </c>
      <c r="B3106" s="1" t="n">
        <v>45106</v>
      </c>
      <c r="C3106" s="1" t="n">
        <v>45358</v>
      </c>
      <c r="D3106" t="inlineStr">
        <is>
          <t>HALLANDS LÄN</t>
        </is>
      </c>
      <c r="E3106" t="inlineStr">
        <is>
          <t>VARBERG</t>
        </is>
      </c>
      <c r="G3106" t="n">
        <v>1.3</v>
      </c>
      <c r="H3106" t="n">
        <v>0</v>
      </c>
      <c r="I3106" t="n">
        <v>0</v>
      </c>
      <c r="J3106" t="n">
        <v>0</v>
      </c>
      <c r="K3106" t="n">
        <v>0</v>
      </c>
      <c r="L3106" t="n">
        <v>0</v>
      </c>
      <c r="M3106" t="n">
        <v>0</v>
      </c>
      <c r="N3106" t="n">
        <v>0</v>
      </c>
      <c r="O3106" t="n">
        <v>0</v>
      </c>
      <c r="P3106" t="n">
        <v>0</v>
      </c>
      <c r="Q3106" t="n">
        <v>0</v>
      </c>
      <c r="R3106" s="2" t="inlineStr"/>
    </row>
    <row r="3107" ht="15" customHeight="1">
      <c r="A3107" t="inlineStr">
        <is>
          <t>A 29518-2023</t>
        </is>
      </c>
      <c r="B3107" s="1" t="n">
        <v>45106</v>
      </c>
      <c r="C3107" s="1" t="n">
        <v>45358</v>
      </c>
      <c r="D3107" t="inlineStr">
        <is>
          <t>HALLANDS LÄN</t>
        </is>
      </c>
      <c r="E3107" t="inlineStr">
        <is>
          <t>LAHOLM</t>
        </is>
      </c>
      <c r="G3107" t="n">
        <v>0.7</v>
      </c>
      <c r="H3107" t="n">
        <v>0</v>
      </c>
      <c r="I3107" t="n">
        <v>0</v>
      </c>
      <c r="J3107" t="n">
        <v>0</v>
      </c>
      <c r="K3107" t="n">
        <v>0</v>
      </c>
      <c r="L3107" t="n">
        <v>0</v>
      </c>
      <c r="M3107" t="n">
        <v>0</v>
      </c>
      <c r="N3107" t="n">
        <v>0</v>
      </c>
      <c r="O3107" t="n">
        <v>0</v>
      </c>
      <c r="P3107" t="n">
        <v>0</v>
      </c>
      <c r="Q3107" t="n">
        <v>0</v>
      </c>
      <c r="R3107" s="2" t="inlineStr"/>
    </row>
    <row r="3108" ht="15" customHeight="1">
      <c r="A3108" t="inlineStr">
        <is>
          <t>A 29527-2023</t>
        </is>
      </c>
      <c r="B3108" s="1" t="n">
        <v>45106</v>
      </c>
      <c r="C3108" s="1" t="n">
        <v>45358</v>
      </c>
      <c r="D3108" t="inlineStr">
        <is>
          <t>HALLANDS LÄN</t>
        </is>
      </c>
      <c r="E3108" t="inlineStr">
        <is>
          <t>LAHOLM</t>
        </is>
      </c>
      <c r="G3108" t="n">
        <v>1.1</v>
      </c>
      <c r="H3108" t="n">
        <v>0</v>
      </c>
      <c r="I3108" t="n">
        <v>0</v>
      </c>
      <c r="J3108" t="n">
        <v>0</v>
      </c>
      <c r="K3108" t="n">
        <v>0</v>
      </c>
      <c r="L3108" t="n">
        <v>0</v>
      </c>
      <c r="M3108" t="n">
        <v>0</v>
      </c>
      <c r="N3108" t="n">
        <v>0</v>
      </c>
      <c r="O3108" t="n">
        <v>0</v>
      </c>
      <c r="P3108" t="n">
        <v>0</v>
      </c>
      <c r="Q3108" t="n">
        <v>0</v>
      </c>
      <c r="R3108" s="2" t="inlineStr"/>
    </row>
    <row r="3109" ht="15" customHeight="1">
      <c r="A3109" t="inlineStr">
        <is>
          <t>A 29819-2023</t>
        </is>
      </c>
      <c r="B3109" s="1" t="n">
        <v>45107</v>
      </c>
      <c r="C3109" s="1" t="n">
        <v>45358</v>
      </c>
      <c r="D3109" t="inlineStr">
        <is>
          <t>HALLANDS LÄN</t>
        </is>
      </c>
      <c r="E3109" t="inlineStr">
        <is>
          <t>HYLTE</t>
        </is>
      </c>
      <c r="G3109" t="n">
        <v>4.3</v>
      </c>
      <c r="H3109" t="n">
        <v>0</v>
      </c>
      <c r="I3109" t="n">
        <v>0</v>
      </c>
      <c r="J3109" t="n">
        <v>0</v>
      </c>
      <c r="K3109" t="n">
        <v>0</v>
      </c>
      <c r="L3109" t="n">
        <v>0</v>
      </c>
      <c r="M3109" t="n">
        <v>0</v>
      </c>
      <c r="N3109" t="n">
        <v>0</v>
      </c>
      <c r="O3109" t="n">
        <v>0</v>
      </c>
      <c r="P3109" t="n">
        <v>0</v>
      </c>
      <c r="Q3109" t="n">
        <v>0</v>
      </c>
      <c r="R3109" s="2" t="inlineStr"/>
    </row>
    <row r="3110" ht="15" customHeight="1">
      <c r="A3110" t="inlineStr">
        <is>
          <t>A 29718-2023</t>
        </is>
      </c>
      <c r="B3110" s="1" t="n">
        <v>45107</v>
      </c>
      <c r="C3110" s="1" t="n">
        <v>45358</v>
      </c>
      <c r="D3110" t="inlineStr">
        <is>
          <t>HALLANDS LÄN</t>
        </is>
      </c>
      <c r="E3110" t="inlineStr">
        <is>
          <t>HYLTE</t>
        </is>
      </c>
      <c r="G3110" t="n">
        <v>1.7</v>
      </c>
      <c r="H3110" t="n">
        <v>0</v>
      </c>
      <c r="I3110" t="n">
        <v>0</v>
      </c>
      <c r="J3110" t="n">
        <v>0</v>
      </c>
      <c r="K3110" t="n">
        <v>0</v>
      </c>
      <c r="L3110" t="n">
        <v>0</v>
      </c>
      <c r="M3110" t="n">
        <v>0</v>
      </c>
      <c r="N3110" t="n">
        <v>0</v>
      </c>
      <c r="O3110" t="n">
        <v>0</v>
      </c>
      <c r="P3110" t="n">
        <v>0</v>
      </c>
      <c r="Q3110" t="n">
        <v>0</v>
      </c>
      <c r="R3110" s="2" t="inlineStr"/>
    </row>
    <row r="3111" ht="15" customHeight="1">
      <c r="A3111" t="inlineStr">
        <is>
          <t>A 29985-2023</t>
        </is>
      </c>
      <c r="B3111" s="1" t="n">
        <v>45109</v>
      </c>
      <c r="C3111" s="1" t="n">
        <v>45358</v>
      </c>
      <c r="D3111" t="inlineStr">
        <is>
          <t>HALLANDS LÄN</t>
        </is>
      </c>
      <c r="E3111" t="inlineStr">
        <is>
          <t>HYLTE</t>
        </is>
      </c>
      <c r="G3111" t="n">
        <v>1.2</v>
      </c>
      <c r="H3111" t="n">
        <v>0</v>
      </c>
      <c r="I3111" t="n">
        <v>0</v>
      </c>
      <c r="J3111" t="n">
        <v>0</v>
      </c>
      <c r="K3111" t="n">
        <v>0</v>
      </c>
      <c r="L3111" t="n">
        <v>0</v>
      </c>
      <c r="M3111" t="n">
        <v>0</v>
      </c>
      <c r="N3111" t="n">
        <v>0</v>
      </c>
      <c r="O3111" t="n">
        <v>0</v>
      </c>
      <c r="P3111" t="n">
        <v>0</v>
      </c>
      <c r="Q3111" t="n">
        <v>0</v>
      </c>
      <c r="R3111" s="2" t="inlineStr"/>
    </row>
    <row r="3112" ht="15" customHeight="1">
      <c r="A3112" t="inlineStr">
        <is>
          <t>A 32296-2023</t>
        </is>
      </c>
      <c r="B3112" s="1" t="n">
        <v>45109</v>
      </c>
      <c r="C3112" s="1" t="n">
        <v>45358</v>
      </c>
      <c r="D3112" t="inlineStr">
        <is>
          <t>HALLANDS LÄN</t>
        </is>
      </c>
      <c r="E3112" t="inlineStr">
        <is>
          <t>HYLTE</t>
        </is>
      </c>
      <c r="G3112" t="n">
        <v>1.9</v>
      </c>
      <c r="H3112" t="n">
        <v>0</v>
      </c>
      <c r="I3112" t="n">
        <v>0</v>
      </c>
      <c r="J3112" t="n">
        <v>0</v>
      </c>
      <c r="K3112" t="n">
        <v>0</v>
      </c>
      <c r="L3112" t="n">
        <v>0</v>
      </c>
      <c r="M3112" t="n">
        <v>0</v>
      </c>
      <c r="N3112" t="n">
        <v>0</v>
      </c>
      <c r="O3112" t="n">
        <v>0</v>
      </c>
      <c r="P3112" t="n">
        <v>0</v>
      </c>
      <c r="Q3112" t="n">
        <v>0</v>
      </c>
      <c r="R3112" s="2" t="inlineStr"/>
    </row>
    <row r="3113" ht="15" customHeight="1">
      <c r="A3113" t="inlineStr">
        <is>
          <t>A 32798-2023</t>
        </is>
      </c>
      <c r="B3113" s="1" t="n">
        <v>45109</v>
      </c>
      <c r="C3113" s="1" t="n">
        <v>45358</v>
      </c>
      <c r="D3113" t="inlineStr">
        <is>
          <t>HALLANDS LÄN</t>
        </is>
      </c>
      <c r="E3113" t="inlineStr">
        <is>
          <t>HYLTE</t>
        </is>
      </c>
      <c r="G3113" t="n">
        <v>1.1</v>
      </c>
      <c r="H3113" t="n">
        <v>0</v>
      </c>
      <c r="I3113" t="n">
        <v>0</v>
      </c>
      <c r="J3113" t="n">
        <v>0</v>
      </c>
      <c r="K3113" t="n">
        <v>0</v>
      </c>
      <c r="L3113" t="n">
        <v>0</v>
      </c>
      <c r="M3113" t="n">
        <v>0</v>
      </c>
      <c r="N3113" t="n">
        <v>0</v>
      </c>
      <c r="O3113" t="n">
        <v>0</v>
      </c>
      <c r="P3113" t="n">
        <v>0</v>
      </c>
      <c r="Q3113" t="n">
        <v>0</v>
      </c>
      <c r="R3113" s="2" t="inlineStr"/>
    </row>
    <row r="3114" ht="15" customHeight="1">
      <c r="A3114" t="inlineStr">
        <is>
          <t>A 30041-2023</t>
        </is>
      </c>
      <c r="B3114" s="1" t="n">
        <v>45110</v>
      </c>
      <c r="C3114" s="1" t="n">
        <v>45358</v>
      </c>
      <c r="D3114" t="inlineStr">
        <is>
          <t>HALLANDS LÄN</t>
        </is>
      </c>
      <c r="E3114" t="inlineStr">
        <is>
          <t>HYLTE</t>
        </is>
      </c>
      <c r="G3114" t="n">
        <v>2.6</v>
      </c>
      <c r="H3114" t="n">
        <v>0</v>
      </c>
      <c r="I3114" t="n">
        <v>0</v>
      </c>
      <c r="J3114" t="n">
        <v>0</v>
      </c>
      <c r="K3114" t="n">
        <v>0</v>
      </c>
      <c r="L3114" t="n">
        <v>0</v>
      </c>
      <c r="M3114" t="n">
        <v>0</v>
      </c>
      <c r="N3114" t="n">
        <v>0</v>
      </c>
      <c r="O3114" t="n">
        <v>0</v>
      </c>
      <c r="P3114" t="n">
        <v>0</v>
      </c>
      <c r="Q3114" t="n">
        <v>0</v>
      </c>
      <c r="R3114" s="2" t="inlineStr"/>
    </row>
    <row r="3115" ht="15" customHeight="1">
      <c r="A3115" t="inlineStr">
        <is>
          <t>A 30043-2023</t>
        </is>
      </c>
      <c r="B3115" s="1" t="n">
        <v>45110</v>
      </c>
      <c r="C3115" s="1" t="n">
        <v>45358</v>
      </c>
      <c r="D3115" t="inlineStr">
        <is>
          <t>HALLANDS LÄN</t>
        </is>
      </c>
      <c r="E3115" t="inlineStr">
        <is>
          <t>HYLTE</t>
        </is>
      </c>
      <c r="G3115" t="n">
        <v>1.6</v>
      </c>
      <c r="H3115" t="n">
        <v>0</v>
      </c>
      <c r="I3115" t="n">
        <v>0</v>
      </c>
      <c r="J3115" t="n">
        <v>0</v>
      </c>
      <c r="K3115" t="n">
        <v>0</v>
      </c>
      <c r="L3115" t="n">
        <v>0</v>
      </c>
      <c r="M3115" t="n">
        <v>0</v>
      </c>
      <c r="N3115" t="n">
        <v>0</v>
      </c>
      <c r="O3115" t="n">
        <v>0</v>
      </c>
      <c r="P3115" t="n">
        <v>0</v>
      </c>
      <c r="Q3115" t="n">
        <v>0</v>
      </c>
      <c r="R3115" s="2" t="inlineStr"/>
    </row>
    <row r="3116" ht="15" customHeight="1">
      <c r="A3116" t="inlineStr">
        <is>
          <t>A 32505-2023</t>
        </is>
      </c>
      <c r="B3116" s="1" t="n">
        <v>45110</v>
      </c>
      <c r="C3116" s="1" t="n">
        <v>45358</v>
      </c>
      <c r="D3116" t="inlineStr">
        <is>
          <t>HALLANDS LÄN</t>
        </is>
      </c>
      <c r="E3116" t="inlineStr">
        <is>
          <t>HYLTE</t>
        </is>
      </c>
      <c r="G3116" t="n">
        <v>4.2</v>
      </c>
      <c r="H3116" t="n">
        <v>0</v>
      </c>
      <c r="I3116" t="n">
        <v>0</v>
      </c>
      <c r="J3116" t="n">
        <v>0</v>
      </c>
      <c r="K3116" t="n">
        <v>0</v>
      </c>
      <c r="L3116" t="n">
        <v>0</v>
      </c>
      <c r="M3116" t="n">
        <v>0</v>
      </c>
      <c r="N3116" t="n">
        <v>0</v>
      </c>
      <c r="O3116" t="n">
        <v>0</v>
      </c>
      <c r="P3116" t="n">
        <v>0</v>
      </c>
      <c r="Q3116" t="n">
        <v>0</v>
      </c>
      <c r="R3116" s="2" t="inlineStr"/>
    </row>
    <row r="3117" ht="15" customHeight="1">
      <c r="A3117" t="inlineStr">
        <is>
          <t>A 30542-2023</t>
        </is>
      </c>
      <c r="B3117" s="1" t="n">
        <v>45111</v>
      </c>
      <c r="C3117" s="1" t="n">
        <v>45358</v>
      </c>
      <c r="D3117" t="inlineStr">
        <is>
          <t>HALLANDS LÄN</t>
        </is>
      </c>
      <c r="E3117" t="inlineStr">
        <is>
          <t>VARBERG</t>
        </is>
      </c>
      <c r="G3117" t="n">
        <v>5</v>
      </c>
      <c r="H3117" t="n">
        <v>0</v>
      </c>
      <c r="I3117" t="n">
        <v>0</v>
      </c>
      <c r="J3117" t="n">
        <v>0</v>
      </c>
      <c r="K3117" t="n">
        <v>0</v>
      </c>
      <c r="L3117" t="n">
        <v>0</v>
      </c>
      <c r="M3117" t="n">
        <v>0</v>
      </c>
      <c r="N3117" t="n">
        <v>0</v>
      </c>
      <c r="O3117" t="n">
        <v>0</v>
      </c>
      <c r="P3117" t="n">
        <v>0</v>
      </c>
      <c r="Q3117" t="n">
        <v>0</v>
      </c>
      <c r="R3117" s="2" t="inlineStr"/>
    </row>
    <row r="3118" ht="15" customHeight="1">
      <c r="A3118" t="inlineStr">
        <is>
          <t>A 30729-2023</t>
        </is>
      </c>
      <c r="B3118" s="1" t="n">
        <v>45112</v>
      </c>
      <c r="C3118" s="1" t="n">
        <v>45358</v>
      </c>
      <c r="D3118" t="inlineStr">
        <is>
          <t>HALLANDS LÄN</t>
        </is>
      </c>
      <c r="E3118" t="inlineStr">
        <is>
          <t>HYLTE</t>
        </is>
      </c>
      <c r="G3118" t="n">
        <v>1</v>
      </c>
      <c r="H3118" t="n">
        <v>0</v>
      </c>
      <c r="I3118" t="n">
        <v>0</v>
      </c>
      <c r="J3118" t="n">
        <v>0</v>
      </c>
      <c r="K3118" t="n">
        <v>0</v>
      </c>
      <c r="L3118" t="n">
        <v>0</v>
      </c>
      <c r="M3118" t="n">
        <v>0</v>
      </c>
      <c r="N3118" t="n">
        <v>0</v>
      </c>
      <c r="O3118" t="n">
        <v>0</v>
      </c>
      <c r="P3118" t="n">
        <v>0</v>
      </c>
      <c r="Q3118" t="n">
        <v>0</v>
      </c>
      <c r="R3118" s="2" t="inlineStr"/>
    </row>
    <row r="3119" ht="15" customHeight="1">
      <c r="A3119" t="inlineStr">
        <is>
          <t>A 30716-2023</t>
        </is>
      </c>
      <c r="B3119" s="1" t="n">
        <v>45112</v>
      </c>
      <c r="C3119" s="1" t="n">
        <v>45358</v>
      </c>
      <c r="D3119" t="inlineStr">
        <is>
          <t>HALLANDS LÄN</t>
        </is>
      </c>
      <c r="E3119" t="inlineStr">
        <is>
          <t>KUNGSBACKA</t>
        </is>
      </c>
      <c r="G3119" t="n">
        <v>1.2</v>
      </c>
      <c r="H3119" t="n">
        <v>0</v>
      </c>
      <c r="I3119" t="n">
        <v>0</v>
      </c>
      <c r="J3119" t="n">
        <v>0</v>
      </c>
      <c r="K3119" t="n">
        <v>0</v>
      </c>
      <c r="L3119" t="n">
        <v>0</v>
      </c>
      <c r="M3119" t="n">
        <v>0</v>
      </c>
      <c r="N3119" t="n">
        <v>0</v>
      </c>
      <c r="O3119" t="n">
        <v>0</v>
      </c>
      <c r="P3119" t="n">
        <v>0</v>
      </c>
      <c r="Q3119" t="n">
        <v>0</v>
      </c>
      <c r="R3119" s="2" t="inlineStr"/>
    </row>
    <row r="3120" ht="15" customHeight="1">
      <c r="A3120" t="inlineStr">
        <is>
          <t>A 30796-2023</t>
        </is>
      </c>
      <c r="B3120" s="1" t="n">
        <v>45112</v>
      </c>
      <c r="C3120" s="1" t="n">
        <v>45358</v>
      </c>
      <c r="D3120" t="inlineStr">
        <is>
          <t>HALLANDS LÄN</t>
        </is>
      </c>
      <c r="E3120" t="inlineStr">
        <is>
          <t>LAHOLM</t>
        </is>
      </c>
      <c r="G3120" t="n">
        <v>2.3</v>
      </c>
      <c r="H3120" t="n">
        <v>0</v>
      </c>
      <c r="I3120" t="n">
        <v>0</v>
      </c>
      <c r="J3120" t="n">
        <v>0</v>
      </c>
      <c r="K3120" t="n">
        <v>0</v>
      </c>
      <c r="L3120" t="n">
        <v>0</v>
      </c>
      <c r="M3120" t="n">
        <v>0</v>
      </c>
      <c r="N3120" t="n">
        <v>0</v>
      </c>
      <c r="O3120" t="n">
        <v>0</v>
      </c>
      <c r="P3120" t="n">
        <v>0</v>
      </c>
      <c r="Q3120" t="n">
        <v>0</v>
      </c>
      <c r="R3120" s="2" t="inlineStr"/>
    </row>
    <row r="3121" ht="15" customHeight="1">
      <c r="A3121" t="inlineStr">
        <is>
          <t>A 30797-2023</t>
        </is>
      </c>
      <c r="B3121" s="1" t="n">
        <v>45112</v>
      </c>
      <c r="C3121" s="1" t="n">
        <v>45358</v>
      </c>
      <c r="D3121" t="inlineStr">
        <is>
          <t>HALLANDS LÄN</t>
        </is>
      </c>
      <c r="E3121" t="inlineStr">
        <is>
          <t>LAHOLM</t>
        </is>
      </c>
      <c r="G3121" t="n">
        <v>1.1</v>
      </c>
      <c r="H3121" t="n">
        <v>0</v>
      </c>
      <c r="I3121" t="n">
        <v>0</v>
      </c>
      <c r="J3121" t="n">
        <v>0</v>
      </c>
      <c r="K3121" t="n">
        <v>0</v>
      </c>
      <c r="L3121" t="n">
        <v>0</v>
      </c>
      <c r="M3121" t="n">
        <v>0</v>
      </c>
      <c r="N3121" t="n">
        <v>0</v>
      </c>
      <c r="O3121" t="n">
        <v>0</v>
      </c>
      <c r="P3121" t="n">
        <v>0</v>
      </c>
      <c r="Q3121" t="n">
        <v>0</v>
      </c>
      <c r="R3121" s="2" t="inlineStr"/>
    </row>
    <row r="3122" ht="15" customHeight="1">
      <c r="A3122" t="inlineStr">
        <is>
          <t>A 30798-2023</t>
        </is>
      </c>
      <c r="B3122" s="1" t="n">
        <v>45112</v>
      </c>
      <c r="C3122" s="1" t="n">
        <v>45358</v>
      </c>
      <c r="D3122" t="inlineStr">
        <is>
          <t>HALLANDS LÄN</t>
        </is>
      </c>
      <c r="E3122" t="inlineStr">
        <is>
          <t>LAHOLM</t>
        </is>
      </c>
      <c r="G3122" t="n">
        <v>0.5</v>
      </c>
      <c r="H3122" t="n">
        <v>0</v>
      </c>
      <c r="I3122" t="n">
        <v>0</v>
      </c>
      <c r="J3122" t="n">
        <v>0</v>
      </c>
      <c r="K3122" t="n">
        <v>0</v>
      </c>
      <c r="L3122" t="n">
        <v>0</v>
      </c>
      <c r="M3122" t="n">
        <v>0</v>
      </c>
      <c r="N3122" t="n">
        <v>0</v>
      </c>
      <c r="O3122" t="n">
        <v>0</v>
      </c>
      <c r="P3122" t="n">
        <v>0</v>
      </c>
      <c r="Q3122" t="n">
        <v>0</v>
      </c>
      <c r="R3122" s="2" t="inlineStr"/>
    </row>
    <row r="3123" ht="15" customHeight="1">
      <c r="A3123" t="inlineStr">
        <is>
          <t>A 30868-2023</t>
        </is>
      </c>
      <c r="B3123" s="1" t="n">
        <v>45113</v>
      </c>
      <c r="C3123" s="1" t="n">
        <v>45358</v>
      </c>
      <c r="D3123" t="inlineStr">
        <is>
          <t>HALLANDS LÄN</t>
        </is>
      </c>
      <c r="E3123" t="inlineStr">
        <is>
          <t>LAHOLM</t>
        </is>
      </c>
      <c r="G3123" t="n">
        <v>0.7</v>
      </c>
      <c r="H3123" t="n">
        <v>0</v>
      </c>
      <c r="I3123" t="n">
        <v>0</v>
      </c>
      <c r="J3123" t="n">
        <v>0</v>
      </c>
      <c r="K3123" t="n">
        <v>0</v>
      </c>
      <c r="L3123" t="n">
        <v>0</v>
      </c>
      <c r="M3123" t="n">
        <v>0</v>
      </c>
      <c r="N3123" t="n">
        <v>0</v>
      </c>
      <c r="O3123" t="n">
        <v>0</v>
      </c>
      <c r="P3123" t="n">
        <v>0</v>
      </c>
      <c r="Q3123" t="n">
        <v>0</v>
      </c>
      <c r="R3123" s="2" t="inlineStr"/>
    </row>
    <row r="3124" ht="15" customHeight="1">
      <c r="A3124" t="inlineStr">
        <is>
          <t>A 30937-2023</t>
        </is>
      </c>
      <c r="B3124" s="1" t="n">
        <v>45113</v>
      </c>
      <c r="C3124" s="1" t="n">
        <v>45358</v>
      </c>
      <c r="D3124" t="inlineStr">
        <is>
          <t>HALLANDS LÄN</t>
        </is>
      </c>
      <c r="E3124" t="inlineStr">
        <is>
          <t>FALKENBERG</t>
        </is>
      </c>
      <c r="G3124" t="n">
        <v>1.4</v>
      </c>
      <c r="H3124" t="n">
        <v>0</v>
      </c>
      <c r="I3124" t="n">
        <v>0</v>
      </c>
      <c r="J3124" t="n">
        <v>0</v>
      </c>
      <c r="K3124" t="n">
        <v>0</v>
      </c>
      <c r="L3124" t="n">
        <v>0</v>
      </c>
      <c r="M3124" t="n">
        <v>0</v>
      </c>
      <c r="N3124" t="n">
        <v>0</v>
      </c>
      <c r="O3124" t="n">
        <v>0</v>
      </c>
      <c r="P3124" t="n">
        <v>0</v>
      </c>
      <c r="Q3124" t="n">
        <v>0</v>
      </c>
      <c r="R3124" s="2" t="inlineStr"/>
    </row>
    <row r="3125" ht="15" customHeight="1">
      <c r="A3125" t="inlineStr">
        <is>
          <t>A 30941-2023</t>
        </is>
      </c>
      <c r="B3125" s="1" t="n">
        <v>45113</v>
      </c>
      <c r="C3125" s="1" t="n">
        <v>45358</v>
      </c>
      <c r="D3125" t="inlineStr">
        <is>
          <t>HALLANDS LÄN</t>
        </is>
      </c>
      <c r="E3125" t="inlineStr">
        <is>
          <t>VARBERG</t>
        </is>
      </c>
      <c r="G3125" t="n">
        <v>1</v>
      </c>
      <c r="H3125" t="n">
        <v>0</v>
      </c>
      <c r="I3125" t="n">
        <v>0</v>
      </c>
      <c r="J3125" t="n">
        <v>0</v>
      </c>
      <c r="K3125" t="n">
        <v>0</v>
      </c>
      <c r="L3125" t="n">
        <v>0</v>
      </c>
      <c r="M3125" t="n">
        <v>0</v>
      </c>
      <c r="N3125" t="n">
        <v>0</v>
      </c>
      <c r="O3125" t="n">
        <v>0</v>
      </c>
      <c r="P3125" t="n">
        <v>0</v>
      </c>
      <c r="Q3125" t="n">
        <v>0</v>
      </c>
      <c r="R3125" s="2" t="inlineStr"/>
    </row>
    <row r="3126" ht="15" customHeight="1">
      <c r="A3126" t="inlineStr">
        <is>
          <t>A 30862-2023</t>
        </is>
      </c>
      <c r="B3126" s="1" t="n">
        <v>45113</v>
      </c>
      <c r="C3126" s="1" t="n">
        <v>45358</v>
      </c>
      <c r="D3126" t="inlineStr">
        <is>
          <t>HALLANDS LÄN</t>
        </is>
      </c>
      <c r="E3126" t="inlineStr">
        <is>
          <t>FALKENBERG</t>
        </is>
      </c>
      <c r="G3126" t="n">
        <v>1.5</v>
      </c>
      <c r="H3126" t="n">
        <v>0</v>
      </c>
      <c r="I3126" t="n">
        <v>0</v>
      </c>
      <c r="J3126" t="n">
        <v>0</v>
      </c>
      <c r="K3126" t="n">
        <v>0</v>
      </c>
      <c r="L3126" t="n">
        <v>0</v>
      </c>
      <c r="M3126" t="n">
        <v>0</v>
      </c>
      <c r="N3126" t="n">
        <v>0</v>
      </c>
      <c r="O3126" t="n">
        <v>0</v>
      </c>
      <c r="P3126" t="n">
        <v>0</v>
      </c>
      <c r="Q3126" t="n">
        <v>0</v>
      </c>
      <c r="R3126" s="2" t="inlineStr"/>
    </row>
    <row r="3127" ht="15" customHeight="1">
      <c r="A3127" t="inlineStr">
        <is>
          <t>A 30926-2023</t>
        </is>
      </c>
      <c r="B3127" s="1" t="n">
        <v>45113</v>
      </c>
      <c r="C3127" s="1" t="n">
        <v>45358</v>
      </c>
      <c r="D3127" t="inlineStr">
        <is>
          <t>HALLANDS LÄN</t>
        </is>
      </c>
      <c r="E3127" t="inlineStr">
        <is>
          <t>VARBERG</t>
        </is>
      </c>
      <c r="G3127" t="n">
        <v>8.4</v>
      </c>
      <c r="H3127" t="n">
        <v>0</v>
      </c>
      <c r="I3127" t="n">
        <v>0</v>
      </c>
      <c r="J3127" t="n">
        <v>0</v>
      </c>
      <c r="K3127" t="n">
        <v>0</v>
      </c>
      <c r="L3127" t="n">
        <v>0</v>
      </c>
      <c r="M3127" t="n">
        <v>0</v>
      </c>
      <c r="N3127" t="n">
        <v>0</v>
      </c>
      <c r="O3127" t="n">
        <v>0</v>
      </c>
      <c r="P3127" t="n">
        <v>0</v>
      </c>
      <c r="Q3127" t="n">
        <v>0</v>
      </c>
      <c r="R3127" s="2" t="inlineStr"/>
    </row>
    <row r="3128" ht="15" customHeight="1">
      <c r="A3128" t="inlineStr">
        <is>
          <t>A 30996-2023</t>
        </is>
      </c>
      <c r="B3128" s="1" t="n">
        <v>45113</v>
      </c>
      <c r="C3128" s="1" t="n">
        <v>45358</v>
      </c>
      <c r="D3128" t="inlineStr">
        <is>
          <t>HALLANDS LÄN</t>
        </is>
      </c>
      <c r="E3128" t="inlineStr">
        <is>
          <t>KUNGSBACKA</t>
        </is>
      </c>
      <c r="G3128" t="n">
        <v>1.2</v>
      </c>
      <c r="H3128" t="n">
        <v>0</v>
      </c>
      <c r="I3128" t="n">
        <v>0</v>
      </c>
      <c r="J3128" t="n">
        <v>0</v>
      </c>
      <c r="K3128" t="n">
        <v>0</v>
      </c>
      <c r="L3128" t="n">
        <v>0</v>
      </c>
      <c r="M3128" t="n">
        <v>0</v>
      </c>
      <c r="N3128" t="n">
        <v>0</v>
      </c>
      <c r="O3128" t="n">
        <v>0</v>
      </c>
      <c r="P3128" t="n">
        <v>0</v>
      </c>
      <c r="Q3128" t="n">
        <v>0</v>
      </c>
      <c r="R3128" s="2" t="inlineStr"/>
    </row>
    <row r="3129" ht="15" customHeight="1">
      <c r="A3129" t="inlineStr">
        <is>
          <t>A 31000-2023</t>
        </is>
      </c>
      <c r="B3129" s="1" t="n">
        <v>45113</v>
      </c>
      <c r="C3129" s="1" t="n">
        <v>45358</v>
      </c>
      <c r="D3129" t="inlineStr">
        <is>
          <t>HALLANDS LÄN</t>
        </is>
      </c>
      <c r="E3129" t="inlineStr">
        <is>
          <t>KUNGSBACKA</t>
        </is>
      </c>
      <c r="G3129" t="n">
        <v>1.2</v>
      </c>
      <c r="H3129" t="n">
        <v>0</v>
      </c>
      <c r="I3129" t="n">
        <v>0</v>
      </c>
      <c r="J3129" t="n">
        <v>0</v>
      </c>
      <c r="K3129" t="n">
        <v>0</v>
      </c>
      <c r="L3129" t="n">
        <v>0</v>
      </c>
      <c r="M3129" t="n">
        <v>0</v>
      </c>
      <c r="N3129" t="n">
        <v>0</v>
      </c>
      <c r="O3129" t="n">
        <v>0</v>
      </c>
      <c r="P3129" t="n">
        <v>0</v>
      </c>
      <c r="Q3129" t="n">
        <v>0</v>
      </c>
      <c r="R3129" s="2" t="inlineStr"/>
    </row>
    <row r="3130" ht="15" customHeight="1">
      <c r="A3130" t="inlineStr">
        <is>
          <t>A 31087-2023</t>
        </is>
      </c>
      <c r="B3130" s="1" t="n">
        <v>45113</v>
      </c>
      <c r="C3130" s="1" t="n">
        <v>45358</v>
      </c>
      <c r="D3130" t="inlineStr">
        <is>
          <t>HALLANDS LÄN</t>
        </is>
      </c>
      <c r="E3130" t="inlineStr">
        <is>
          <t>KUNGSBACKA</t>
        </is>
      </c>
      <c r="G3130" t="n">
        <v>4.6</v>
      </c>
      <c r="H3130" t="n">
        <v>0</v>
      </c>
      <c r="I3130" t="n">
        <v>0</v>
      </c>
      <c r="J3130" t="n">
        <v>0</v>
      </c>
      <c r="K3130" t="n">
        <v>0</v>
      </c>
      <c r="L3130" t="n">
        <v>0</v>
      </c>
      <c r="M3130" t="n">
        <v>0</v>
      </c>
      <c r="N3130" t="n">
        <v>0</v>
      </c>
      <c r="O3130" t="n">
        <v>0</v>
      </c>
      <c r="P3130" t="n">
        <v>0</v>
      </c>
      <c r="Q3130" t="n">
        <v>0</v>
      </c>
      <c r="R3130" s="2" t="inlineStr"/>
    </row>
    <row r="3131" ht="15" customHeight="1">
      <c r="A3131" t="inlineStr">
        <is>
          <t>A 31114-2023</t>
        </is>
      </c>
      <c r="B3131" s="1" t="n">
        <v>45113</v>
      </c>
      <c r="C3131" s="1" t="n">
        <v>45358</v>
      </c>
      <c r="D3131" t="inlineStr">
        <is>
          <t>HALLANDS LÄN</t>
        </is>
      </c>
      <c r="E3131" t="inlineStr">
        <is>
          <t>VARBERG</t>
        </is>
      </c>
      <c r="G3131" t="n">
        <v>1.4</v>
      </c>
      <c r="H3131" t="n">
        <v>0</v>
      </c>
      <c r="I3131" t="n">
        <v>0</v>
      </c>
      <c r="J3131" t="n">
        <v>0</v>
      </c>
      <c r="K3131" t="n">
        <v>0</v>
      </c>
      <c r="L3131" t="n">
        <v>0</v>
      </c>
      <c r="M3131" t="n">
        <v>0</v>
      </c>
      <c r="N3131" t="n">
        <v>0</v>
      </c>
      <c r="O3131" t="n">
        <v>0</v>
      </c>
      <c r="P3131" t="n">
        <v>0</v>
      </c>
      <c r="Q3131" t="n">
        <v>0</v>
      </c>
      <c r="R3131" s="2" t="inlineStr"/>
    </row>
    <row r="3132" ht="15" customHeight="1">
      <c r="A3132" t="inlineStr">
        <is>
          <t>A 31233-2023</t>
        </is>
      </c>
      <c r="B3132" s="1" t="n">
        <v>45114</v>
      </c>
      <c r="C3132" s="1" t="n">
        <v>45358</v>
      </c>
      <c r="D3132" t="inlineStr">
        <is>
          <t>HALLANDS LÄN</t>
        </is>
      </c>
      <c r="E3132" t="inlineStr">
        <is>
          <t>LAHOLM</t>
        </is>
      </c>
      <c r="G3132" t="n">
        <v>2.1</v>
      </c>
      <c r="H3132" t="n">
        <v>0</v>
      </c>
      <c r="I3132" t="n">
        <v>0</v>
      </c>
      <c r="J3132" t="n">
        <v>0</v>
      </c>
      <c r="K3132" t="n">
        <v>0</v>
      </c>
      <c r="L3132" t="n">
        <v>0</v>
      </c>
      <c r="M3132" t="n">
        <v>0</v>
      </c>
      <c r="N3132" t="n">
        <v>0</v>
      </c>
      <c r="O3132" t="n">
        <v>0</v>
      </c>
      <c r="P3132" t="n">
        <v>0</v>
      </c>
      <c r="Q3132" t="n">
        <v>0</v>
      </c>
      <c r="R3132" s="2" t="inlineStr"/>
    </row>
    <row r="3133" ht="15" customHeight="1">
      <c r="A3133" t="inlineStr">
        <is>
          <t>A 31222-2023</t>
        </is>
      </c>
      <c r="B3133" s="1" t="n">
        <v>45114</v>
      </c>
      <c r="C3133" s="1" t="n">
        <v>45358</v>
      </c>
      <c r="D3133" t="inlineStr">
        <is>
          <t>HALLANDS LÄN</t>
        </is>
      </c>
      <c r="E3133" t="inlineStr">
        <is>
          <t>LAHOLM</t>
        </is>
      </c>
      <c r="G3133" t="n">
        <v>0.9</v>
      </c>
      <c r="H3133" t="n">
        <v>0</v>
      </c>
      <c r="I3133" t="n">
        <v>0</v>
      </c>
      <c r="J3133" t="n">
        <v>0</v>
      </c>
      <c r="K3133" t="n">
        <v>0</v>
      </c>
      <c r="L3133" t="n">
        <v>0</v>
      </c>
      <c r="M3133" t="n">
        <v>0</v>
      </c>
      <c r="N3133" t="n">
        <v>0</v>
      </c>
      <c r="O3133" t="n">
        <v>0</v>
      </c>
      <c r="P3133" t="n">
        <v>0</v>
      </c>
      <c r="Q3133" t="n">
        <v>0</v>
      </c>
      <c r="R3133" s="2" t="inlineStr"/>
    </row>
    <row r="3134" ht="15" customHeight="1">
      <c r="A3134" t="inlineStr">
        <is>
          <t>A 31265-2023</t>
        </is>
      </c>
      <c r="B3134" s="1" t="n">
        <v>45114</v>
      </c>
      <c r="C3134" s="1" t="n">
        <v>45358</v>
      </c>
      <c r="D3134" t="inlineStr">
        <is>
          <t>HALLANDS LÄN</t>
        </is>
      </c>
      <c r="E3134" t="inlineStr">
        <is>
          <t>HYLTE</t>
        </is>
      </c>
      <c r="G3134" t="n">
        <v>0.3</v>
      </c>
      <c r="H3134" t="n">
        <v>0</v>
      </c>
      <c r="I3134" t="n">
        <v>0</v>
      </c>
      <c r="J3134" t="n">
        <v>0</v>
      </c>
      <c r="K3134" t="n">
        <v>0</v>
      </c>
      <c r="L3134" t="n">
        <v>0</v>
      </c>
      <c r="M3134" t="n">
        <v>0</v>
      </c>
      <c r="N3134" t="n">
        <v>0</v>
      </c>
      <c r="O3134" t="n">
        <v>0</v>
      </c>
      <c r="P3134" t="n">
        <v>0</v>
      </c>
      <c r="Q3134" t="n">
        <v>0</v>
      </c>
      <c r="R3134" s="2" t="inlineStr"/>
    </row>
    <row r="3135" ht="15" customHeight="1">
      <c r="A3135" t="inlineStr">
        <is>
          <t>A 31568-2023</t>
        </is>
      </c>
      <c r="B3135" s="1" t="n">
        <v>45117</v>
      </c>
      <c r="C3135" s="1" t="n">
        <v>45358</v>
      </c>
      <c r="D3135" t="inlineStr">
        <is>
          <t>HALLANDS LÄN</t>
        </is>
      </c>
      <c r="E3135" t="inlineStr">
        <is>
          <t>FALKENBERG</t>
        </is>
      </c>
      <c r="G3135" t="n">
        <v>0.4</v>
      </c>
      <c r="H3135" t="n">
        <v>0</v>
      </c>
      <c r="I3135" t="n">
        <v>0</v>
      </c>
      <c r="J3135" t="n">
        <v>0</v>
      </c>
      <c r="K3135" t="n">
        <v>0</v>
      </c>
      <c r="L3135" t="n">
        <v>0</v>
      </c>
      <c r="M3135" t="n">
        <v>0</v>
      </c>
      <c r="N3135" t="n">
        <v>0</v>
      </c>
      <c r="O3135" t="n">
        <v>0</v>
      </c>
      <c r="P3135" t="n">
        <v>0</v>
      </c>
      <c r="Q3135" t="n">
        <v>0</v>
      </c>
      <c r="R3135" s="2" t="inlineStr"/>
    </row>
    <row r="3136" ht="15" customHeight="1">
      <c r="A3136" t="inlineStr">
        <is>
          <t>A 31650-2023</t>
        </is>
      </c>
      <c r="B3136" s="1" t="n">
        <v>45117</v>
      </c>
      <c r="C3136" s="1" t="n">
        <v>45358</v>
      </c>
      <c r="D3136" t="inlineStr">
        <is>
          <t>HALLANDS LÄN</t>
        </is>
      </c>
      <c r="E3136" t="inlineStr">
        <is>
          <t>HYLTE</t>
        </is>
      </c>
      <c r="G3136" t="n">
        <v>1.6</v>
      </c>
      <c r="H3136" t="n">
        <v>0</v>
      </c>
      <c r="I3136" t="n">
        <v>0</v>
      </c>
      <c r="J3136" t="n">
        <v>0</v>
      </c>
      <c r="K3136" t="n">
        <v>0</v>
      </c>
      <c r="L3136" t="n">
        <v>0</v>
      </c>
      <c r="M3136" t="n">
        <v>0</v>
      </c>
      <c r="N3136" t="n">
        <v>0</v>
      </c>
      <c r="O3136" t="n">
        <v>0</v>
      </c>
      <c r="P3136" t="n">
        <v>0</v>
      </c>
      <c r="Q3136" t="n">
        <v>0</v>
      </c>
      <c r="R3136" s="2" t="inlineStr"/>
    </row>
    <row r="3137" ht="15" customHeight="1">
      <c r="A3137" t="inlineStr">
        <is>
          <t>A 31631-2023</t>
        </is>
      </c>
      <c r="B3137" s="1" t="n">
        <v>45117</v>
      </c>
      <c r="C3137" s="1" t="n">
        <v>45358</v>
      </c>
      <c r="D3137" t="inlineStr">
        <is>
          <t>HALLANDS LÄN</t>
        </is>
      </c>
      <c r="E3137" t="inlineStr">
        <is>
          <t>LAHOLM</t>
        </is>
      </c>
      <c r="F3137" t="inlineStr">
        <is>
          <t>Sveaskog</t>
        </is>
      </c>
      <c r="G3137" t="n">
        <v>5.9</v>
      </c>
      <c r="H3137" t="n">
        <v>0</v>
      </c>
      <c r="I3137" t="n">
        <v>0</v>
      </c>
      <c r="J3137" t="n">
        <v>0</v>
      </c>
      <c r="K3137" t="n">
        <v>0</v>
      </c>
      <c r="L3137" t="n">
        <v>0</v>
      </c>
      <c r="M3137" t="n">
        <v>0</v>
      </c>
      <c r="N3137" t="n">
        <v>0</v>
      </c>
      <c r="O3137" t="n">
        <v>0</v>
      </c>
      <c r="P3137" t="n">
        <v>0</v>
      </c>
      <c r="Q3137" t="n">
        <v>0</v>
      </c>
      <c r="R3137" s="2" t="inlineStr"/>
    </row>
    <row r="3138" ht="15" customHeight="1">
      <c r="A3138" t="inlineStr">
        <is>
          <t>A 31570-2023</t>
        </is>
      </c>
      <c r="B3138" s="1" t="n">
        <v>45117</v>
      </c>
      <c r="C3138" s="1" t="n">
        <v>45358</v>
      </c>
      <c r="D3138" t="inlineStr">
        <is>
          <t>HALLANDS LÄN</t>
        </is>
      </c>
      <c r="E3138" t="inlineStr">
        <is>
          <t>FALKENBERG</t>
        </is>
      </c>
      <c r="G3138" t="n">
        <v>0.6</v>
      </c>
      <c r="H3138" t="n">
        <v>0</v>
      </c>
      <c r="I3138" t="n">
        <v>0</v>
      </c>
      <c r="J3138" t="n">
        <v>0</v>
      </c>
      <c r="K3138" t="n">
        <v>0</v>
      </c>
      <c r="L3138" t="n">
        <v>0</v>
      </c>
      <c r="M3138" t="n">
        <v>0</v>
      </c>
      <c r="N3138" t="n">
        <v>0</v>
      </c>
      <c r="O3138" t="n">
        <v>0</v>
      </c>
      <c r="P3138" t="n">
        <v>0</v>
      </c>
      <c r="Q3138" t="n">
        <v>0</v>
      </c>
      <c r="R3138" s="2" t="inlineStr"/>
    </row>
    <row r="3139" ht="15" customHeight="1">
      <c r="A3139" t="inlineStr">
        <is>
          <t>A 31656-2023</t>
        </is>
      </c>
      <c r="B3139" s="1" t="n">
        <v>45117</v>
      </c>
      <c r="C3139" s="1" t="n">
        <v>45358</v>
      </c>
      <c r="D3139" t="inlineStr">
        <is>
          <t>HALLANDS LÄN</t>
        </is>
      </c>
      <c r="E3139" t="inlineStr">
        <is>
          <t>HALMSTAD</t>
        </is>
      </c>
      <c r="G3139" t="n">
        <v>0.7</v>
      </c>
      <c r="H3139" t="n">
        <v>0</v>
      </c>
      <c r="I3139" t="n">
        <v>0</v>
      </c>
      <c r="J3139" t="n">
        <v>0</v>
      </c>
      <c r="K3139" t="n">
        <v>0</v>
      </c>
      <c r="L3139" t="n">
        <v>0</v>
      </c>
      <c r="M3139" t="n">
        <v>0</v>
      </c>
      <c r="N3139" t="n">
        <v>0</v>
      </c>
      <c r="O3139" t="n">
        <v>0</v>
      </c>
      <c r="P3139" t="n">
        <v>0</v>
      </c>
      <c r="Q3139" t="n">
        <v>0</v>
      </c>
      <c r="R3139" s="2" t="inlineStr"/>
    </row>
    <row r="3140" ht="15" customHeight="1">
      <c r="A3140" t="inlineStr">
        <is>
          <t>A 31835-2023</t>
        </is>
      </c>
      <c r="B3140" s="1" t="n">
        <v>45118</v>
      </c>
      <c r="C3140" s="1" t="n">
        <v>45358</v>
      </c>
      <c r="D3140" t="inlineStr">
        <is>
          <t>HALLANDS LÄN</t>
        </is>
      </c>
      <c r="E3140" t="inlineStr">
        <is>
          <t>HYLTE</t>
        </is>
      </c>
      <c r="G3140" t="n">
        <v>1.9</v>
      </c>
      <c r="H3140" t="n">
        <v>0</v>
      </c>
      <c r="I3140" t="n">
        <v>0</v>
      </c>
      <c r="J3140" t="n">
        <v>0</v>
      </c>
      <c r="K3140" t="n">
        <v>0</v>
      </c>
      <c r="L3140" t="n">
        <v>0</v>
      </c>
      <c r="M3140" t="n">
        <v>0</v>
      </c>
      <c r="N3140" t="n">
        <v>0</v>
      </c>
      <c r="O3140" t="n">
        <v>0</v>
      </c>
      <c r="P3140" t="n">
        <v>0</v>
      </c>
      <c r="Q3140" t="n">
        <v>0</v>
      </c>
      <c r="R3140" s="2" t="inlineStr"/>
    </row>
    <row r="3141" ht="15" customHeight="1">
      <c r="A3141" t="inlineStr">
        <is>
          <t>A 31885-2023</t>
        </is>
      </c>
      <c r="B3141" s="1" t="n">
        <v>45118</v>
      </c>
      <c r="C3141" s="1" t="n">
        <v>45358</v>
      </c>
      <c r="D3141" t="inlineStr">
        <is>
          <t>HALLANDS LÄN</t>
        </is>
      </c>
      <c r="E3141" t="inlineStr">
        <is>
          <t>KUNGSBACKA</t>
        </is>
      </c>
      <c r="G3141" t="n">
        <v>1.3</v>
      </c>
      <c r="H3141" t="n">
        <v>0</v>
      </c>
      <c r="I3141" t="n">
        <v>0</v>
      </c>
      <c r="J3141" t="n">
        <v>0</v>
      </c>
      <c r="K3141" t="n">
        <v>0</v>
      </c>
      <c r="L3141" t="n">
        <v>0</v>
      </c>
      <c r="M3141" t="n">
        <v>0</v>
      </c>
      <c r="N3141" t="n">
        <v>0</v>
      </c>
      <c r="O3141" t="n">
        <v>0</v>
      </c>
      <c r="P3141" t="n">
        <v>0</v>
      </c>
      <c r="Q3141" t="n">
        <v>0</v>
      </c>
      <c r="R3141" s="2" t="inlineStr"/>
    </row>
    <row r="3142" ht="15" customHeight="1">
      <c r="A3142" t="inlineStr">
        <is>
          <t>A 31856-2023</t>
        </is>
      </c>
      <c r="B3142" s="1" t="n">
        <v>45118</v>
      </c>
      <c r="C3142" s="1" t="n">
        <v>45358</v>
      </c>
      <c r="D3142" t="inlineStr">
        <is>
          <t>HALLANDS LÄN</t>
        </is>
      </c>
      <c r="E3142" t="inlineStr">
        <is>
          <t>FALKENBERG</t>
        </is>
      </c>
      <c r="G3142" t="n">
        <v>2.5</v>
      </c>
      <c r="H3142" t="n">
        <v>0</v>
      </c>
      <c r="I3142" t="n">
        <v>0</v>
      </c>
      <c r="J3142" t="n">
        <v>0</v>
      </c>
      <c r="K3142" t="n">
        <v>0</v>
      </c>
      <c r="L3142" t="n">
        <v>0</v>
      </c>
      <c r="M3142" t="n">
        <v>0</v>
      </c>
      <c r="N3142" t="n">
        <v>0</v>
      </c>
      <c r="O3142" t="n">
        <v>0</v>
      </c>
      <c r="P3142" t="n">
        <v>0</v>
      </c>
      <c r="Q3142" t="n">
        <v>0</v>
      </c>
      <c r="R3142" s="2" t="inlineStr"/>
    </row>
    <row r="3143" ht="15" customHeight="1">
      <c r="A3143" t="inlineStr">
        <is>
          <t>A 31937-2023</t>
        </is>
      </c>
      <c r="B3143" s="1" t="n">
        <v>45119</v>
      </c>
      <c r="C3143" s="1" t="n">
        <v>45358</v>
      </c>
      <c r="D3143" t="inlineStr">
        <is>
          <t>HALLANDS LÄN</t>
        </is>
      </c>
      <c r="E3143" t="inlineStr">
        <is>
          <t>LAHOLM</t>
        </is>
      </c>
      <c r="G3143" t="n">
        <v>12.9</v>
      </c>
      <c r="H3143" t="n">
        <v>0</v>
      </c>
      <c r="I3143" t="n">
        <v>0</v>
      </c>
      <c r="J3143" t="n">
        <v>0</v>
      </c>
      <c r="K3143" t="n">
        <v>0</v>
      </c>
      <c r="L3143" t="n">
        <v>0</v>
      </c>
      <c r="M3143" t="n">
        <v>0</v>
      </c>
      <c r="N3143" t="n">
        <v>0</v>
      </c>
      <c r="O3143" t="n">
        <v>0</v>
      </c>
      <c r="P3143" t="n">
        <v>0</v>
      </c>
      <c r="Q3143" t="n">
        <v>0</v>
      </c>
      <c r="R3143" s="2" t="inlineStr"/>
    </row>
    <row r="3144" ht="15" customHeight="1">
      <c r="A3144" t="inlineStr">
        <is>
          <t>A 31997-2023</t>
        </is>
      </c>
      <c r="B3144" s="1" t="n">
        <v>45119</v>
      </c>
      <c r="C3144" s="1" t="n">
        <v>45358</v>
      </c>
      <c r="D3144" t="inlineStr">
        <is>
          <t>HALLANDS LÄN</t>
        </is>
      </c>
      <c r="E3144" t="inlineStr">
        <is>
          <t>VARBERG</t>
        </is>
      </c>
      <c r="G3144" t="n">
        <v>10.3</v>
      </c>
      <c r="H3144" t="n">
        <v>0</v>
      </c>
      <c r="I3144" t="n">
        <v>0</v>
      </c>
      <c r="J3144" t="n">
        <v>0</v>
      </c>
      <c r="K3144" t="n">
        <v>0</v>
      </c>
      <c r="L3144" t="n">
        <v>0</v>
      </c>
      <c r="M3144" t="n">
        <v>0</v>
      </c>
      <c r="N3144" t="n">
        <v>0</v>
      </c>
      <c r="O3144" t="n">
        <v>0</v>
      </c>
      <c r="P3144" t="n">
        <v>0</v>
      </c>
      <c r="Q3144" t="n">
        <v>0</v>
      </c>
      <c r="R3144" s="2" t="inlineStr"/>
    </row>
    <row r="3145" ht="15" customHeight="1">
      <c r="A3145" t="inlineStr">
        <is>
          <t>A 32178-2023</t>
        </is>
      </c>
      <c r="B3145" s="1" t="n">
        <v>45119</v>
      </c>
      <c r="C3145" s="1" t="n">
        <v>45358</v>
      </c>
      <c r="D3145" t="inlineStr">
        <is>
          <t>HALLANDS LÄN</t>
        </is>
      </c>
      <c r="E3145" t="inlineStr">
        <is>
          <t>KUNGSBACKA</t>
        </is>
      </c>
      <c r="G3145" t="n">
        <v>7.3</v>
      </c>
      <c r="H3145" t="n">
        <v>0</v>
      </c>
      <c r="I3145" t="n">
        <v>0</v>
      </c>
      <c r="J3145" t="n">
        <v>0</v>
      </c>
      <c r="K3145" t="n">
        <v>0</v>
      </c>
      <c r="L3145" t="n">
        <v>0</v>
      </c>
      <c r="M3145" t="n">
        <v>0</v>
      </c>
      <c r="N3145" t="n">
        <v>0</v>
      </c>
      <c r="O3145" t="n">
        <v>0</v>
      </c>
      <c r="P3145" t="n">
        <v>0</v>
      </c>
      <c r="Q3145" t="n">
        <v>0</v>
      </c>
      <c r="R3145" s="2" t="inlineStr"/>
    </row>
    <row r="3146" ht="15" customHeight="1">
      <c r="A3146" t="inlineStr">
        <is>
          <t>A 31939-2023</t>
        </is>
      </c>
      <c r="B3146" s="1" t="n">
        <v>45119</v>
      </c>
      <c r="C3146" s="1" t="n">
        <v>45358</v>
      </c>
      <c r="D3146" t="inlineStr">
        <is>
          <t>HALLANDS LÄN</t>
        </is>
      </c>
      <c r="E3146" t="inlineStr">
        <is>
          <t>LAHOLM</t>
        </is>
      </c>
      <c r="G3146" t="n">
        <v>4.5</v>
      </c>
      <c r="H3146" t="n">
        <v>0</v>
      </c>
      <c r="I3146" t="n">
        <v>0</v>
      </c>
      <c r="J3146" t="n">
        <v>0</v>
      </c>
      <c r="K3146" t="n">
        <v>0</v>
      </c>
      <c r="L3146" t="n">
        <v>0</v>
      </c>
      <c r="M3146" t="n">
        <v>0</v>
      </c>
      <c r="N3146" t="n">
        <v>0</v>
      </c>
      <c r="O3146" t="n">
        <v>0</v>
      </c>
      <c r="P3146" t="n">
        <v>0</v>
      </c>
      <c r="Q3146" t="n">
        <v>0</v>
      </c>
      <c r="R3146" s="2" t="inlineStr"/>
    </row>
    <row r="3147" ht="15" customHeight="1">
      <c r="A3147" t="inlineStr">
        <is>
          <t>A 31940-2023</t>
        </is>
      </c>
      <c r="B3147" s="1" t="n">
        <v>45119</v>
      </c>
      <c r="C3147" s="1" t="n">
        <v>45358</v>
      </c>
      <c r="D3147" t="inlineStr">
        <is>
          <t>HALLANDS LÄN</t>
        </is>
      </c>
      <c r="E3147" t="inlineStr">
        <is>
          <t>LAHOLM</t>
        </is>
      </c>
      <c r="G3147" t="n">
        <v>1.4</v>
      </c>
      <c r="H3147" t="n">
        <v>0</v>
      </c>
      <c r="I3147" t="n">
        <v>0</v>
      </c>
      <c r="J3147" t="n">
        <v>0</v>
      </c>
      <c r="K3147" t="n">
        <v>0</v>
      </c>
      <c r="L3147" t="n">
        <v>0</v>
      </c>
      <c r="M3147" t="n">
        <v>0</v>
      </c>
      <c r="N3147" t="n">
        <v>0</v>
      </c>
      <c r="O3147" t="n">
        <v>0</v>
      </c>
      <c r="P3147" t="n">
        <v>0</v>
      </c>
      <c r="Q3147" t="n">
        <v>0</v>
      </c>
      <c r="R3147" s="2" t="inlineStr"/>
    </row>
    <row r="3148" ht="15" customHeight="1">
      <c r="A3148" t="inlineStr">
        <is>
          <t>A 32003-2023</t>
        </is>
      </c>
      <c r="B3148" s="1" t="n">
        <v>45119</v>
      </c>
      <c r="C3148" s="1" t="n">
        <v>45358</v>
      </c>
      <c r="D3148" t="inlineStr">
        <is>
          <t>HALLANDS LÄN</t>
        </is>
      </c>
      <c r="E3148" t="inlineStr">
        <is>
          <t>FALKENBERG</t>
        </is>
      </c>
      <c r="G3148" t="n">
        <v>10.8</v>
      </c>
      <c r="H3148" t="n">
        <v>0</v>
      </c>
      <c r="I3148" t="n">
        <v>0</v>
      </c>
      <c r="J3148" t="n">
        <v>0</v>
      </c>
      <c r="K3148" t="n">
        <v>0</v>
      </c>
      <c r="L3148" t="n">
        <v>0</v>
      </c>
      <c r="M3148" t="n">
        <v>0</v>
      </c>
      <c r="N3148" t="n">
        <v>0</v>
      </c>
      <c r="O3148" t="n">
        <v>0</v>
      </c>
      <c r="P3148" t="n">
        <v>0</v>
      </c>
      <c r="Q3148" t="n">
        <v>0</v>
      </c>
      <c r="R3148" s="2" t="inlineStr"/>
    </row>
    <row r="3149" ht="15" customHeight="1">
      <c r="A3149" t="inlineStr">
        <is>
          <t>A 32408-2023</t>
        </is>
      </c>
      <c r="B3149" s="1" t="n">
        <v>45120</v>
      </c>
      <c r="C3149" s="1" t="n">
        <v>45358</v>
      </c>
      <c r="D3149" t="inlineStr">
        <is>
          <t>HALLANDS LÄN</t>
        </is>
      </c>
      <c r="E3149" t="inlineStr">
        <is>
          <t>FALKENBERG</t>
        </is>
      </c>
      <c r="G3149" t="n">
        <v>2.8</v>
      </c>
      <c r="H3149" t="n">
        <v>0</v>
      </c>
      <c r="I3149" t="n">
        <v>0</v>
      </c>
      <c r="J3149" t="n">
        <v>0</v>
      </c>
      <c r="K3149" t="n">
        <v>0</v>
      </c>
      <c r="L3149" t="n">
        <v>0</v>
      </c>
      <c r="M3149" t="n">
        <v>0</v>
      </c>
      <c r="N3149" t="n">
        <v>0</v>
      </c>
      <c r="O3149" t="n">
        <v>0</v>
      </c>
      <c r="P3149" t="n">
        <v>0</v>
      </c>
      <c r="Q3149" t="n">
        <v>0</v>
      </c>
      <c r="R3149" s="2" t="inlineStr"/>
    </row>
    <row r="3150" ht="15" customHeight="1">
      <c r="A3150" t="inlineStr">
        <is>
          <t>A 32402-2023</t>
        </is>
      </c>
      <c r="B3150" s="1" t="n">
        <v>45120</v>
      </c>
      <c r="C3150" s="1" t="n">
        <v>45358</v>
      </c>
      <c r="D3150" t="inlineStr">
        <is>
          <t>HALLANDS LÄN</t>
        </is>
      </c>
      <c r="E3150" t="inlineStr">
        <is>
          <t>FALKENBERG</t>
        </is>
      </c>
      <c r="G3150" t="n">
        <v>5.5</v>
      </c>
      <c r="H3150" t="n">
        <v>0</v>
      </c>
      <c r="I3150" t="n">
        <v>0</v>
      </c>
      <c r="J3150" t="n">
        <v>0</v>
      </c>
      <c r="K3150" t="n">
        <v>0</v>
      </c>
      <c r="L3150" t="n">
        <v>0</v>
      </c>
      <c r="M3150" t="n">
        <v>0</v>
      </c>
      <c r="N3150" t="n">
        <v>0</v>
      </c>
      <c r="O3150" t="n">
        <v>0</v>
      </c>
      <c r="P3150" t="n">
        <v>0</v>
      </c>
      <c r="Q3150" t="n">
        <v>0</v>
      </c>
      <c r="R3150" s="2" t="inlineStr"/>
    </row>
    <row r="3151" ht="15" customHeight="1">
      <c r="A3151" t="inlineStr">
        <is>
          <t>A 32554-2023</t>
        </is>
      </c>
      <c r="B3151" s="1" t="n">
        <v>45121</v>
      </c>
      <c r="C3151" s="1" t="n">
        <v>45358</v>
      </c>
      <c r="D3151" t="inlineStr">
        <is>
          <t>HALLANDS LÄN</t>
        </is>
      </c>
      <c r="E3151" t="inlineStr">
        <is>
          <t>LAHOLM</t>
        </is>
      </c>
      <c r="G3151" t="n">
        <v>2.4</v>
      </c>
      <c r="H3151" t="n">
        <v>0</v>
      </c>
      <c r="I3151" t="n">
        <v>0</v>
      </c>
      <c r="J3151" t="n">
        <v>0</v>
      </c>
      <c r="K3151" t="n">
        <v>0</v>
      </c>
      <c r="L3151" t="n">
        <v>0</v>
      </c>
      <c r="M3151" t="n">
        <v>0</v>
      </c>
      <c r="N3151" t="n">
        <v>0</v>
      </c>
      <c r="O3151" t="n">
        <v>0</v>
      </c>
      <c r="P3151" t="n">
        <v>0</v>
      </c>
      <c r="Q3151" t="n">
        <v>0</v>
      </c>
      <c r="R3151" s="2" t="inlineStr"/>
    </row>
    <row r="3152" ht="15" customHeight="1">
      <c r="A3152" t="inlineStr">
        <is>
          <t>A 32753-2023</t>
        </is>
      </c>
      <c r="B3152" s="1" t="n">
        <v>45122</v>
      </c>
      <c r="C3152" s="1" t="n">
        <v>45358</v>
      </c>
      <c r="D3152" t="inlineStr">
        <is>
          <t>HALLANDS LÄN</t>
        </is>
      </c>
      <c r="E3152" t="inlineStr">
        <is>
          <t>HALMSTAD</t>
        </is>
      </c>
      <c r="G3152" t="n">
        <v>2.7</v>
      </c>
      <c r="H3152" t="n">
        <v>0</v>
      </c>
      <c r="I3152" t="n">
        <v>0</v>
      </c>
      <c r="J3152" t="n">
        <v>0</v>
      </c>
      <c r="K3152" t="n">
        <v>0</v>
      </c>
      <c r="L3152" t="n">
        <v>0</v>
      </c>
      <c r="M3152" t="n">
        <v>0</v>
      </c>
      <c r="N3152" t="n">
        <v>0</v>
      </c>
      <c r="O3152" t="n">
        <v>0</v>
      </c>
      <c r="P3152" t="n">
        <v>0</v>
      </c>
      <c r="Q3152" t="n">
        <v>0</v>
      </c>
      <c r="R3152" s="2" t="inlineStr"/>
    </row>
    <row r="3153" ht="15" customHeight="1">
      <c r="A3153" t="inlineStr">
        <is>
          <t>A 32772-2023</t>
        </is>
      </c>
      <c r="B3153" s="1" t="n">
        <v>45123</v>
      </c>
      <c r="C3153" s="1" t="n">
        <v>45358</v>
      </c>
      <c r="D3153" t="inlineStr">
        <is>
          <t>HALLANDS LÄN</t>
        </is>
      </c>
      <c r="E3153" t="inlineStr">
        <is>
          <t>LAHOLM</t>
        </is>
      </c>
      <c r="G3153" t="n">
        <v>1.7</v>
      </c>
      <c r="H3153" t="n">
        <v>0</v>
      </c>
      <c r="I3153" t="n">
        <v>0</v>
      </c>
      <c r="J3153" t="n">
        <v>0</v>
      </c>
      <c r="K3153" t="n">
        <v>0</v>
      </c>
      <c r="L3153" t="n">
        <v>0</v>
      </c>
      <c r="M3153" t="n">
        <v>0</v>
      </c>
      <c r="N3153" t="n">
        <v>0</v>
      </c>
      <c r="O3153" t="n">
        <v>0</v>
      </c>
      <c r="P3153" t="n">
        <v>0</v>
      </c>
      <c r="Q3153" t="n">
        <v>0</v>
      </c>
      <c r="R3153" s="2" t="inlineStr"/>
    </row>
    <row r="3154" ht="15" customHeight="1">
      <c r="A3154" t="inlineStr">
        <is>
          <t>A 32974-2023</t>
        </is>
      </c>
      <c r="B3154" s="1" t="n">
        <v>45125</v>
      </c>
      <c r="C3154" s="1" t="n">
        <v>45358</v>
      </c>
      <c r="D3154" t="inlineStr">
        <is>
          <t>HALLANDS LÄN</t>
        </is>
      </c>
      <c r="E3154" t="inlineStr">
        <is>
          <t>VARBERG</t>
        </is>
      </c>
      <c r="G3154" t="n">
        <v>2.3</v>
      </c>
      <c r="H3154" t="n">
        <v>0</v>
      </c>
      <c r="I3154" t="n">
        <v>0</v>
      </c>
      <c r="J3154" t="n">
        <v>0</v>
      </c>
      <c r="K3154" t="n">
        <v>0</v>
      </c>
      <c r="L3154" t="n">
        <v>0</v>
      </c>
      <c r="M3154" t="n">
        <v>0</v>
      </c>
      <c r="N3154" t="n">
        <v>0</v>
      </c>
      <c r="O3154" t="n">
        <v>0</v>
      </c>
      <c r="P3154" t="n">
        <v>0</v>
      </c>
      <c r="Q3154" t="n">
        <v>0</v>
      </c>
      <c r="R3154" s="2" t="inlineStr"/>
    </row>
    <row r="3155" ht="15" customHeight="1">
      <c r="A3155" t="inlineStr">
        <is>
          <t>A 33163-2023</t>
        </is>
      </c>
      <c r="B3155" s="1" t="n">
        <v>45126</v>
      </c>
      <c r="C3155" s="1" t="n">
        <v>45358</v>
      </c>
      <c r="D3155" t="inlineStr">
        <is>
          <t>HALLANDS LÄN</t>
        </is>
      </c>
      <c r="E3155" t="inlineStr">
        <is>
          <t>LAHOLM</t>
        </is>
      </c>
      <c r="G3155" t="n">
        <v>2.8</v>
      </c>
      <c r="H3155" t="n">
        <v>0</v>
      </c>
      <c r="I3155" t="n">
        <v>0</v>
      </c>
      <c r="J3155" t="n">
        <v>0</v>
      </c>
      <c r="K3155" t="n">
        <v>0</v>
      </c>
      <c r="L3155" t="n">
        <v>0</v>
      </c>
      <c r="M3155" t="n">
        <v>0</v>
      </c>
      <c r="N3155" t="n">
        <v>0</v>
      </c>
      <c r="O3155" t="n">
        <v>0</v>
      </c>
      <c r="P3155" t="n">
        <v>0</v>
      </c>
      <c r="Q3155" t="n">
        <v>0</v>
      </c>
      <c r="R3155" s="2" t="inlineStr"/>
    </row>
    <row r="3156" ht="15" customHeight="1">
      <c r="A3156" t="inlineStr">
        <is>
          <t>A 33154-2023</t>
        </is>
      </c>
      <c r="B3156" s="1" t="n">
        <v>45126</v>
      </c>
      <c r="C3156" s="1" t="n">
        <v>45358</v>
      </c>
      <c r="D3156" t="inlineStr">
        <is>
          <t>HALLANDS LÄN</t>
        </is>
      </c>
      <c r="E3156" t="inlineStr">
        <is>
          <t>HYLTE</t>
        </is>
      </c>
      <c r="G3156" t="n">
        <v>4.7</v>
      </c>
      <c r="H3156" t="n">
        <v>0</v>
      </c>
      <c r="I3156" t="n">
        <v>0</v>
      </c>
      <c r="J3156" t="n">
        <v>0</v>
      </c>
      <c r="K3156" t="n">
        <v>0</v>
      </c>
      <c r="L3156" t="n">
        <v>0</v>
      </c>
      <c r="M3156" t="n">
        <v>0</v>
      </c>
      <c r="N3156" t="n">
        <v>0</v>
      </c>
      <c r="O3156" t="n">
        <v>0</v>
      </c>
      <c r="P3156" t="n">
        <v>0</v>
      </c>
      <c r="Q3156" t="n">
        <v>0</v>
      </c>
      <c r="R3156" s="2" t="inlineStr"/>
    </row>
    <row r="3157" ht="15" customHeight="1">
      <c r="A3157" t="inlineStr">
        <is>
          <t>A 34114-2023</t>
        </is>
      </c>
      <c r="B3157" s="1" t="n">
        <v>45126</v>
      </c>
      <c r="C3157" s="1" t="n">
        <v>45358</v>
      </c>
      <c r="D3157" t="inlineStr">
        <is>
          <t>HALLANDS LÄN</t>
        </is>
      </c>
      <c r="E3157" t="inlineStr">
        <is>
          <t>HALMSTAD</t>
        </is>
      </c>
      <c r="G3157" t="n">
        <v>2.5</v>
      </c>
      <c r="H3157" t="n">
        <v>0</v>
      </c>
      <c r="I3157" t="n">
        <v>0</v>
      </c>
      <c r="J3157" t="n">
        <v>0</v>
      </c>
      <c r="K3157" t="n">
        <v>0</v>
      </c>
      <c r="L3157" t="n">
        <v>0</v>
      </c>
      <c r="M3157" t="n">
        <v>0</v>
      </c>
      <c r="N3157" t="n">
        <v>0</v>
      </c>
      <c r="O3157" t="n">
        <v>0</v>
      </c>
      <c r="P3157" t="n">
        <v>0</v>
      </c>
      <c r="Q3157" t="n">
        <v>0</v>
      </c>
      <c r="R3157" s="2" t="inlineStr"/>
    </row>
    <row r="3158" ht="15" customHeight="1">
      <c r="A3158" t="inlineStr">
        <is>
          <t>A 33247-2023</t>
        </is>
      </c>
      <c r="B3158" s="1" t="n">
        <v>45127</v>
      </c>
      <c r="C3158" s="1" t="n">
        <v>45358</v>
      </c>
      <c r="D3158" t="inlineStr">
        <is>
          <t>HALLANDS LÄN</t>
        </is>
      </c>
      <c r="E3158" t="inlineStr">
        <is>
          <t>FALKENBERG</t>
        </is>
      </c>
      <c r="F3158" t="inlineStr">
        <is>
          <t>Kommuner</t>
        </is>
      </c>
      <c r="G3158" t="n">
        <v>3.2</v>
      </c>
      <c r="H3158" t="n">
        <v>0</v>
      </c>
      <c r="I3158" t="n">
        <v>0</v>
      </c>
      <c r="J3158" t="n">
        <v>0</v>
      </c>
      <c r="K3158" t="n">
        <v>0</v>
      </c>
      <c r="L3158" t="n">
        <v>0</v>
      </c>
      <c r="M3158" t="n">
        <v>0</v>
      </c>
      <c r="N3158" t="n">
        <v>0</v>
      </c>
      <c r="O3158" t="n">
        <v>0</v>
      </c>
      <c r="P3158" t="n">
        <v>0</v>
      </c>
      <c r="Q3158" t="n">
        <v>0</v>
      </c>
      <c r="R3158" s="2" t="inlineStr"/>
    </row>
    <row r="3159" ht="15" customHeight="1">
      <c r="A3159" t="inlineStr">
        <is>
          <t>A 33246-2023</t>
        </is>
      </c>
      <c r="B3159" s="1" t="n">
        <v>45127</v>
      </c>
      <c r="C3159" s="1" t="n">
        <v>45358</v>
      </c>
      <c r="D3159" t="inlineStr">
        <is>
          <t>HALLANDS LÄN</t>
        </is>
      </c>
      <c r="E3159" t="inlineStr">
        <is>
          <t>FALKENBERG</t>
        </is>
      </c>
      <c r="F3159" t="inlineStr">
        <is>
          <t>Kommuner</t>
        </is>
      </c>
      <c r="G3159" t="n">
        <v>22.8</v>
      </c>
      <c r="H3159" t="n">
        <v>0</v>
      </c>
      <c r="I3159" t="n">
        <v>0</v>
      </c>
      <c r="J3159" t="n">
        <v>0</v>
      </c>
      <c r="K3159" t="n">
        <v>0</v>
      </c>
      <c r="L3159" t="n">
        <v>0</v>
      </c>
      <c r="M3159" t="n">
        <v>0</v>
      </c>
      <c r="N3159" t="n">
        <v>0</v>
      </c>
      <c r="O3159" t="n">
        <v>0</v>
      </c>
      <c r="P3159" t="n">
        <v>0</v>
      </c>
      <c r="Q3159" t="n">
        <v>0</v>
      </c>
      <c r="R3159" s="2" t="inlineStr"/>
    </row>
    <row r="3160" ht="15" customHeight="1">
      <c r="A3160" t="inlineStr">
        <is>
          <t>A 33250-2023</t>
        </is>
      </c>
      <c r="B3160" s="1" t="n">
        <v>45127</v>
      </c>
      <c r="C3160" s="1" t="n">
        <v>45358</v>
      </c>
      <c r="D3160" t="inlineStr">
        <is>
          <t>HALLANDS LÄN</t>
        </is>
      </c>
      <c r="E3160" t="inlineStr">
        <is>
          <t>FALKENBERG</t>
        </is>
      </c>
      <c r="F3160" t="inlineStr">
        <is>
          <t>Kommuner</t>
        </is>
      </c>
      <c r="G3160" t="n">
        <v>6.1</v>
      </c>
      <c r="H3160" t="n">
        <v>0</v>
      </c>
      <c r="I3160" t="n">
        <v>0</v>
      </c>
      <c r="J3160" t="n">
        <v>0</v>
      </c>
      <c r="K3160" t="n">
        <v>0</v>
      </c>
      <c r="L3160" t="n">
        <v>0</v>
      </c>
      <c r="M3160" t="n">
        <v>0</v>
      </c>
      <c r="N3160" t="n">
        <v>0</v>
      </c>
      <c r="O3160" t="n">
        <v>0</v>
      </c>
      <c r="P3160" t="n">
        <v>0</v>
      </c>
      <c r="Q3160" t="n">
        <v>0</v>
      </c>
      <c r="R3160" s="2" t="inlineStr"/>
    </row>
    <row r="3161" ht="15" customHeight="1">
      <c r="A3161" t="inlineStr">
        <is>
          <t>A 33251-2023</t>
        </is>
      </c>
      <c r="B3161" s="1" t="n">
        <v>45127</v>
      </c>
      <c r="C3161" s="1" t="n">
        <v>45358</v>
      </c>
      <c r="D3161" t="inlineStr">
        <is>
          <t>HALLANDS LÄN</t>
        </is>
      </c>
      <c r="E3161" t="inlineStr">
        <is>
          <t>FALKENBERG</t>
        </is>
      </c>
      <c r="G3161" t="n">
        <v>1.5</v>
      </c>
      <c r="H3161" t="n">
        <v>0</v>
      </c>
      <c r="I3161" t="n">
        <v>0</v>
      </c>
      <c r="J3161" t="n">
        <v>0</v>
      </c>
      <c r="K3161" t="n">
        <v>0</v>
      </c>
      <c r="L3161" t="n">
        <v>0</v>
      </c>
      <c r="M3161" t="n">
        <v>0</v>
      </c>
      <c r="N3161" t="n">
        <v>0</v>
      </c>
      <c r="O3161" t="n">
        <v>0</v>
      </c>
      <c r="P3161" t="n">
        <v>0</v>
      </c>
      <c r="Q3161" t="n">
        <v>0</v>
      </c>
      <c r="R3161" s="2" t="inlineStr"/>
    </row>
    <row r="3162" ht="15" customHeight="1">
      <c r="A3162" t="inlineStr">
        <is>
          <t>A 33423-2023</t>
        </is>
      </c>
      <c r="B3162" s="1" t="n">
        <v>45128</v>
      </c>
      <c r="C3162" s="1" t="n">
        <v>45358</v>
      </c>
      <c r="D3162" t="inlineStr">
        <is>
          <t>HALLANDS LÄN</t>
        </is>
      </c>
      <c r="E3162" t="inlineStr">
        <is>
          <t>HYLTE</t>
        </is>
      </c>
      <c r="G3162" t="n">
        <v>1.7</v>
      </c>
      <c r="H3162" t="n">
        <v>0</v>
      </c>
      <c r="I3162" t="n">
        <v>0</v>
      </c>
      <c r="J3162" t="n">
        <v>0</v>
      </c>
      <c r="K3162" t="n">
        <v>0</v>
      </c>
      <c r="L3162" t="n">
        <v>0</v>
      </c>
      <c r="M3162" t="n">
        <v>0</v>
      </c>
      <c r="N3162" t="n">
        <v>0</v>
      </c>
      <c r="O3162" t="n">
        <v>0</v>
      </c>
      <c r="P3162" t="n">
        <v>0</v>
      </c>
      <c r="Q3162" t="n">
        <v>0</v>
      </c>
      <c r="R3162" s="2" t="inlineStr"/>
    </row>
    <row r="3163" ht="15" customHeight="1">
      <c r="A3163" t="inlineStr">
        <is>
          <t>A 33450-2023</t>
        </is>
      </c>
      <c r="B3163" s="1" t="n">
        <v>45130</v>
      </c>
      <c r="C3163" s="1" t="n">
        <v>45358</v>
      </c>
      <c r="D3163" t="inlineStr">
        <is>
          <t>HALLANDS LÄN</t>
        </is>
      </c>
      <c r="E3163" t="inlineStr">
        <is>
          <t>LAHOLM</t>
        </is>
      </c>
      <c r="G3163" t="n">
        <v>0.7</v>
      </c>
      <c r="H3163" t="n">
        <v>0</v>
      </c>
      <c r="I3163" t="n">
        <v>0</v>
      </c>
      <c r="J3163" t="n">
        <v>0</v>
      </c>
      <c r="K3163" t="n">
        <v>0</v>
      </c>
      <c r="L3163" t="n">
        <v>0</v>
      </c>
      <c r="M3163" t="n">
        <v>0</v>
      </c>
      <c r="N3163" t="n">
        <v>0</v>
      </c>
      <c r="O3163" t="n">
        <v>0</v>
      </c>
      <c r="P3163" t="n">
        <v>0</v>
      </c>
      <c r="Q3163" t="n">
        <v>0</v>
      </c>
      <c r="R3163" s="2" t="inlineStr"/>
    </row>
    <row r="3164" ht="15" customHeight="1">
      <c r="A3164" t="inlineStr">
        <is>
          <t>A 33449-2023</t>
        </is>
      </c>
      <c r="B3164" s="1" t="n">
        <v>45130</v>
      </c>
      <c r="C3164" s="1" t="n">
        <v>45358</v>
      </c>
      <c r="D3164" t="inlineStr">
        <is>
          <t>HALLANDS LÄN</t>
        </is>
      </c>
      <c r="E3164" t="inlineStr">
        <is>
          <t>LAHOLM</t>
        </is>
      </c>
      <c r="G3164" t="n">
        <v>0.8</v>
      </c>
      <c r="H3164" t="n">
        <v>0</v>
      </c>
      <c r="I3164" t="n">
        <v>0</v>
      </c>
      <c r="J3164" t="n">
        <v>0</v>
      </c>
      <c r="K3164" t="n">
        <v>0</v>
      </c>
      <c r="L3164" t="n">
        <v>0</v>
      </c>
      <c r="M3164" t="n">
        <v>0</v>
      </c>
      <c r="N3164" t="n">
        <v>0</v>
      </c>
      <c r="O3164" t="n">
        <v>0</v>
      </c>
      <c r="P3164" t="n">
        <v>0</v>
      </c>
      <c r="Q3164" t="n">
        <v>0</v>
      </c>
      <c r="R3164" s="2" t="inlineStr"/>
    </row>
    <row r="3165" ht="15" customHeight="1">
      <c r="A3165" t="inlineStr">
        <is>
          <t>A 33461-2023</t>
        </is>
      </c>
      <c r="B3165" s="1" t="n">
        <v>45131</v>
      </c>
      <c r="C3165" s="1" t="n">
        <v>45358</v>
      </c>
      <c r="D3165" t="inlineStr">
        <is>
          <t>HALLANDS LÄN</t>
        </is>
      </c>
      <c r="E3165" t="inlineStr">
        <is>
          <t>VARBERG</t>
        </is>
      </c>
      <c r="G3165" t="n">
        <v>1.3</v>
      </c>
      <c r="H3165" t="n">
        <v>0</v>
      </c>
      <c r="I3165" t="n">
        <v>0</v>
      </c>
      <c r="J3165" t="n">
        <v>0</v>
      </c>
      <c r="K3165" t="n">
        <v>0</v>
      </c>
      <c r="L3165" t="n">
        <v>0</v>
      </c>
      <c r="M3165" t="n">
        <v>0</v>
      </c>
      <c r="N3165" t="n">
        <v>0</v>
      </c>
      <c r="O3165" t="n">
        <v>0</v>
      </c>
      <c r="P3165" t="n">
        <v>0</v>
      </c>
      <c r="Q3165" t="n">
        <v>0</v>
      </c>
      <c r="R3165" s="2" t="inlineStr"/>
    </row>
    <row r="3166" ht="15" customHeight="1">
      <c r="A3166" t="inlineStr">
        <is>
          <t>A 33494-2023</t>
        </is>
      </c>
      <c r="B3166" s="1" t="n">
        <v>45131</v>
      </c>
      <c r="C3166" s="1" t="n">
        <v>45358</v>
      </c>
      <c r="D3166" t="inlineStr">
        <is>
          <t>HALLANDS LÄN</t>
        </is>
      </c>
      <c r="E3166" t="inlineStr">
        <is>
          <t>KUNGSBACKA</t>
        </is>
      </c>
      <c r="G3166" t="n">
        <v>0.7</v>
      </c>
      <c r="H3166" t="n">
        <v>0</v>
      </c>
      <c r="I3166" t="n">
        <v>0</v>
      </c>
      <c r="J3166" t="n">
        <v>0</v>
      </c>
      <c r="K3166" t="n">
        <v>0</v>
      </c>
      <c r="L3166" t="n">
        <v>0</v>
      </c>
      <c r="M3166" t="n">
        <v>0</v>
      </c>
      <c r="N3166" t="n">
        <v>0</v>
      </c>
      <c r="O3166" t="n">
        <v>0</v>
      </c>
      <c r="P3166" t="n">
        <v>0</v>
      </c>
      <c r="Q3166" t="n">
        <v>0</v>
      </c>
      <c r="R3166" s="2" t="inlineStr"/>
    </row>
    <row r="3167" ht="15" customHeight="1">
      <c r="A3167" t="inlineStr">
        <is>
          <t>A 33490-2023</t>
        </is>
      </c>
      <c r="B3167" s="1" t="n">
        <v>45131</v>
      </c>
      <c r="C3167" s="1" t="n">
        <v>45358</v>
      </c>
      <c r="D3167" t="inlineStr">
        <is>
          <t>HALLANDS LÄN</t>
        </is>
      </c>
      <c r="E3167" t="inlineStr">
        <is>
          <t>FALKENBERG</t>
        </is>
      </c>
      <c r="G3167" t="n">
        <v>0.5</v>
      </c>
      <c r="H3167" t="n">
        <v>0</v>
      </c>
      <c r="I3167" t="n">
        <v>0</v>
      </c>
      <c r="J3167" t="n">
        <v>0</v>
      </c>
      <c r="K3167" t="n">
        <v>0</v>
      </c>
      <c r="L3167" t="n">
        <v>0</v>
      </c>
      <c r="M3167" t="n">
        <v>0</v>
      </c>
      <c r="N3167" t="n">
        <v>0</v>
      </c>
      <c r="O3167" t="n">
        <v>0</v>
      </c>
      <c r="P3167" t="n">
        <v>0</v>
      </c>
      <c r="Q3167" t="n">
        <v>0</v>
      </c>
      <c r="R3167" s="2" t="inlineStr"/>
    </row>
    <row r="3168" ht="15" customHeight="1">
      <c r="A3168" t="inlineStr">
        <is>
          <t>A 33578-2023</t>
        </is>
      </c>
      <c r="B3168" s="1" t="n">
        <v>45131</v>
      </c>
      <c r="C3168" s="1" t="n">
        <v>45358</v>
      </c>
      <c r="D3168" t="inlineStr">
        <is>
          <t>HALLANDS LÄN</t>
        </is>
      </c>
      <c r="E3168" t="inlineStr">
        <is>
          <t>LAHOLM</t>
        </is>
      </c>
      <c r="G3168" t="n">
        <v>2.9</v>
      </c>
      <c r="H3168" t="n">
        <v>0</v>
      </c>
      <c r="I3168" t="n">
        <v>0</v>
      </c>
      <c r="J3168" t="n">
        <v>0</v>
      </c>
      <c r="K3168" t="n">
        <v>0</v>
      </c>
      <c r="L3168" t="n">
        <v>0</v>
      </c>
      <c r="M3168" t="n">
        <v>0</v>
      </c>
      <c r="N3168" t="n">
        <v>0</v>
      </c>
      <c r="O3168" t="n">
        <v>0</v>
      </c>
      <c r="P3168" t="n">
        <v>0</v>
      </c>
      <c r="Q3168" t="n">
        <v>0</v>
      </c>
      <c r="R3168" s="2" t="inlineStr"/>
    </row>
    <row r="3169" ht="15" customHeight="1">
      <c r="A3169" t="inlineStr">
        <is>
          <t>A 33484-2023</t>
        </is>
      </c>
      <c r="B3169" s="1" t="n">
        <v>45131</v>
      </c>
      <c r="C3169" s="1" t="n">
        <v>45358</v>
      </c>
      <c r="D3169" t="inlineStr">
        <is>
          <t>HALLANDS LÄN</t>
        </is>
      </c>
      <c r="E3169" t="inlineStr">
        <is>
          <t>FALKENBERG</t>
        </is>
      </c>
      <c r="G3169" t="n">
        <v>1.2</v>
      </c>
      <c r="H3169" t="n">
        <v>0</v>
      </c>
      <c r="I3169" t="n">
        <v>0</v>
      </c>
      <c r="J3169" t="n">
        <v>0</v>
      </c>
      <c r="K3169" t="n">
        <v>0</v>
      </c>
      <c r="L3169" t="n">
        <v>0</v>
      </c>
      <c r="M3169" t="n">
        <v>0</v>
      </c>
      <c r="N3169" t="n">
        <v>0</v>
      </c>
      <c r="O3169" t="n">
        <v>0</v>
      </c>
      <c r="P3169" t="n">
        <v>0</v>
      </c>
      <c r="Q3169" t="n">
        <v>0</v>
      </c>
      <c r="R3169" s="2" t="inlineStr"/>
    </row>
    <row r="3170" ht="15" customHeight="1">
      <c r="A3170" t="inlineStr">
        <is>
          <t>A 33496-2023</t>
        </is>
      </c>
      <c r="B3170" s="1" t="n">
        <v>45131</v>
      </c>
      <c r="C3170" s="1" t="n">
        <v>45358</v>
      </c>
      <c r="D3170" t="inlineStr">
        <is>
          <t>HALLANDS LÄN</t>
        </is>
      </c>
      <c r="E3170" t="inlineStr">
        <is>
          <t>KUNGSBACKA</t>
        </is>
      </c>
      <c r="G3170" t="n">
        <v>0.4</v>
      </c>
      <c r="H3170" t="n">
        <v>0</v>
      </c>
      <c r="I3170" t="n">
        <v>0</v>
      </c>
      <c r="J3170" t="n">
        <v>0</v>
      </c>
      <c r="K3170" t="n">
        <v>0</v>
      </c>
      <c r="L3170" t="n">
        <v>0</v>
      </c>
      <c r="M3170" t="n">
        <v>0</v>
      </c>
      <c r="N3170" t="n">
        <v>0</v>
      </c>
      <c r="O3170" t="n">
        <v>0</v>
      </c>
      <c r="P3170" t="n">
        <v>0</v>
      </c>
      <c r="Q3170" t="n">
        <v>0</v>
      </c>
      <c r="R3170" s="2" t="inlineStr"/>
    </row>
    <row r="3171" ht="15" customHeight="1">
      <c r="A3171" t="inlineStr">
        <is>
          <t>A 33579-2023</t>
        </is>
      </c>
      <c r="B3171" s="1" t="n">
        <v>45131</v>
      </c>
      <c r="C3171" s="1" t="n">
        <v>45358</v>
      </c>
      <c r="D3171" t="inlineStr">
        <is>
          <t>HALLANDS LÄN</t>
        </is>
      </c>
      <c r="E3171" t="inlineStr">
        <is>
          <t>VARBERG</t>
        </is>
      </c>
      <c r="G3171" t="n">
        <v>0.7</v>
      </c>
      <c r="H3171" t="n">
        <v>0</v>
      </c>
      <c r="I3171" t="n">
        <v>0</v>
      </c>
      <c r="J3171" t="n">
        <v>0</v>
      </c>
      <c r="K3171" t="n">
        <v>0</v>
      </c>
      <c r="L3171" t="n">
        <v>0</v>
      </c>
      <c r="M3171" t="n">
        <v>0</v>
      </c>
      <c r="N3171" t="n">
        <v>0</v>
      </c>
      <c r="O3171" t="n">
        <v>0</v>
      </c>
      <c r="P3171" t="n">
        <v>0</v>
      </c>
      <c r="Q3171" t="n">
        <v>0</v>
      </c>
      <c r="R3171" s="2" t="inlineStr"/>
    </row>
    <row r="3172" ht="15" customHeight="1">
      <c r="A3172" t="inlineStr">
        <is>
          <t>A 34337-2023</t>
        </is>
      </c>
      <c r="B3172" s="1" t="n">
        <v>45131</v>
      </c>
      <c r="C3172" s="1" t="n">
        <v>45358</v>
      </c>
      <c r="D3172" t="inlineStr">
        <is>
          <t>HALLANDS LÄN</t>
        </is>
      </c>
      <c r="E3172" t="inlineStr">
        <is>
          <t>HYLTE</t>
        </is>
      </c>
      <c r="G3172" t="n">
        <v>1.6</v>
      </c>
      <c r="H3172" t="n">
        <v>0</v>
      </c>
      <c r="I3172" t="n">
        <v>0</v>
      </c>
      <c r="J3172" t="n">
        <v>0</v>
      </c>
      <c r="K3172" t="n">
        <v>0</v>
      </c>
      <c r="L3172" t="n">
        <v>0</v>
      </c>
      <c r="M3172" t="n">
        <v>0</v>
      </c>
      <c r="N3172" t="n">
        <v>0</v>
      </c>
      <c r="O3172" t="n">
        <v>0</v>
      </c>
      <c r="P3172" t="n">
        <v>0</v>
      </c>
      <c r="Q3172" t="n">
        <v>0</v>
      </c>
      <c r="R3172" s="2" t="inlineStr"/>
    </row>
    <row r="3173" ht="15" customHeight="1">
      <c r="A3173" t="inlineStr">
        <is>
          <t>A 33613-2023</t>
        </is>
      </c>
      <c r="B3173" s="1" t="n">
        <v>45132</v>
      </c>
      <c r="C3173" s="1" t="n">
        <v>45358</v>
      </c>
      <c r="D3173" t="inlineStr">
        <is>
          <t>HALLANDS LÄN</t>
        </is>
      </c>
      <c r="E3173" t="inlineStr">
        <is>
          <t>HYLTE</t>
        </is>
      </c>
      <c r="G3173" t="n">
        <v>3.9</v>
      </c>
      <c r="H3173" t="n">
        <v>0</v>
      </c>
      <c r="I3173" t="n">
        <v>0</v>
      </c>
      <c r="J3173" t="n">
        <v>0</v>
      </c>
      <c r="K3173" t="n">
        <v>0</v>
      </c>
      <c r="L3173" t="n">
        <v>0</v>
      </c>
      <c r="M3173" t="n">
        <v>0</v>
      </c>
      <c r="N3173" t="n">
        <v>0</v>
      </c>
      <c r="O3173" t="n">
        <v>0</v>
      </c>
      <c r="P3173" t="n">
        <v>0</v>
      </c>
      <c r="Q3173" t="n">
        <v>0</v>
      </c>
      <c r="R3173" s="2" t="inlineStr"/>
    </row>
    <row r="3174" ht="15" customHeight="1">
      <c r="A3174" t="inlineStr">
        <is>
          <t>A 33610-2023</t>
        </is>
      </c>
      <c r="B3174" s="1" t="n">
        <v>45132</v>
      </c>
      <c r="C3174" s="1" t="n">
        <v>45358</v>
      </c>
      <c r="D3174" t="inlineStr">
        <is>
          <t>HALLANDS LÄN</t>
        </is>
      </c>
      <c r="E3174" t="inlineStr">
        <is>
          <t>HYLTE</t>
        </is>
      </c>
      <c r="G3174" t="n">
        <v>3.1</v>
      </c>
      <c r="H3174" t="n">
        <v>0</v>
      </c>
      <c r="I3174" t="n">
        <v>0</v>
      </c>
      <c r="J3174" t="n">
        <v>0</v>
      </c>
      <c r="K3174" t="n">
        <v>0</v>
      </c>
      <c r="L3174" t="n">
        <v>0</v>
      </c>
      <c r="M3174" t="n">
        <v>0</v>
      </c>
      <c r="N3174" t="n">
        <v>0</v>
      </c>
      <c r="O3174" t="n">
        <v>0</v>
      </c>
      <c r="P3174" t="n">
        <v>0</v>
      </c>
      <c r="Q3174" t="n">
        <v>0</v>
      </c>
      <c r="R3174" s="2" t="inlineStr"/>
    </row>
    <row r="3175" ht="15" customHeight="1">
      <c r="A3175" t="inlineStr">
        <is>
          <t>A 33596-2023</t>
        </is>
      </c>
      <c r="B3175" s="1" t="n">
        <v>45132</v>
      </c>
      <c r="C3175" s="1" t="n">
        <v>45358</v>
      </c>
      <c r="D3175" t="inlineStr">
        <is>
          <t>HALLANDS LÄN</t>
        </is>
      </c>
      <c r="E3175" t="inlineStr">
        <is>
          <t>LAHOLM</t>
        </is>
      </c>
      <c r="G3175" t="n">
        <v>8.199999999999999</v>
      </c>
      <c r="H3175" t="n">
        <v>0</v>
      </c>
      <c r="I3175" t="n">
        <v>0</v>
      </c>
      <c r="J3175" t="n">
        <v>0</v>
      </c>
      <c r="K3175" t="n">
        <v>0</v>
      </c>
      <c r="L3175" t="n">
        <v>0</v>
      </c>
      <c r="M3175" t="n">
        <v>0</v>
      </c>
      <c r="N3175" t="n">
        <v>0</v>
      </c>
      <c r="O3175" t="n">
        <v>0</v>
      </c>
      <c r="P3175" t="n">
        <v>0</v>
      </c>
      <c r="Q3175" t="n">
        <v>0</v>
      </c>
      <c r="R3175" s="2" t="inlineStr"/>
    </row>
    <row r="3176" ht="15" customHeight="1">
      <c r="A3176" t="inlineStr">
        <is>
          <t>A 33600-2023</t>
        </is>
      </c>
      <c r="B3176" s="1" t="n">
        <v>45132</v>
      </c>
      <c r="C3176" s="1" t="n">
        <v>45358</v>
      </c>
      <c r="D3176" t="inlineStr">
        <is>
          <t>HALLANDS LÄN</t>
        </is>
      </c>
      <c r="E3176" t="inlineStr">
        <is>
          <t>LAHOLM</t>
        </is>
      </c>
      <c r="G3176" t="n">
        <v>1.3</v>
      </c>
      <c r="H3176" t="n">
        <v>0</v>
      </c>
      <c r="I3176" t="n">
        <v>0</v>
      </c>
      <c r="J3176" t="n">
        <v>0</v>
      </c>
      <c r="K3176" t="n">
        <v>0</v>
      </c>
      <c r="L3176" t="n">
        <v>0</v>
      </c>
      <c r="M3176" t="n">
        <v>0</v>
      </c>
      <c r="N3176" t="n">
        <v>0</v>
      </c>
      <c r="O3176" t="n">
        <v>0</v>
      </c>
      <c r="P3176" t="n">
        <v>0</v>
      </c>
      <c r="Q3176" t="n">
        <v>0</v>
      </c>
      <c r="R3176" s="2" t="inlineStr"/>
    </row>
    <row r="3177" ht="15" customHeight="1">
      <c r="A3177" t="inlineStr">
        <is>
          <t>A 33595-2023</t>
        </is>
      </c>
      <c r="B3177" s="1" t="n">
        <v>45132</v>
      </c>
      <c r="C3177" s="1" t="n">
        <v>45358</v>
      </c>
      <c r="D3177" t="inlineStr">
        <is>
          <t>HALLANDS LÄN</t>
        </is>
      </c>
      <c r="E3177" t="inlineStr">
        <is>
          <t>LAHOLM</t>
        </is>
      </c>
      <c r="G3177" t="n">
        <v>6.4</v>
      </c>
      <c r="H3177" t="n">
        <v>0</v>
      </c>
      <c r="I3177" t="n">
        <v>0</v>
      </c>
      <c r="J3177" t="n">
        <v>0</v>
      </c>
      <c r="K3177" t="n">
        <v>0</v>
      </c>
      <c r="L3177" t="n">
        <v>0</v>
      </c>
      <c r="M3177" t="n">
        <v>0</v>
      </c>
      <c r="N3177" t="n">
        <v>0</v>
      </c>
      <c r="O3177" t="n">
        <v>0</v>
      </c>
      <c r="P3177" t="n">
        <v>0</v>
      </c>
      <c r="Q3177" t="n">
        <v>0</v>
      </c>
      <c r="R3177" s="2" t="inlineStr"/>
    </row>
    <row r="3178" ht="15" customHeight="1">
      <c r="A3178" t="inlineStr">
        <is>
          <t>A 33983-2023</t>
        </is>
      </c>
      <c r="B3178" s="1" t="n">
        <v>45134</v>
      </c>
      <c r="C3178" s="1" t="n">
        <v>45358</v>
      </c>
      <c r="D3178" t="inlineStr">
        <is>
          <t>HALLANDS LÄN</t>
        </is>
      </c>
      <c r="E3178" t="inlineStr">
        <is>
          <t>KUNGSBACKA</t>
        </is>
      </c>
      <c r="G3178" t="n">
        <v>1.1</v>
      </c>
      <c r="H3178" t="n">
        <v>0</v>
      </c>
      <c r="I3178" t="n">
        <v>0</v>
      </c>
      <c r="J3178" t="n">
        <v>0</v>
      </c>
      <c r="K3178" t="n">
        <v>0</v>
      </c>
      <c r="L3178" t="n">
        <v>0</v>
      </c>
      <c r="M3178" t="n">
        <v>0</v>
      </c>
      <c r="N3178" t="n">
        <v>0</v>
      </c>
      <c r="O3178" t="n">
        <v>0</v>
      </c>
      <c r="P3178" t="n">
        <v>0</v>
      </c>
      <c r="Q3178" t="n">
        <v>0</v>
      </c>
      <c r="R3178" s="2" t="inlineStr"/>
    </row>
    <row r="3179" ht="15" customHeight="1">
      <c r="A3179" t="inlineStr">
        <is>
          <t>A 34048-2023</t>
        </is>
      </c>
      <c r="B3179" s="1" t="n">
        <v>45135</v>
      </c>
      <c r="C3179" s="1" t="n">
        <v>45358</v>
      </c>
      <c r="D3179" t="inlineStr">
        <is>
          <t>HALLANDS LÄN</t>
        </is>
      </c>
      <c r="E3179" t="inlineStr">
        <is>
          <t>LAHOLM</t>
        </is>
      </c>
      <c r="G3179" t="n">
        <v>2.5</v>
      </c>
      <c r="H3179" t="n">
        <v>0</v>
      </c>
      <c r="I3179" t="n">
        <v>0</v>
      </c>
      <c r="J3179" t="n">
        <v>0</v>
      </c>
      <c r="K3179" t="n">
        <v>0</v>
      </c>
      <c r="L3179" t="n">
        <v>0</v>
      </c>
      <c r="M3179" t="n">
        <v>0</v>
      </c>
      <c r="N3179" t="n">
        <v>0</v>
      </c>
      <c r="O3179" t="n">
        <v>0</v>
      </c>
      <c r="P3179" t="n">
        <v>0</v>
      </c>
      <c r="Q3179" t="n">
        <v>0</v>
      </c>
      <c r="R3179" s="2" t="inlineStr"/>
    </row>
    <row r="3180" ht="15" customHeight="1">
      <c r="A3180" t="inlineStr">
        <is>
          <t>A 34050-2023</t>
        </is>
      </c>
      <c r="B3180" s="1" t="n">
        <v>45135</v>
      </c>
      <c r="C3180" s="1" t="n">
        <v>45358</v>
      </c>
      <c r="D3180" t="inlineStr">
        <is>
          <t>HALLANDS LÄN</t>
        </is>
      </c>
      <c r="E3180" t="inlineStr">
        <is>
          <t>LAHOLM</t>
        </is>
      </c>
      <c r="G3180" t="n">
        <v>0.6</v>
      </c>
      <c r="H3180" t="n">
        <v>0</v>
      </c>
      <c r="I3180" t="n">
        <v>0</v>
      </c>
      <c r="J3180" t="n">
        <v>0</v>
      </c>
      <c r="K3180" t="n">
        <v>0</v>
      </c>
      <c r="L3180" t="n">
        <v>0</v>
      </c>
      <c r="M3180" t="n">
        <v>0</v>
      </c>
      <c r="N3180" t="n">
        <v>0</v>
      </c>
      <c r="O3180" t="n">
        <v>0</v>
      </c>
      <c r="P3180" t="n">
        <v>0</v>
      </c>
      <c r="Q3180" t="n">
        <v>0</v>
      </c>
      <c r="R3180" s="2" t="inlineStr"/>
    </row>
    <row r="3181" ht="15" customHeight="1">
      <c r="A3181" t="inlineStr">
        <is>
          <t>A 34046-2023</t>
        </is>
      </c>
      <c r="B3181" s="1" t="n">
        <v>45135</v>
      </c>
      <c r="C3181" s="1" t="n">
        <v>45358</v>
      </c>
      <c r="D3181" t="inlineStr">
        <is>
          <t>HALLANDS LÄN</t>
        </is>
      </c>
      <c r="E3181" t="inlineStr">
        <is>
          <t>LAHOLM</t>
        </is>
      </c>
      <c r="G3181" t="n">
        <v>1.4</v>
      </c>
      <c r="H3181" t="n">
        <v>0</v>
      </c>
      <c r="I3181" t="n">
        <v>0</v>
      </c>
      <c r="J3181" t="n">
        <v>0</v>
      </c>
      <c r="K3181" t="n">
        <v>0</v>
      </c>
      <c r="L3181" t="n">
        <v>0</v>
      </c>
      <c r="M3181" t="n">
        <v>0</v>
      </c>
      <c r="N3181" t="n">
        <v>0</v>
      </c>
      <c r="O3181" t="n">
        <v>0</v>
      </c>
      <c r="P3181" t="n">
        <v>0</v>
      </c>
      <c r="Q3181" t="n">
        <v>0</v>
      </c>
      <c r="R3181" s="2" t="inlineStr"/>
    </row>
    <row r="3182" ht="15" customHeight="1">
      <c r="A3182" t="inlineStr">
        <is>
          <t>A 34598-2023</t>
        </is>
      </c>
      <c r="B3182" s="1" t="n">
        <v>45138</v>
      </c>
      <c r="C3182" s="1" t="n">
        <v>45358</v>
      </c>
      <c r="D3182" t="inlineStr">
        <is>
          <t>HALLANDS LÄN</t>
        </is>
      </c>
      <c r="E3182" t="inlineStr">
        <is>
          <t>FALKENBERG</t>
        </is>
      </c>
      <c r="G3182" t="n">
        <v>4.6</v>
      </c>
      <c r="H3182" t="n">
        <v>0</v>
      </c>
      <c r="I3182" t="n">
        <v>0</v>
      </c>
      <c r="J3182" t="n">
        <v>0</v>
      </c>
      <c r="K3182" t="n">
        <v>0</v>
      </c>
      <c r="L3182" t="n">
        <v>0</v>
      </c>
      <c r="M3182" t="n">
        <v>0</v>
      </c>
      <c r="N3182" t="n">
        <v>0</v>
      </c>
      <c r="O3182" t="n">
        <v>0</v>
      </c>
      <c r="P3182" t="n">
        <v>0</v>
      </c>
      <c r="Q3182" t="n">
        <v>0</v>
      </c>
      <c r="R3182" s="2" t="inlineStr"/>
    </row>
    <row r="3183" ht="15" customHeight="1">
      <c r="A3183" t="inlineStr">
        <is>
          <t>A 34368-2023</t>
        </is>
      </c>
      <c r="B3183" s="1" t="n">
        <v>45139</v>
      </c>
      <c r="C3183" s="1" t="n">
        <v>45358</v>
      </c>
      <c r="D3183" t="inlineStr">
        <is>
          <t>HALLANDS LÄN</t>
        </is>
      </c>
      <c r="E3183" t="inlineStr">
        <is>
          <t>FALKENBERG</t>
        </is>
      </c>
      <c r="G3183" t="n">
        <v>7.7</v>
      </c>
      <c r="H3183" t="n">
        <v>0</v>
      </c>
      <c r="I3183" t="n">
        <v>0</v>
      </c>
      <c r="J3183" t="n">
        <v>0</v>
      </c>
      <c r="K3183" t="n">
        <v>0</v>
      </c>
      <c r="L3183" t="n">
        <v>0</v>
      </c>
      <c r="M3183" t="n">
        <v>0</v>
      </c>
      <c r="N3183" t="n">
        <v>0</v>
      </c>
      <c r="O3183" t="n">
        <v>0</v>
      </c>
      <c r="P3183" t="n">
        <v>0</v>
      </c>
      <c r="Q3183" t="n">
        <v>0</v>
      </c>
      <c r="R3183" s="2" t="inlineStr"/>
    </row>
    <row r="3184" ht="15" customHeight="1">
      <c r="A3184" t="inlineStr">
        <is>
          <t>A 34473-2023</t>
        </is>
      </c>
      <c r="B3184" s="1" t="n">
        <v>45139</v>
      </c>
      <c r="C3184" s="1" t="n">
        <v>45358</v>
      </c>
      <c r="D3184" t="inlineStr">
        <is>
          <t>HALLANDS LÄN</t>
        </is>
      </c>
      <c r="E3184" t="inlineStr">
        <is>
          <t>LAHOLM</t>
        </is>
      </c>
      <c r="G3184" t="n">
        <v>1.4</v>
      </c>
      <c r="H3184" t="n">
        <v>0</v>
      </c>
      <c r="I3184" t="n">
        <v>0</v>
      </c>
      <c r="J3184" t="n">
        <v>0</v>
      </c>
      <c r="K3184" t="n">
        <v>0</v>
      </c>
      <c r="L3184" t="n">
        <v>0</v>
      </c>
      <c r="M3184" t="n">
        <v>0</v>
      </c>
      <c r="N3184" t="n">
        <v>0</v>
      </c>
      <c r="O3184" t="n">
        <v>0</v>
      </c>
      <c r="P3184" t="n">
        <v>0</v>
      </c>
      <c r="Q3184" t="n">
        <v>0</v>
      </c>
      <c r="R3184" s="2" t="inlineStr"/>
    </row>
    <row r="3185" ht="15" customHeight="1">
      <c r="A3185" t="inlineStr">
        <is>
          <t>A 34475-2023</t>
        </is>
      </c>
      <c r="B3185" s="1" t="n">
        <v>45139</v>
      </c>
      <c r="C3185" s="1" t="n">
        <v>45358</v>
      </c>
      <c r="D3185" t="inlineStr">
        <is>
          <t>HALLANDS LÄN</t>
        </is>
      </c>
      <c r="E3185" t="inlineStr">
        <is>
          <t>LAHOLM</t>
        </is>
      </c>
      <c r="G3185" t="n">
        <v>1.6</v>
      </c>
      <c r="H3185" t="n">
        <v>0</v>
      </c>
      <c r="I3185" t="n">
        <v>0</v>
      </c>
      <c r="J3185" t="n">
        <v>0</v>
      </c>
      <c r="K3185" t="n">
        <v>0</v>
      </c>
      <c r="L3185" t="n">
        <v>0</v>
      </c>
      <c r="M3185" t="n">
        <v>0</v>
      </c>
      <c r="N3185" t="n">
        <v>0</v>
      </c>
      <c r="O3185" t="n">
        <v>0</v>
      </c>
      <c r="P3185" t="n">
        <v>0</v>
      </c>
      <c r="Q3185" t="n">
        <v>0</v>
      </c>
      <c r="R3185" s="2" t="inlineStr"/>
    </row>
    <row r="3186" ht="15" customHeight="1">
      <c r="A3186" t="inlineStr">
        <is>
          <t>A 34474-2023</t>
        </is>
      </c>
      <c r="B3186" s="1" t="n">
        <v>45139</v>
      </c>
      <c r="C3186" s="1" t="n">
        <v>45358</v>
      </c>
      <c r="D3186" t="inlineStr">
        <is>
          <t>HALLANDS LÄN</t>
        </is>
      </c>
      <c r="E3186" t="inlineStr">
        <is>
          <t>LAHOLM</t>
        </is>
      </c>
      <c r="G3186" t="n">
        <v>0.8</v>
      </c>
      <c r="H3186" t="n">
        <v>0</v>
      </c>
      <c r="I3186" t="n">
        <v>0</v>
      </c>
      <c r="J3186" t="n">
        <v>0</v>
      </c>
      <c r="K3186" t="n">
        <v>0</v>
      </c>
      <c r="L3186" t="n">
        <v>0</v>
      </c>
      <c r="M3186" t="n">
        <v>0</v>
      </c>
      <c r="N3186" t="n">
        <v>0</v>
      </c>
      <c r="O3186" t="n">
        <v>0</v>
      </c>
      <c r="P3186" t="n">
        <v>0</v>
      </c>
      <c r="Q3186" t="n">
        <v>0</v>
      </c>
      <c r="R3186" s="2" t="inlineStr"/>
    </row>
    <row r="3187" ht="15" customHeight="1">
      <c r="A3187" t="inlineStr">
        <is>
          <t>A 34558-2023</t>
        </is>
      </c>
      <c r="B3187" s="1" t="n">
        <v>45140</v>
      </c>
      <c r="C3187" s="1" t="n">
        <v>45358</v>
      </c>
      <c r="D3187" t="inlineStr">
        <is>
          <t>HALLANDS LÄN</t>
        </is>
      </c>
      <c r="E3187" t="inlineStr">
        <is>
          <t>VARBERG</t>
        </is>
      </c>
      <c r="G3187" t="n">
        <v>1.4</v>
      </c>
      <c r="H3187" t="n">
        <v>0</v>
      </c>
      <c r="I3187" t="n">
        <v>0</v>
      </c>
      <c r="J3187" t="n">
        <v>0</v>
      </c>
      <c r="K3187" t="n">
        <v>0</v>
      </c>
      <c r="L3187" t="n">
        <v>0</v>
      </c>
      <c r="M3187" t="n">
        <v>0</v>
      </c>
      <c r="N3187" t="n">
        <v>0</v>
      </c>
      <c r="O3187" t="n">
        <v>0</v>
      </c>
      <c r="P3187" t="n">
        <v>0</v>
      </c>
      <c r="Q3187" t="n">
        <v>0</v>
      </c>
      <c r="R3187" s="2" t="inlineStr"/>
    </row>
    <row r="3188" ht="15" customHeight="1">
      <c r="A3188" t="inlineStr">
        <is>
          <t>A 34566-2023</t>
        </is>
      </c>
      <c r="B3188" s="1" t="n">
        <v>45140</v>
      </c>
      <c r="C3188" s="1" t="n">
        <v>45358</v>
      </c>
      <c r="D3188" t="inlineStr">
        <is>
          <t>HALLANDS LÄN</t>
        </is>
      </c>
      <c r="E3188" t="inlineStr">
        <is>
          <t>VARBERG</t>
        </is>
      </c>
      <c r="G3188" t="n">
        <v>2.7</v>
      </c>
      <c r="H3188" t="n">
        <v>0</v>
      </c>
      <c r="I3188" t="n">
        <v>0</v>
      </c>
      <c r="J3188" t="n">
        <v>0</v>
      </c>
      <c r="K3188" t="n">
        <v>0</v>
      </c>
      <c r="L3188" t="n">
        <v>0</v>
      </c>
      <c r="M3188" t="n">
        <v>0</v>
      </c>
      <c r="N3188" t="n">
        <v>0</v>
      </c>
      <c r="O3188" t="n">
        <v>0</v>
      </c>
      <c r="P3188" t="n">
        <v>0</v>
      </c>
      <c r="Q3188" t="n">
        <v>0</v>
      </c>
      <c r="R3188" s="2" t="inlineStr"/>
    </row>
    <row r="3189" ht="15" customHeight="1">
      <c r="A3189" t="inlineStr">
        <is>
          <t>A 34570-2023</t>
        </is>
      </c>
      <c r="B3189" s="1" t="n">
        <v>45140</v>
      </c>
      <c r="C3189" s="1" t="n">
        <v>45358</v>
      </c>
      <c r="D3189" t="inlineStr">
        <is>
          <t>HALLANDS LÄN</t>
        </is>
      </c>
      <c r="E3189" t="inlineStr">
        <is>
          <t>VARBERG</t>
        </is>
      </c>
      <c r="G3189" t="n">
        <v>4</v>
      </c>
      <c r="H3189" t="n">
        <v>0</v>
      </c>
      <c r="I3189" t="n">
        <v>0</v>
      </c>
      <c r="J3189" t="n">
        <v>0</v>
      </c>
      <c r="K3189" t="n">
        <v>0</v>
      </c>
      <c r="L3189" t="n">
        <v>0</v>
      </c>
      <c r="M3189" t="n">
        <v>0</v>
      </c>
      <c r="N3189" t="n">
        <v>0</v>
      </c>
      <c r="O3189" t="n">
        <v>0</v>
      </c>
      <c r="P3189" t="n">
        <v>0</v>
      </c>
      <c r="Q3189" t="n">
        <v>0</v>
      </c>
      <c r="R3189" s="2" t="inlineStr"/>
    </row>
    <row r="3190" ht="15" customHeight="1">
      <c r="A3190" t="inlineStr">
        <is>
          <t>A 34571-2023</t>
        </is>
      </c>
      <c r="B3190" s="1" t="n">
        <v>45140</v>
      </c>
      <c r="C3190" s="1" t="n">
        <v>45358</v>
      </c>
      <c r="D3190" t="inlineStr">
        <is>
          <t>HALLANDS LÄN</t>
        </is>
      </c>
      <c r="E3190" t="inlineStr">
        <is>
          <t>VARBERG</t>
        </is>
      </c>
      <c r="G3190" t="n">
        <v>0.7</v>
      </c>
      <c r="H3190" t="n">
        <v>0</v>
      </c>
      <c r="I3190" t="n">
        <v>0</v>
      </c>
      <c r="J3190" t="n">
        <v>0</v>
      </c>
      <c r="K3190" t="n">
        <v>0</v>
      </c>
      <c r="L3190" t="n">
        <v>0</v>
      </c>
      <c r="M3190" t="n">
        <v>0</v>
      </c>
      <c r="N3190" t="n">
        <v>0</v>
      </c>
      <c r="O3190" t="n">
        <v>0</v>
      </c>
      <c r="P3190" t="n">
        <v>0</v>
      </c>
      <c r="Q3190" t="n">
        <v>0</v>
      </c>
      <c r="R3190" s="2" t="inlineStr"/>
    </row>
    <row r="3191" ht="15" customHeight="1">
      <c r="A3191" t="inlineStr">
        <is>
          <t>A 34969-2023</t>
        </is>
      </c>
      <c r="B3191" s="1" t="n">
        <v>45142</v>
      </c>
      <c r="C3191" s="1" t="n">
        <v>45358</v>
      </c>
      <c r="D3191" t="inlineStr">
        <is>
          <t>HALLANDS LÄN</t>
        </is>
      </c>
      <c r="E3191" t="inlineStr">
        <is>
          <t>FALKENBERG</t>
        </is>
      </c>
      <c r="G3191" t="n">
        <v>4.6</v>
      </c>
      <c r="H3191" t="n">
        <v>0</v>
      </c>
      <c r="I3191" t="n">
        <v>0</v>
      </c>
      <c r="J3191" t="n">
        <v>0</v>
      </c>
      <c r="K3191" t="n">
        <v>0</v>
      </c>
      <c r="L3191" t="n">
        <v>0</v>
      </c>
      <c r="M3191" t="n">
        <v>0</v>
      </c>
      <c r="N3191" t="n">
        <v>0</v>
      </c>
      <c r="O3191" t="n">
        <v>0</v>
      </c>
      <c r="P3191" t="n">
        <v>0</v>
      </c>
      <c r="Q3191" t="n">
        <v>0</v>
      </c>
      <c r="R3191" s="2" t="inlineStr"/>
    </row>
    <row r="3192" ht="15" customHeight="1">
      <c r="A3192" t="inlineStr">
        <is>
          <t>A 35134-2023</t>
        </is>
      </c>
      <c r="B3192" s="1" t="n">
        <v>45145</v>
      </c>
      <c r="C3192" s="1" t="n">
        <v>45358</v>
      </c>
      <c r="D3192" t="inlineStr">
        <is>
          <t>HALLANDS LÄN</t>
        </is>
      </c>
      <c r="E3192" t="inlineStr">
        <is>
          <t>HYLTE</t>
        </is>
      </c>
      <c r="G3192" t="n">
        <v>1.2</v>
      </c>
      <c r="H3192" t="n">
        <v>0</v>
      </c>
      <c r="I3192" t="n">
        <v>0</v>
      </c>
      <c r="J3192" t="n">
        <v>0</v>
      </c>
      <c r="K3192" t="n">
        <v>0</v>
      </c>
      <c r="L3192" t="n">
        <v>0</v>
      </c>
      <c r="M3192" t="n">
        <v>0</v>
      </c>
      <c r="N3192" t="n">
        <v>0</v>
      </c>
      <c r="O3192" t="n">
        <v>0</v>
      </c>
      <c r="P3192" t="n">
        <v>0</v>
      </c>
      <c r="Q3192" t="n">
        <v>0</v>
      </c>
      <c r="R3192" s="2" t="inlineStr"/>
    </row>
    <row r="3193" ht="15" customHeight="1">
      <c r="A3193" t="inlineStr">
        <is>
          <t>A 35175-2023</t>
        </is>
      </c>
      <c r="B3193" s="1" t="n">
        <v>45145</v>
      </c>
      <c r="C3193" s="1" t="n">
        <v>45358</v>
      </c>
      <c r="D3193" t="inlineStr">
        <is>
          <t>HALLANDS LÄN</t>
        </is>
      </c>
      <c r="E3193" t="inlineStr">
        <is>
          <t>HYLTE</t>
        </is>
      </c>
      <c r="G3193" t="n">
        <v>1.7</v>
      </c>
      <c r="H3193" t="n">
        <v>0</v>
      </c>
      <c r="I3193" t="n">
        <v>0</v>
      </c>
      <c r="J3193" t="n">
        <v>0</v>
      </c>
      <c r="K3193" t="n">
        <v>0</v>
      </c>
      <c r="L3193" t="n">
        <v>0</v>
      </c>
      <c r="M3193" t="n">
        <v>0</v>
      </c>
      <c r="N3193" t="n">
        <v>0</v>
      </c>
      <c r="O3193" t="n">
        <v>0</v>
      </c>
      <c r="P3193" t="n">
        <v>0</v>
      </c>
      <c r="Q3193" t="n">
        <v>0</v>
      </c>
      <c r="R3193" s="2" t="inlineStr"/>
    </row>
    <row r="3194" ht="15" customHeight="1">
      <c r="A3194" t="inlineStr">
        <is>
          <t>A 35058-2023</t>
        </is>
      </c>
      <c r="B3194" s="1" t="n">
        <v>45145</v>
      </c>
      <c r="C3194" s="1" t="n">
        <v>45358</v>
      </c>
      <c r="D3194" t="inlineStr">
        <is>
          <t>HALLANDS LÄN</t>
        </is>
      </c>
      <c r="E3194" t="inlineStr">
        <is>
          <t>HYLTE</t>
        </is>
      </c>
      <c r="G3194" t="n">
        <v>0.9</v>
      </c>
      <c r="H3194" t="n">
        <v>0</v>
      </c>
      <c r="I3194" t="n">
        <v>0</v>
      </c>
      <c r="J3194" t="n">
        <v>0</v>
      </c>
      <c r="K3194" t="n">
        <v>0</v>
      </c>
      <c r="L3194" t="n">
        <v>0</v>
      </c>
      <c r="M3194" t="n">
        <v>0</v>
      </c>
      <c r="N3194" t="n">
        <v>0</v>
      </c>
      <c r="O3194" t="n">
        <v>0</v>
      </c>
      <c r="P3194" t="n">
        <v>0</v>
      </c>
      <c r="Q3194" t="n">
        <v>0</v>
      </c>
      <c r="R3194" s="2" t="inlineStr"/>
    </row>
    <row r="3195" ht="15" customHeight="1">
      <c r="A3195" t="inlineStr">
        <is>
          <t>A 35423-2023</t>
        </is>
      </c>
      <c r="B3195" s="1" t="n">
        <v>45146</v>
      </c>
      <c r="C3195" s="1" t="n">
        <v>45358</v>
      </c>
      <c r="D3195" t="inlineStr">
        <is>
          <t>HALLANDS LÄN</t>
        </is>
      </c>
      <c r="E3195" t="inlineStr">
        <is>
          <t>LAHOLM</t>
        </is>
      </c>
      <c r="G3195" t="n">
        <v>0.9</v>
      </c>
      <c r="H3195" t="n">
        <v>0</v>
      </c>
      <c r="I3195" t="n">
        <v>0</v>
      </c>
      <c r="J3195" t="n">
        <v>0</v>
      </c>
      <c r="K3195" t="n">
        <v>0</v>
      </c>
      <c r="L3195" t="n">
        <v>0</v>
      </c>
      <c r="M3195" t="n">
        <v>0</v>
      </c>
      <c r="N3195" t="n">
        <v>0</v>
      </c>
      <c r="O3195" t="n">
        <v>0</v>
      </c>
      <c r="P3195" t="n">
        <v>0</v>
      </c>
      <c r="Q3195" t="n">
        <v>0</v>
      </c>
      <c r="R3195" s="2" t="inlineStr"/>
    </row>
    <row r="3196" ht="15" customHeight="1">
      <c r="A3196" t="inlineStr">
        <is>
          <t>A 35310-2023</t>
        </is>
      </c>
      <c r="B3196" s="1" t="n">
        <v>45146</v>
      </c>
      <c r="C3196" s="1" t="n">
        <v>45358</v>
      </c>
      <c r="D3196" t="inlineStr">
        <is>
          <t>HALLANDS LÄN</t>
        </is>
      </c>
      <c r="E3196" t="inlineStr">
        <is>
          <t>FALKENBERG</t>
        </is>
      </c>
      <c r="G3196" t="n">
        <v>3.2</v>
      </c>
      <c r="H3196" t="n">
        <v>0</v>
      </c>
      <c r="I3196" t="n">
        <v>0</v>
      </c>
      <c r="J3196" t="n">
        <v>0</v>
      </c>
      <c r="K3196" t="n">
        <v>0</v>
      </c>
      <c r="L3196" t="n">
        <v>0</v>
      </c>
      <c r="M3196" t="n">
        <v>0</v>
      </c>
      <c r="N3196" t="n">
        <v>0</v>
      </c>
      <c r="O3196" t="n">
        <v>0</v>
      </c>
      <c r="P3196" t="n">
        <v>0</v>
      </c>
      <c r="Q3196" t="n">
        <v>0</v>
      </c>
      <c r="R3196" s="2" t="inlineStr"/>
    </row>
    <row r="3197" ht="15" customHeight="1">
      <c r="A3197" t="inlineStr">
        <is>
          <t>A 35425-2023</t>
        </is>
      </c>
      <c r="B3197" s="1" t="n">
        <v>45146</v>
      </c>
      <c r="C3197" s="1" t="n">
        <v>45358</v>
      </c>
      <c r="D3197" t="inlineStr">
        <is>
          <t>HALLANDS LÄN</t>
        </is>
      </c>
      <c r="E3197" t="inlineStr">
        <is>
          <t>LAHOLM</t>
        </is>
      </c>
      <c r="G3197" t="n">
        <v>0.9</v>
      </c>
      <c r="H3197" t="n">
        <v>0</v>
      </c>
      <c r="I3197" t="n">
        <v>0</v>
      </c>
      <c r="J3197" t="n">
        <v>0</v>
      </c>
      <c r="K3197" t="n">
        <v>0</v>
      </c>
      <c r="L3197" t="n">
        <v>0</v>
      </c>
      <c r="M3197" t="n">
        <v>0</v>
      </c>
      <c r="N3197" t="n">
        <v>0</v>
      </c>
      <c r="O3197" t="n">
        <v>0</v>
      </c>
      <c r="P3197" t="n">
        <v>0</v>
      </c>
      <c r="Q3197" t="n">
        <v>0</v>
      </c>
      <c r="R3197" s="2" t="inlineStr"/>
    </row>
    <row r="3198" ht="15" customHeight="1">
      <c r="A3198" t="inlineStr">
        <is>
          <t>A 35402-2023</t>
        </is>
      </c>
      <c r="B3198" s="1" t="n">
        <v>45146</v>
      </c>
      <c r="C3198" s="1" t="n">
        <v>45358</v>
      </c>
      <c r="D3198" t="inlineStr">
        <is>
          <t>HALLANDS LÄN</t>
        </is>
      </c>
      <c r="E3198" t="inlineStr">
        <is>
          <t>HALMSTAD</t>
        </is>
      </c>
      <c r="G3198" t="n">
        <v>1.9</v>
      </c>
      <c r="H3198" t="n">
        <v>0</v>
      </c>
      <c r="I3198" t="n">
        <v>0</v>
      </c>
      <c r="J3198" t="n">
        <v>0</v>
      </c>
      <c r="K3198" t="n">
        <v>0</v>
      </c>
      <c r="L3198" t="n">
        <v>0</v>
      </c>
      <c r="M3198" t="n">
        <v>0</v>
      </c>
      <c r="N3198" t="n">
        <v>0</v>
      </c>
      <c r="O3198" t="n">
        <v>0</v>
      </c>
      <c r="P3198" t="n">
        <v>0</v>
      </c>
      <c r="Q3198" t="n">
        <v>0</v>
      </c>
      <c r="R3198" s="2" t="inlineStr"/>
    </row>
    <row r="3199" ht="15" customHeight="1">
      <c r="A3199" t="inlineStr">
        <is>
          <t>A 35414-2023</t>
        </is>
      </c>
      <c r="B3199" s="1" t="n">
        <v>45146</v>
      </c>
      <c r="C3199" s="1" t="n">
        <v>45358</v>
      </c>
      <c r="D3199" t="inlineStr">
        <is>
          <t>HALLANDS LÄN</t>
        </is>
      </c>
      <c r="E3199" t="inlineStr">
        <is>
          <t>LAHOLM</t>
        </is>
      </c>
      <c r="G3199" t="n">
        <v>8.800000000000001</v>
      </c>
      <c r="H3199" t="n">
        <v>0</v>
      </c>
      <c r="I3199" t="n">
        <v>0</v>
      </c>
      <c r="J3199" t="n">
        <v>0</v>
      </c>
      <c r="K3199" t="n">
        <v>0</v>
      </c>
      <c r="L3199" t="n">
        <v>0</v>
      </c>
      <c r="M3199" t="n">
        <v>0</v>
      </c>
      <c r="N3199" t="n">
        <v>0</v>
      </c>
      <c r="O3199" t="n">
        <v>0</v>
      </c>
      <c r="P3199" t="n">
        <v>0</v>
      </c>
      <c r="Q3199" t="n">
        <v>0</v>
      </c>
      <c r="R3199" s="2" t="inlineStr"/>
    </row>
    <row r="3200" ht="15" customHeight="1">
      <c r="A3200" t="inlineStr">
        <is>
          <t>A 35428-2023</t>
        </is>
      </c>
      <c r="B3200" s="1" t="n">
        <v>45146</v>
      </c>
      <c r="C3200" s="1" t="n">
        <v>45358</v>
      </c>
      <c r="D3200" t="inlineStr">
        <is>
          <t>HALLANDS LÄN</t>
        </is>
      </c>
      <c r="E3200" t="inlineStr">
        <is>
          <t>LAHOLM</t>
        </is>
      </c>
      <c r="G3200" t="n">
        <v>0.7</v>
      </c>
      <c r="H3200" t="n">
        <v>0</v>
      </c>
      <c r="I3200" t="n">
        <v>0</v>
      </c>
      <c r="J3200" t="n">
        <v>0</v>
      </c>
      <c r="K3200" t="n">
        <v>0</v>
      </c>
      <c r="L3200" t="n">
        <v>0</v>
      </c>
      <c r="M3200" t="n">
        <v>0</v>
      </c>
      <c r="N3200" t="n">
        <v>0</v>
      </c>
      <c r="O3200" t="n">
        <v>0</v>
      </c>
      <c r="P3200" t="n">
        <v>0</v>
      </c>
      <c r="Q3200" t="n">
        <v>0</v>
      </c>
      <c r="R3200" s="2" t="inlineStr"/>
    </row>
    <row r="3201" ht="15" customHeight="1">
      <c r="A3201" t="inlineStr">
        <is>
          <t>A 35449-2023</t>
        </is>
      </c>
      <c r="B3201" s="1" t="n">
        <v>45146</v>
      </c>
      <c r="C3201" s="1" t="n">
        <v>45358</v>
      </c>
      <c r="D3201" t="inlineStr">
        <is>
          <t>HALLANDS LÄN</t>
        </is>
      </c>
      <c r="E3201" t="inlineStr">
        <is>
          <t>LAHOLM</t>
        </is>
      </c>
      <c r="G3201" t="n">
        <v>1.3</v>
      </c>
      <c r="H3201" t="n">
        <v>0</v>
      </c>
      <c r="I3201" t="n">
        <v>0</v>
      </c>
      <c r="J3201" t="n">
        <v>0</v>
      </c>
      <c r="K3201" t="n">
        <v>0</v>
      </c>
      <c r="L3201" t="n">
        <v>0</v>
      </c>
      <c r="M3201" t="n">
        <v>0</v>
      </c>
      <c r="N3201" t="n">
        <v>0</v>
      </c>
      <c r="O3201" t="n">
        <v>0</v>
      </c>
      <c r="P3201" t="n">
        <v>0</v>
      </c>
      <c r="Q3201" t="n">
        <v>0</v>
      </c>
      <c r="R3201" s="2" t="inlineStr"/>
    </row>
    <row r="3202" ht="15" customHeight="1">
      <c r="A3202" t="inlineStr">
        <is>
          <t>A 35605-2023</t>
        </is>
      </c>
      <c r="B3202" s="1" t="n">
        <v>45147</v>
      </c>
      <c r="C3202" s="1" t="n">
        <v>45358</v>
      </c>
      <c r="D3202" t="inlineStr">
        <is>
          <t>HALLANDS LÄN</t>
        </is>
      </c>
      <c r="E3202" t="inlineStr">
        <is>
          <t>LAHOLM</t>
        </is>
      </c>
      <c r="G3202" t="n">
        <v>1</v>
      </c>
      <c r="H3202" t="n">
        <v>0</v>
      </c>
      <c r="I3202" t="n">
        <v>0</v>
      </c>
      <c r="J3202" t="n">
        <v>0</v>
      </c>
      <c r="K3202" t="n">
        <v>0</v>
      </c>
      <c r="L3202" t="n">
        <v>0</v>
      </c>
      <c r="M3202" t="n">
        <v>0</v>
      </c>
      <c r="N3202" t="n">
        <v>0</v>
      </c>
      <c r="O3202" t="n">
        <v>0</v>
      </c>
      <c r="P3202" t="n">
        <v>0</v>
      </c>
      <c r="Q3202" t="n">
        <v>0</v>
      </c>
      <c r="R3202" s="2" t="inlineStr"/>
    </row>
    <row r="3203" ht="15" customHeight="1">
      <c r="A3203" t="inlineStr">
        <is>
          <t>A 35686-2023</t>
        </is>
      </c>
      <c r="B3203" s="1" t="n">
        <v>45147</v>
      </c>
      <c r="C3203" s="1" t="n">
        <v>45358</v>
      </c>
      <c r="D3203" t="inlineStr">
        <is>
          <t>HALLANDS LÄN</t>
        </is>
      </c>
      <c r="E3203" t="inlineStr">
        <is>
          <t>FALKENBERG</t>
        </is>
      </c>
      <c r="G3203" t="n">
        <v>1.4</v>
      </c>
      <c r="H3203" t="n">
        <v>0</v>
      </c>
      <c r="I3203" t="n">
        <v>0</v>
      </c>
      <c r="J3203" t="n">
        <v>0</v>
      </c>
      <c r="K3203" t="n">
        <v>0</v>
      </c>
      <c r="L3203" t="n">
        <v>0</v>
      </c>
      <c r="M3203" t="n">
        <v>0</v>
      </c>
      <c r="N3203" t="n">
        <v>0</v>
      </c>
      <c r="O3203" t="n">
        <v>0</v>
      </c>
      <c r="P3203" t="n">
        <v>0</v>
      </c>
      <c r="Q3203" t="n">
        <v>0</v>
      </c>
      <c r="R3203" s="2" t="inlineStr"/>
    </row>
    <row r="3204" ht="15" customHeight="1">
      <c r="A3204" t="inlineStr">
        <is>
          <t>A 35621-2023</t>
        </is>
      </c>
      <c r="B3204" s="1" t="n">
        <v>45147</v>
      </c>
      <c r="C3204" s="1" t="n">
        <v>45358</v>
      </c>
      <c r="D3204" t="inlineStr">
        <is>
          <t>HALLANDS LÄN</t>
        </is>
      </c>
      <c r="E3204" t="inlineStr">
        <is>
          <t>HALMSTAD</t>
        </is>
      </c>
      <c r="G3204" t="n">
        <v>0.7</v>
      </c>
      <c r="H3204" t="n">
        <v>0</v>
      </c>
      <c r="I3204" t="n">
        <v>0</v>
      </c>
      <c r="J3204" t="n">
        <v>0</v>
      </c>
      <c r="K3204" t="n">
        <v>0</v>
      </c>
      <c r="L3204" t="n">
        <v>0</v>
      </c>
      <c r="M3204" t="n">
        <v>0</v>
      </c>
      <c r="N3204" t="n">
        <v>0</v>
      </c>
      <c r="O3204" t="n">
        <v>0</v>
      </c>
      <c r="P3204" t="n">
        <v>0</v>
      </c>
      <c r="Q3204" t="n">
        <v>0</v>
      </c>
      <c r="R3204" s="2" t="inlineStr"/>
    </row>
    <row r="3205" ht="15" customHeight="1">
      <c r="A3205" t="inlineStr">
        <is>
          <t>A 35603-2023</t>
        </is>
      </c>
      <c r="B3205" s="1" t="n">
        <v>45147</v>
      </c>
      <c r="C3205" s="1" t="n">
        <v>45358</v>
      </c>
      <c r="D3205" t="inlineStr">
        <is>
          <t>HALLANDS LÄN</t>
        </is>
      </c>
      <c r="E3205" t="inlineStr">
        <is>
          <t>LAHOLM</t>
        </is>
      </c>
      <c r="G3205" t="n">
        <v>1.4</v>
      </c>
      <c r="H3205" t="n">
        <v>0</v>
      </c>
      <c r="I3205" t="n">
        <v>0</v>
      </c>
      <c r="J3205" t="n">
        <v>0</v>
      </c>
      <c r="K3205" t="n">
        <v>0</v>
      </c>
      <c r="L3205" t="n">
        <v>0</v>
      </c>
      <c r="M3205" t="n">
        <v>0</v>
      </c>
      <c r="N3205" t="n">
        <v>0</v>
      </c>
      <c r="O3205" t="n">
        <v>0</v>
      </c>
      <c r="P3205" t="n">
        <v>0</v>
      </c>
      <c r="Q3205" t="n">
        <v>0</v>
      </c>
      <c r="R3205" s="2" t="inlineStr"/>
    </row>
    <row r="3206" ht="15" customHeight="1">
      <c r="A3206" t="inlineStr">
        <is>
          <t>A 35604-2023</t>
        </is>
      </c>
      <c r="B3206" s="1" t="n">
        <v>45147</v>
      </c>
      <c r="C3206" s="1" t="n">
        <v>45358</v>
      </c>
      <c r="D3206" t="inlineStr">
        <is>
          <t>HALLANDS LÄN</t>
        </is>
      </c>
      <c r="E3206" t="inlineStr">
        <is>
          <t>LAHOLM</t>
        </is>
      </c>
      <c r="G3206" t="n">
        <v>3</v>
      </c>
      <c r="H3206" t="n">
        <v>0</v>
      </c>
      <c r="I3206" t="n">
        <v>0</v>
      </c>
      <c r="J3206" t="n">
        <v>0</v>
      </c>
      <c r="K3206" t="n">
        <v>0</v>
      </c>
      <c r="L3206" t="n">
        <v>0</v>
      </c>
      <c r="M3206" t="n">
        <v>0</v>
      </c>
      <c r="N3206" t="n">
        <v>0</v>
      </c>
      <c r="O3206" t="n">
        <v>0</v>
      </c>
      <c r="P3206" t="n">
        <v>0</v>
      </c>
      <c r="Q3206" t="n">
        <v>0</v>
      </c>
      <c r="R3206" s="2" t="inlineStr"/>
    </row>
    <row r="3207" ht="15" customHeight="1">
      <c r="A3207" t="inlineStr">
        <is>
          <t>A 35841-2023</t>
        </is>
      </c>
      <c r="B3207" s="1" t="n">
        <v>45148</v>
      </c>
      <c r="C3207" s="1" t="n">
        <v>45358</v>
      </c>
      <c r="D3207" t="inlineStr">
        <is>
          <t>HALLANDS LÄN</t>
        </is>
      </c>
      <c r="E3207" t="inlineStr">
        <is>
          <t>FALKENBERG</t>
        </is>
      </c>
      <c r="G3207" t="n">
        <v>0.9</v>
      </c>
      <c r="H3207" t="n">
        <v>0</v>
      </c>
      <c r="I3207" t="n">
        <v>0</v>
      </c>
      <c r="J3207" t="n">
        <v>0</v>
      </c>
      <c r="K3207" t="n">
        <v>0</v>
      </c>
      <c r="L3207" t="n">
        <v>0</v>
      </c>
      <c r="M3207" t="n">
        <v>0</v>
      </c>
      <c r="N3207" t="n">
        <v>0</v>
      </c>
      <c r="O3207" t="n">
        <v>0</v>
      </c>
      <c r="P3207" t="n">
        <v>0</v>
      </c>
      <c r="Q3207" t="n">
        <v>0</v>
      </c>
      <c r="R3207" s="2" t="inlineStr"/>
    </row>
    <row r="3208" ht="15" customHeight="1">
      <c r="A3208" t="inlineStr">
        <is>
          <t>A 35905-2023</t>
        </is>
      </c>
      <c r="B3208" s="1" t="n">
        <v>45148</v>
      </c>
      <c r="C3208" s="1" t="n">
        <v>45358</v>
      </c>
      <c r="D3208" t="inlineStr">
        <is>
          <t>HALLANDS LÄN</t>
        </is>
      </c>
      <c r="E3208" t="inlineStr">
        <is>
          <t>FALKENBERG</t>
        </is>
      </c>
      <c r="G3208" t="n">
        <v>3.5</v>
      </c>
      <c r="H3208" t="n">
        <v>0</v>
      </c>
      <c r="I3208" t="n">
        <v>0</v>
      </c>
      <c r="J3208" t="n">
        <v>0</v>
      </c>
      <c r="K3208" t="n">
        <v>0</v>
      </c>
      <c r="L3208" t="n">
        <v>0</v>
      </c>
      <c r="M3208" t="n">
        <v>0</v>
      </c>
      <c r="N3208" t="n">
        <v>0</v>
      </c>
      <c r="O3208" t="n">
        <v>0</v>
      </c>
      <c r="P3208" t="n">
        <v>0</v>
      </c>
      <c r="Q3208" t="n">
        <v>0</v>
      </c>
      <c r="R3208" s="2" t="inlineStr"/>
    </row>
    <row r="3209" ht="15" customHeight="1">
      <c r="A3209" t="inlineStr">
        <is>
          <t>A 36026-2023</t>
        </is>
      </c>
      <c r="B3209" s="1" t="n">
        <v>45149</v>
      </c>
      <c r="C3209" s="1" t="n">
        <v>45358</v>
      </c>
      <c r="D3209" t="inlineStr">
        <is>
          <t>HALLANDS LÄN</t>
        </is>
      </c>
      <c r="E3209" t="inlineStr">
        <is>
          <t>KUNGSBACKA</t>
        </is>
      </c>
      <c r="G3209" t="n">
        <v>2.4</v>
      </c>
      <c r="H3209" t="n">
        <v>0</v>
      </c>
      <c r="I3209" t="n">
        <v>0</v>
      </c>
      <c r="J3209" t="n">
        <v>0</v>
      </c>
      <c r="K3209" t="n">
        <v>0</v>
      </c>
      <c r="L3209" t="n">
        <v>0</v>
      </c>
      <c r="M3209" t="n">
        <v>0</v>
      </c>
      <c r="N3209" t="n">
        <v>0</v>
      </c>
      <c r="O3209" t="n">
        <v>0</v>
      </c>
      <c r="P3209" t="n">
        <v>0</v>
      </c>
      <c r="Q3209" t="n">
        <v>0</v>
      </c>
      <c r="R3209" s="2" t="inlineStr"/>
    </row>
    <row r="3210" ht="15" customHeight="1">
      <c r="A3210" t="inlineStr">
        <is>
          <t>A 36068-2023</t>
        </is>
      </c>
      <c r="B3210" s="1" t="n">
        <v>45149</v>
      </c>
      <c r="C3210" s="1" t="n">
        <v>45358</v>
      </c>
      <c r="D3210" t="inlineStr">
        <is>
          <t>HALLANDS LÄN</t>
        </is>
      </c>
      <c r="E3210" t="inlineStr">
        <is>
          <t>KUNGSBACKA</t>
        </is>
      </c>
      <c r="G3210" t="n">
        <v>5.3</v>
      </c>
      <c r="H3210" t="n">
        <v>0</v>
      </c>
      <c r="I3210" t="n">
        <v>0</v>
      </c>
      <c r="J3210" t="n">
        <v>0</v>
      </c>
      <c r="K3210" t="n">
        <v>0</v>
      </c>
      <c r="L3210" t="n">
        <v>0</v>
      </c>
      <c r="M3210" t="n">
        <v>0</v>
      </c>
      <c r="N3210" t="n">
        <v>0</v>
      </c>
      <c r="O3210" t="n">
        <v>0</v>
      </c>
      <c r="P3210" t="n">
        <v>0</v>
      </c>
      <c r="Q3210" t="n">
        <v>0</v>
      </c>
      <c r="R3210" s="2" t="inlineStr"/>
    </row>
    <row r="3211" ht="15" customHeight="1">
      <c r="A3211" t="inlineStr">
        <is>
          <t>A 36074-2023</t>
        </is>
      </c>
      <c r="B3211" s="1" t="n">
        <v>45149</v>
      </c>
      <c r="C3211" s="1" t="n">
        <v>45358</v>
      </c>
      <c r="D3211" t="inlineStr">
        <is>
          <t>HALLANDS LÄN</t>
        </is>
      </c>
      <c r="E3211" t="inlineStr">
        <is>
          <t>FALKENBERG</t>
        </is>
      </c>
      <c r="G3211" t="n">
        <v>1.2</v>
      </c>
      <c r="H3211" t="n">
        <v>0</v>
      </c>
      <c r="I3211" t="n">
        <v>0</v>
      </c>
      <c r="J3211" t="n">
        <v>0</v>
      </c>
      <c r="K3211" t="n">
        <v>0</v>
      </c>
      <c r="L3211" t="n">
        <v>0</v>
      </c>
      <c r="M3211" t="n">
        <v>0</v>
      </c>
      <c r="N3211" t="n">
        <v>0</v>
      </c>
      <c r="O3211" t="n">
        <v>0</v>
      </c>
      <c r="P3211" t="n">
        <v>0</v>
      </c>
      <c r="Q3211" t="n">
        <v>0</v>
      </c>
      <c r="R3211" s="2" t="inlineStr"/>
    </row>
    <row r="3212" ht="15" customHeight="1">
      <c r="A3212" t="inlineStr">
        <is>
          <t>A 36198-2023</t>
        </is>
      </c>
      <c r="B3212" s="1" t="n">
        <v>45149</v>
      </c>
      <c r="C3212" s="1" t="n">
        <v>45358</v>
      </c>
      <c r="D3212" t="inlineStr">
        <is>
          <t>HALLANDS LÄN</t>
        </is>
      </c>
      <c r="E3212" t="inlineStr">
        <is>
          <t>FALKENBERG</t>
        </is>
      </c>
      <c r="G3212" t="n">
        <v>0.8</v>
      </c>
      <c r="H3212" t="n">
        <v>0</v>
      </c>
      <c r="I3212" t="n">
        <v>0</v>
      </c>
      <c r="J3212" t="n">
        <v>0</v>
      </c>
      <c r="K3212" t="n">
        <v>0</v>
      </c>
      <c r="L3212" t="n">
        <v>0</v>
      </c>
      <c r="M3212" t="n">
        <v>0</v>
      </c>
      <c r="N3212" t="n">
        <v>0</v>
      </c>
      <c r="O3212" t="n">
        <v>0</v>
      </c>
      <c r="P3212" t="n">
        <v>0</v>
      </c>
      <c r="Q3212" t="n">
        <v>0</v>
      </c>
      <c r="R3212" s="2" t="inlineStr"/>
    </row>
    <row r="3213" ht="15" customHeight="1">
      <c r="A3213" t="inlineStr">
        <is>
          <t>A 36199-2023</t>
        </is>
      </c>
      <c r="B3213" s="1" t="n">
        <v>45149</v>
      </c>
      <c r="C3213" s="1" t="n">
        <v>45358</v>
      </c>
      <c r="D3213" t="inlineStr">
        <is>
          <t>HALLANDS LÄN</t>
        </is>
      </c>
      <c r="E3213" t="inlineStr">
        <is>
          <t>HYLTE</t>
        </is>
      </c>
      <c r="G3213" t="n">
        <v>1.5</v>
      </c>
      <c r="H3213" t="n">
        <v>0</v>
      </c>
      <c r="I3213" t="n">
        <v>0</v>
      </c>
      <c r="J3213" t="n">
        <v>0</v>
      </c>
      <c r="K3213" t="n">
        <v>0</v>
      </c>
      <c r="L3213" t="n">
        <v>0</v>
      </c>
      <c r="M3213" t="n">
        <v>0</v>
      </c>
      <c r="N3213" t="n">
        <v>0</v>
      </c>
      <c r="O3213" t="n">
        <v>0</v>
      </c>
      <c r="P3213" t="n">
        <v>0</v>
      </c>
      <c r="Q3213" t="n">
        <v>0</v>
      </c>
      <c r="R3213" s="2" t="inlineStr"/>
    </row>
    <row r="3214" ht="15" customHeight="1">
      <c r="A3214" t="inlineStr">
        <is>
          <t>A 36197-2023</t>
        </is>
      </c>
      <c r="B3214" s="1" t="n">
        <v>45149</v>
      </c>
      <c r="C3214" s="1" t="n">
        <v>45358</v>
      </c>
      <c r="D3214" t="inlineStr">
        <is>
          <t>HALLANDS LÄN</t>
        </is>
      </c>
      <c r="E3214" t="inlineStr">
        <is>
          <t>FALKENBERG</t>
        </is>
      </c>
      <c r="G3214" t="n">
        <v>4.3</v>
      </c>
      <c r="H3214" t="n">
        <v>0</v>
      </c>
      <c r="I3214" t="n">
        <v>0</v>
      </c>
      <c r="J3214" t="n">
        <v>0</v>
      </c>
      <c r="K3214" t="n">
        <v>0</v>
      </c>
      <c r="L3214" t="n">
        <v>0</v>
      </c>
      <c r="M3214" t="n">
        <v>0</v>
      </c>
      <c r="N3214" t="n">
        <v>0</v>
      </c>
      <c r="O3214" t="n">
        <v>0</v>
      </c>
      <c r="P3214" t="n">
        <v>0</v>
      </c>
      <c r="Q3214" t="n">
        <v>0</v>
      </c>
      <c r="R3214" s="2" t="inlineStr"/>
    </row>
    <row r="3215" ht="15" customHeight="1">
      <c r="A3215" t="inlineStr">
        <is>
          <t>A 36431-2023</t>
        </is>
      </c>
      <c r="B3215" s="1" t="n">
        <v>45152</v>
      </c>
      <c r="C3215" s="1" t="n">
        <v>45358</v>
      </c>
      <c r="D3215" t="inlineStr">
        <is>
          <t>HALLANDS LÄN</t>
        </is>
      </c>
      <c r="E3215" t="inlineStr">
        <is>
          <t>FALKENBERG</t>
        </is>
      </c>
      <c r="G3215" t="n">
        <v>1.8</v>
      </c>
      <c r="H3215" t="n">
        <v>0</v>
      </c>
      <c r="I3215" t="n">
        <v>0</v>
      </c>
      <c r="J3215" t="n">
        <v>0</v>
      </c>
      <c r="K3215" t="n">
        <v>0</v>
      </c>
      <c r="L3215" t="n">
        <v>0</v>
      </c>
      <c r="M3215" t="n">
        <v>0</v>
      </c>
      <c r="N3215" t="n">
        <v>0</v>
      </c>
      <c r="O3215" t="n">
        <v>0</v>
      </c>
      <c r="P3215" t="n">
        <v>0</v>
      </c>
      <c r="Q3215" t="n">
        <v>0</v>
      </c>
      <c r="R3215" s="2" t="inlineStr"/>
    </row>
    <row r="3216" ht="15" customHeight="1">
      <c r="A3216" t="inlineStr">
        <is>
          <t>A 36313-2023</t>
        </is>
      </c>
      <c r="B3216" s="1" t="n">
        <v>45152</v>
      </c>
      <c r="C3216" s="1" t="n">
        <v>45358</v>
      </c>
      <c r="D3216" t="inlineStr">
        <is>
          <t>HALLANDS LÄN</t>
        </is>
      </c>
      <c r="E3216" t="inlineStr">
        <is>
          <t>FALKENBERG</t>
        </is>
      </c>
      <c r="G3216" t="n">
        <v>1.4</v>
      </c>
      <c r="H3216" t="n">
        <v>0</v>
      </c>
      <c r="I3216" t="n">
        <v>0</v>
      </c>
      <c r="J3216" t="n">
        <v>0</v>
      </c>
      <c r="K3216" t="n">
        <v>0</v>
      </c>
      <c r="L3216" t="n">
        <v>0</v>
      </c>
      <c r="M3216" t="n">
        <v>0</v>
      </c>
      <c r="N3216" t="n">
        <v>0</v>
      </c>
      <c r="O3216" t="n">
        <v>0</v>
      </c>
      <c r="P3216" t="n">
        <v>0</v>
      </c>
      <c r="Q3216" t="n">
        <v>0</v>
      </c>
      <c r="R3216" s="2" t="inlineStr"/>
    </row>
    <row r="3217" ht="15" customHeight="1">
      <c r="A3217" t="inlineStr">
        <is>
          <t>A 36484-2023</t>
        </is>
      </c>
      <c r="B3217" s="1" t="n">
        <v>45152</v>
      </c>
      <c r="C3217" s="1" t="n">
        <v>45358</v>
      </c>
      <c r="D3217" t="inlineStr">
        <is>
          <t>HALLANDS LÄN</t>
        </is>
      </c>
      <c r="E3217" t="inlineStr">
        <is>
          <t>LAHOLM</t>
        </is>
      </c>
      <c r="G3217" t="n">
        <v>4.2</v>
      </c>
      <c r="H3217" t="n">
        <v>0</v>
      </c>
      <c r="I3217" t="n">
        <v>0</v>
      </c>
      <c r="J3217" t="n">
        <v>0</v>
      </c>
      <c r="K3217" t="n">
        <v>0</v>
      </c>
      <c r="L3217" t="n">
        <v>0</v>
      </c>
      <c r="M3217" t="n">
        <v>0</v>
      </c>
      <c r="N3217" t="n">
        <v>0</v>
      </c>
      <c r="O3217" t="n">
        <v>0</v>
      </c>
      <c r="P3217" t="n">
        <v>0</v>
      </c>
      <c r="Q3217" t="n">
        <v>0</v>
      </c>
      <c r="R3217" s="2" t="inlineStr"/>
    </row>
    <row r="3218" ht="15" customHeight="1">
      <c r="A3218" t="inlineStr">
        <is>
          <t>A 36705-2023</t>
        </is>
      </c>
      <c r="B3218" s="1" t="n">
        <v>45153</v>
      </c>
      <c r="C3218" s="1" t="n">
        <v>45358</v>
      </c>
      <c r="D3218" t="inlineStr">
        <is>
          <t>HALLANDS LÄN</t>
        </is>
      </c>
      <c r="E3218" t="inlineStr">
        <is>
          <t>HYLTE</t>
        </is>
      </c>
      <c r="G3218" t="n">
        <v>3.1</v>
      </c>
      <c r="H3218" t="n">
        <v>0</v>
      </c>
      <c r="I3218" t="n">
        <v>0</v>
      </c>
      <c r="J3218" t="n">
        <v>0</v>
      </c>
      <c r="K3218" t="n">
        <v>0</v>
      </c>
      <c r="L3218" t="n">
        <v>0</v>
      </c>
      <c r="M3218" t="n">
        <v>0</v>
      </c>
      <c r="N3218" t="n">
        <v>0</v>
      </c>
      <c r="O3218" t="n">
        <v>0</v>
      </c>
      <c r="P3218" t="n">
        <v>0</v>
      </c>
      <c r="Q3218" t="n">
        <v>0</v>
      </c>
      <c r="R3218" s="2" t="inlineStr"/>
    </row>
    <row r="3219" ht="15" customHeight="1">
      <c r="A3219" t="inlineStr">
        <is>
          <t>A 36722-2023</t>
        </is>
      </c>
      <c r="B3219" s="1" t="n">
        <v>45153</v>
      </c>
      <c r="C3219" s="1" t="n">
        <v>45358</v>
      </c>
      <c r="D3219" t="inlineStr">
        <is>
          <t>HALLANDS LÄN</t>
        </is>
      </c>
      <c r="E3219" t="inlineStr">
        <is>
          <t>HYLTE</t>
        </is>
      </c>
      <c r="F3219" t="inlineStr">
        <is>
          <t>Bergvik skog väst AB</t>
        </is>
      </c>
      <c r="G3219" t="n">
        <v>11.6</v>
      </c>
      <c r="H3219" t="n">
        <v>0</v>
      </c>
      <c r="I3219" t="n">
        <v>0</v>
      </c>
      <c r="J3219" t="n">
        <v>0</v>
      </c>
      <c r="K3219" t="n">
        <v>0</v>
      </c>
      <c r="L3219" t="n">
        <v>0</v>
      </c>
      <c r="M3219" t="n">
        <v>0</v>
      </c>
      <c r="N3219" t="n">
        <v>0</v>
      </c>
      <c r="O3219" t="n">
        <v>0</v>
      </c>
      <c r="P3219" t="n">
        <v>0</v>
      </c>
      <c r="Q3219" t="n">
        <v>0</v>
      </c>
      <c r="R3219" s="2" t="inlineStr"/>
    </row>
    <row r="3220" ht="15" customHeight="1">
      <c r="A3220" t="inlineStr">
        <is>
          <t>A 36532-2023</t>
        </is>
      </c>
      <c r="B3220" s="1" t="n">
        <v>45153</v>
      </c>
      <c r="C3220" s="1" t="n">
        <v>45358</v>
      </c>
      <c r="D3220" t="inlineStr">
        <is>
          <t>HALLANDS LÄN</t>
        </is>
      </c>
      <c r="E3220" t="inlineStr">
        <is>
          <t>LAHOLM</t>
        </is>
      </c>
      <c r="G3220" t="n">
        <v>0.5</v>
      </c>
      <c r="H3220" t="n">
        <v>0</v>
      </c>
      <c r="I3220" t="n">
        <v>0</v>
      </c>
      <c r="J3220" t="n">
        <v>0</v>
      </c>
      <c r="K3220" t="n">
        <v>0</v>
      </c>
      <c r="L3220" t="n">
        <v>0</v>
      </c>
      <c r="M3220" t="n">
        <v>0</v>
      </c>
      <c r="N3220" t="n">
        <v>0</v>
      </c>
      <c r="O3220" t="n">
        <v>0</v>
      </c>
      <c r="P3220" t="n">
        <v>0</v>
      </c>
      <c r="Q3220" t="n">
        <v>0</v>
      </c>
      <c r="R3220" s="2" t="inlineStr"/>
    </row>
    <row r="3221" ht="15" customHeight="1">
      <c r="A3221" t="inlineStr">
        <is>
          <t>A 36597-2023</t>
        </is>
      </c>
      <c r="B3221" s="1" t="n">
        <v>45153</v>
      </c>
      <c r="C3221" s="1" t="n">
        <v>45358</v>
      </c>
      <c r="D3221" t="inlineStr">
        <is>
          <t>HALLANDS LÄN</t>
        </is>
      </c>
      <c r="E3221" t="inlineStr">
        <is>
          <t>KUNGSBACKA</t>
        </is>
      </c>
      <c r="G3221" t="n">
        <v>2.2</v>
      </c>
      <c r="H3221" t="n">
        <v>0</v>
      </c>
      <c r="I3221" t="n">
        <v>0</v>
      </c>
      <c r="J3221" t="n">
        <v>0</v>
      </c>
      <c r="K3221" t="n">
        <v>0</v>
      </c>
      <c r="L3221" t="n">
        <v>0</v>
      </c>
      <c r="M3221" t="n">
        <v>0</v>
      </c>
      <c r="N3221" t="n">
        <v>0</v>
      </c>
      <c r="O3221" t="n">
        <v>0</v>
      </c>
      <c r="P3221" t="n">
        <v>0</v>
      </c>
      <c r="Q3221" t="n">
        <v>0</v>
      </c>
      <c r="R3221" s="2" t="inlineStr"/>
    </row>
    <row r="3222" ht="15" customHeight="1">
      <c r="A3222" t="inlineStr">
        <is>
          <t>A 36617-2023</t>
        </is>
      </c>
      <c r="B3222" s="1" t="n">
        <v>45153</v>
      </c>
      <c r="C3222" s="1" t="n">
        <v>45358</v>
      </c>
      <c r="D3222" t="inlineStr">
        <is>
          <t>HALLANDS LÄN</t>
        </is>
      </c>
      <c r="E3222" t="inlineStr">
        <is>
          <t>FALKENBERG</t>
        </is>
      </c>
      <c r="G3222" t="n">
        <v>3.2</v>
      </c>
      <c r="H3222" t="n">
        <v>0</v>
      </c>
      <c r="I3222" t="n">
        <v>0</v>
      </c>
      <c r="J3222" t="n">
        <v>0</v>
      </c>
      <c r="K3222" t="n">
        <v>0</v>
      </c>
      <c r="L3222" t="n">
        <v>0</v>
      </c>
      <c r="M3222" t="n">
        <v>0</v>
      </c>
      <c r="N3222" t="n">
        <v>0</v>
      </c>
      <c r="O3222" t="n">
        <v>0</v>
      </c>
      <c r="P3222" t="n">
        <v>0</v>
      </c>
      <c r="Q3222" t="n">
        <v>0</v>
      </c>
      <c r="R3222" s="2" t="inlineStr"/>
    </row>
    <row r="3223" ht="15" customHeight="1">
      <c r="A3223" t="inlineStr">
        <is>
          <t>A 36752-2023</t>
        </is>
      </c>
      <c r="B3223" s="1" t="n">
        <v>45153</v>
      </c>
      <c r="C3223" s="1" t="n">
        <v>45358</v>
      </c>
      <c r="D3223" t="inlineStr">
        <is>
          <t>HALLANDS LÄN</t>
        </is>
      </c>
      <c r="E3223" t="inlineStr">
        <is>
          <t>HYLTE</t>
        </is>
      </c>
      <c r="G3223" t="n">
        <v>4.3</v>
      </c>
      <c r="H3223" t="n">
        <v>0</v>
      </c>
      <c r="I3223" t="n">
        <v>0</v>
      </c>
      <c r="J3223" t="n">
        <v>0</v>
      </c>
      <c r="K3223" t="n">
        <v>0</v>
      </c>
      <c r="L3223" t="n">
        <v>0</v>
      </c>
      <c r="M3223" t="n">
        <v>0</v>
      </c>
      <c r="N3223" t="n">
        <v>0</v>
      </c>
      <c r="O3223" t="n">
        <v>0</v>
      </c>
      <c r="P3223" t="n">
        <v>0</v>
      </c>
      <c r="Q3223" t="n">
        <v>0</v>
      </c>
      <c r="R3223" s="2" t="inlineStr"/>
    </row>
    <row r="3224" ht="15" customHeight="1">
      <c r="A3224" t="inlineStr">
        <is>
          <t>A 36731-2023</t>
        </is>
      </c>
      <c r="B3224" s="1" t="n">
        <v>45153</v>
      </c>
      <c r="C3224" s="1" t="n">
        <v>45358</v>
      </c>
      <c r="D3224" t="inlineStr">
        <is>
          <t>HALLANDS LÄN</t>
        </is>
      </c>
      <c r="E3224" t="inlineStr">
        <is>
          <t>LAHOLM</t>
        </is>
      </c>
      <c r="G3224" t="n">
        <v>4.7</v>
      </c>
      <c r="H3224" t="n">
        <v>0</v>
      </c>
      <c r="I3224" t="n">
        <v>0</v>
      </c>
      <c r="J3224" t="n">
        <v>0</v>
      </c>
      <c r="K3224" t="n">
        <v>0</v>
      </c>
      <c r="L3224" t="n">
        <v>0</v>
      </c>
      <c r="M3224" t="n">
        <v>0</v>
      </c>
      <c r="N3224" t="n">
        <v>0</v>
      </c>
      <c r="O3224" t="n">
        <v>0</v>
      </c>
      <c r="P3224" t="n">
        <v>0</v>
      </c>
      <c r="Q3224" t="n">
        <v>0</v>
      </c>
      <c r="R3224" s="2" t="inlineStr"/>
    </row>
    <row r="3225" ht="15" customHeight="1">
      <c r="A3225" t="inlineStr">
        <is>
          <t>A 36806-2023</t>
        </is>
      </c>
      <c r="B3225" s="1" t="n">
        <v>45154</v>
      </c>
      <c r="C3225" s="1" t="n">
        <v>45358</v>
      </c>
      <c r="D3225" t="inlineStr">
        <is>
          <t>HALLANDS LÄN</t>
        </is>
      </c>
      <c r="E3225" t="inlineStr">
        <is>
          <t>HALMSTAD</t>
        </is>
      </c>
      <c r="G3225" t="n">
        <v>14.2</v>
      </c>
      <c r="H3225" t="n">
        <v>0</v>
      </c>
      <c r="I3225" t="n">
        <v>0</v>
      </c>
      <c r="J3225" t="n">
        <v>0</v>
      </c>
      <c r="K3225" t="n">
        <v>0</v>
      </c>
      <c r="L3225" t="n">
        <v>0</v>
      </c>
      <c r="M3225" t="n">
        <v>0</v>
      </c>
      <c r="N3225" t="n">
        <v>0</v>
      </c>
      <c r="O3225" t="n">
        <v>0</v>
      </c>
      <c r="P3225" t="n">
        <v>0</v>
      </c>
      <c r="Q3225" t="n">
        <v>0</v>
      </c>
      <c r="R3225" s="2" t="inlineStr"/>
    </row>
    <row r="3226" ht="15" customHeight="1">
      <c r="A3226" t="inlineStr">
        <is>
          <t>A 36819-2023</t>
        </is>
      </c>
      <c r="B3226" s="1" t="n">
        <v>45154</v>
      </c>
      <c r="C3226" s="1" t="n">
        <v>45358</v>
      </c>
      <c r="D3226" t="inlineStr">
        <is>
          <t>HALLANDS LÄN</t>
        </is>
      </c>
      <c r="E3226" t="inlineStr">
        <is>
          <t>HALMSTAD</t>
        </is>
      </c>
      <c r="G3226" t="n">
        <v>3</v>
      </c>
      <c r="H3226" t="n">
        <v>0</v>
      </c>
      <c r="I3226" t="n">
        <v>0</v>
      </c>
      <c r="J3226" t="n">
        <v>0</v>
      </c>
      <c r="K3226" t="n">
        <v>0</v>
      </c>
      <c r="L3226" t="n">
        <v>0</v>
      </c>
      <c r="M3226" t="n">
        <v>0</v>
      </c>
      <c r="N3226" t="n">
        <v>0</v>
      </c>
      <c r="O3226" t="n">
        <v>0</v>
      </c>
      <c r="P3226" t="n">
        <v>0</v>
      </c>
      <c r="Q3226" t="n">
        <v>0</v>
      </c>
      <c r="R3226" s="2" t="inlineStr"/>
    </row>
    <row r="3227" ht="15" customHeight="1">
      <c r="A3227" t="inlineStr">
        <is>
          <t>A 36805-2023</t>
        </is>
      </c>
      <c r="B3227" s="1" t="n">
        <v>45154</v>
      </c>
      <c r="C3227" s="1" t="n">
        <v>45358</v>
      </c>
      <c r="D3227" t="inlineStr">
        <is>
          <t>HALLANDS LÄN</t>
        </is>
      </c>
      <c r="E3227" t="inlineStr">
        <is>
          <t>HALMSTAD</t>
        </is>
      </c>
      <c r="G3227" t="n">
        <v>3.7</v>
      </c>
      <c r="H3227" t="n">
        <v>0</v>
      </c>
      <c r="I3227" t="n">
        <v>0</v>
      </c>
      <c r="J3227" t="n">
        <v>0</v>
      </c>
      <c r="K3227" t="n">
        <v>0</v>
      </c>
      <c r="L3227" t="n">
        <v>0</v>
      </c>
      <c r="M3227" t="n">
        <v>0</v>
      </c>
      <c r="N3227" t="n">
        <v>0</v>
      </c>
      <c r="O3227" t="n">
        <v>0</v>
      </c>
      <c r="P3227" t="n">
        <v>0</v>
      </c>
      <c r="Q3227" t="n">
        <v>0</v>
      </c>
      <c r="R3227" s="2" t="inlineStr"/>
    </row>
    <row r="3228" ht="15" customHeight="1">
      <c r="A3228" t="inlineStr">
        <is>
          <t>A 37190-2023</t>
        </is>
      </c>
      <c r="B3228" s="1" t="n">
        <v>45154</v>
      </c>
      <c r="C3228" s="1" t="n">
        <v>45358</v>
      </c>
      <c r="D3228" t="inlineStr">
        <is>
          <t>HALLANDS LÄN</t>
        </is>
      </c>
      <c r="E3228" t="inlineStr">
        <is>
          <t>HYLTE</t>
        </is>
      </c>
      <c r="G3228" t="n">
        <v>0.7</v>
      </c>
      <c r="H3228" t="n">
        <v>0</v>
      </c>
      <c r="I3228" t="n">
        <v>0</v>
      </c>
      <c r="J3228" t="n">
        <v>0</v>
      </c>
      <c r="K3228" t="n">
        <v>0</v>
      </c>
      <c r="L3228" t="n">
        <v>0</v>
      </c>
      <c r="M3228" t="n">
        <v>0</v>
      </c>
      <c r="N3228" t="n">
        <v>0</v>
      </c>
      <c r="O3228" t="n">
        <v>0</v>
      </c>
      <c r="P3228" t="n">
        <v>0</v>
      </c>
      <c r="Q3228" t="n">
        <v>0</v>
      </c>
      <c r="R3228" s="2" t="inlineStr"/>
    </row>
    <row r="3229" ht="15" customHeight="1">
      <c r="A3229" t="inlineStr">
        <is>
          <t>A 37063-2023</t>
        </is>
      </c>
      <c r="B3229" s="1" t="n">
        <v>45155</v>
      </c>
      <c r="C3229" s="1" t="n">
        <v>45358</v>
      </c>
      <c r="D3229" t="inlineStr">
        <is>
          <t>HALLANDS LÄN</t>
        </is>
      </c>
      <c r="E3229" t="inlineStr">
        <is>
          <t>HYLTE</t>
        </is>
      </c>
      <c r="G3229" t="n">
        <v>2.5</v>
      </c>
      <c r="H3229" t="n">
        <v>0</v>
      </c>
      <c r="I3229" t="n">
        <v>0</v>
      </c>
      <c r="J3229" t="n">
        <v>0</v>
      </c>
      <c r="K3229" t="n">
        <v>0</v>
      </c>
      <c r="L3229" t="n">
        <v>0</v>
      </c>
      <c r="M3229" t="n">
        <v>0</v>
      </c>
      <c r="N3229" t="n">
        <v>0</v>
      </c>
      <c r="O3229" t="n">
        <v>0</v>
      </c>
      <c r="P3229" t="n">
        <v>0</v>
      </c>
      <c r="Q3229" t="n">
        <v>0</v>
      </c>
      <c r="R3229" s="2" t="inlineStr"/>
    </row>
    <row r="3230" ht="15" customHeight="1">
      <c r="A3230" t="inlineStr">
        <is>
          <t>A 37121-2023</t>
        </is>
      </c>
      <c r="B3230" s="1" t="n">
        <v>45155</v>
      </c>
      <c r="C3230" s="1" t="n">
        <v>45358</v>
      </c>
      <c r="D3230" t="inlineStr">
        <is>
          <t>HALLANDS LÄN</t>
        </is>
      </c>
      <c r="E3230" t="inlineStr">
        <is>
          <t>LAHOLM</t>
        </is>
      </c>
      <c r="G3230" t="n">
        <v>3.9</v>
      </c>
      <c r="H3230" t="n">
        <v>0</v>
      </c>
      <c r="I3230" t="n">
        <v>0</v>
      </c>
      <c r="J3230" t="n">
        <v>0</v>
      </c>
      <c r="K3230" t="n">
        <v>0</v>
      </c>
      <c r="L3230" t="n">
        <v>0</v>
      </c>
      <c r="M3230" t="n">
        <v>0</v>
      </c>
      <c r="N3230" t="n">
        <v>0</v>
      </c>
      <c r="O3230" t="n">
        <v>0</v>
      </c>
      <c r="P3230" t="n">
        <v>0</v>
      </c>
      <c r="Q3230" t="n">
        <v>0</v>
      </c>
      <c r="R3230" s="2" t="inlineStr"/>
    </row>
    <row r="3231" ht="15" customHeight="1">
      <c r="A3231" t="inlineStr">
        <is>
          <t>A 37220-2023</t>
        </is>
      </c>
      <c r="B3231" s="1" t="n">
        <v>45155</v>
      </c>
      <c r="C3231" s="1" t="n">
        <v>45358</v>
      </c>
      <c r="D3231" t="inlineStr">
        <is>
          <t>HALLANDS LÄN</t>
        </is>
      </c>
      <c r="E3231" t="inlineStr">
        <is>
          <t>HYLTE</t>
        </is>
      </c>
      <c r="G3231" t="n">
        <v>2.1</v>
      </c>
      <c r="H3231" t="n">
        <v>0</v>
      </c>
      <c r="I3231" t="n">
        <v>0</v>
      </c>
      <c r="J3231" t="n">
        <v>0</v>
      </c>
      <c r="K3231" t="n">
        <v>0</v>
      </c>
      <c r="L3231" t="n">
        <v>0</v>
      </c>
      <c r="M3231" t="n">
        <v>0</v>
      </c>
      <c r="N3231" t="n">
        <v>0</v>
      </c>
      <c r="O3231" t="n">
        <v>0</v>
      </c>
      <c r="P3231" t="n">
        <v>0</v>
      </c>
      <c r="Q3231" t="n">
        <v>0</v>
      </c>
      <c r="R3231" s="2" t="inlineStr"/>
    </row>
    <row r="3232" ht="15" customHeight="1">
      <c r="A3232" t="inlineStr">
        <is>
          <t>A 37224-2023</t>
        </is>
      </c>
      <c r="B3232" s="1" t="n">
        <v>45155</v>
      </c>
      <c r="C3232" s="1" t="n">
        <v>45358</v>
      </c>
      <c r="D3232" t="inlineStr">
        <is>
          <t>HALLANDS LÄN</t>
        </is>
      </c>
      <c r="E3232" t="inlineStr">
        <is>
          <t>VARBERG</t>
        </is>
      </c>
      <c r="G3232" t="n">
        <v>2</v>
      </c>
      <c r="H3232" t="n">
        <v>0</v>
      </c>
      <c r="I3232" t="n">
        <v>0</v>
      </c>
      <c r="J3232" t="n">
        <v>0</v>
      </c>
      <c r="K3232" t="n">
        <v>0</v>
      </c>
      <c r="L3232" t="n">
        <v>0</v>
      </c>
      <c r="M3232" t="n">
        <v>0</v>
      </c>
      <c r="N3232" t="n">
        <v>0</v>
      </c>
      <c r="O3232" t="n">
        <v>0</v>
      </c>
      <c r="P3232" t="n">
        <v>0</v>
      </c>
      <c r="Q3232" t="n">
        <v>0</v>
      </c>
      <c r="R3232" s="2" t="inlineStr"/>
    </row>
    <row r="3233" ht="15" customHeight="1">
      <c r="A3233" t="inlineStr">
        <is>
          <t>A 37223-2023</t>
        </is>
      </c>
      <c r="B3233" s="1" t="n">
        <v>45155</v>
      </c>
      <c r="C3233" s="1" t="n">
        <v>45358</v>
      </c>
      <c r="D3233" t="inlineStr">
        <is>
          <t>HALLANDS LÄN</t>
        </is>
      </c>
      <c r="E3233" t="inlineStr">
        <is>
          <t>VARBERG</t>
        </is>
      </c>
      <c r="G3233" t="n">
        <v>1.8</v>
      </c>
      <c r="H3233" t="n">
        <v>0</v>
      </c>
      <c r="I3233" t="n">
        <v>0</v>
      </c>
      <c r="J3233" t="n">
        <v>0</v>
      </c>
      <c r="K3233" t="n">
        <v>0</v>
      </c>
      <c r="L3233" t="n">
        <v>0</v>
      </c>
      <c r="M3233" t="n">
        <v>0</v>
      </c>
      <c r="N3233" t="n">
        <v>0</v>
      </c>
      <c r="O3233" t="n">
        <v>0</v>
      </c>
      <c r="P3233" t="n">
        <v>0</v>
      </c>
      <c r="Q3233" t="n">
        <v>0</v>
      </c>
      <c r="R3233" s="2" t="inlineStr"/>
    </row>
    <row r="3234" ht="15" customHeight="1">
      <c r="A3234" t="inlineStr">
        <is>
          <t>A 37319-2023</t>
        </is>
      </c>
      <c r="B3234" s="1" t="n">
        <v>45156</v>
      </c>
      <c r="C3234" s="1" t="n">
        <v>45358</v>
      </c>
      <c r="D3234" t="inlineStr">
        <is>
          <t>HALLANDS LÄN</t>
        </is>
      </c>
      <c r="E3234" t="inlineStr">
        <is>
          <t>LAHOLM</t>
        </is>
      </c>
      <c r="G3234" t="n">
        <v>0.5</v>
      </c>
      <c r="H3234" t="n">
        <v>0</v>
      </c>
      <c r="I3234" t="n">
        <v>0</v>
      </c>
      <c r="J3234" t="n">
        <v>0</v>
      </c>
      <c r="K3234" t="n">
        <v>0</v>
      </c>
      <c r="L3234" t="n">
        <v>0</v>
      </c>
      <c r="M3234" t="n">
        <v>0</v>
      </c>
      <c r="N3234" t="n">
        <v>0</v>
      </c>
      <c r="O3234" t="n">
        <v>0</v>
      </c>
      <c r="P3234" t="n">
        <v>0</v>
      </c>
      <c r="Q3234" t="n">
        <v>0</v>
      </c>
      <c r="R3234" s="2" t="inlineStr"/>
    </row>
    <row r="3235" ht="15" customHeight="1">
      <c r="A3235" t="inlineStr">
        <is>
          <t>A 37380-2023</t>
        </is>
      </c>
      <c r="B3235" s="1" t="n">
        <v>45156</v>
      </c>
      <c r="C3235" s="1" t="n">
        <v>45358</v>
      </c>
      <c r="D3235" t="inlineStr">
        <is>
          <t>HALLANDS LÄN</t>
        </is>
      </c>
      <c r="E3235" t="inlineStr">
        <is>
          <t>KUNGSBACKA</t>
        </is>
      </c>
      <c r="G3235" t="n">
        <v>3.1</v>
      </c>
      <c r="H3235" t="n">
        <v>0</v>
      </c>
      <c r="I3235" t="n">
        <v>0</v>
      </c>
      <c r="J3235" t="n">
        <v>0</v>
      </c>
      <c r="K3235" t="n">
        <v>0</v>
      </c>
      <c r="L3235" t="n">
        <v>0</v>
      </c>
      <c r="M3235" t="n">
        <v>0</v>
      </c>
      <c r="N3235" t="n">
        <v>0</v>
      </c>
      <c r="O3235" t="n">
        <v>0</v>
      </c>
      <c r="P3235" t="n">
        <v>0</v>
      </c>
      <c r="Q3235" t="n">
        <v>0</v>
      </c>
      <c r="R3235" s="2" t="inlineStr"/>
    </row>
    <row r="3236" ht="15" customHeight="1">
      <c r="A3236" t="inlineStr">
        <is>
          <t>A 37448-2023</t>
        </is>
      </c>
      <c r="B3236" s="1" t="n">
        <v>45156</v>
      </c>
      <c r="C3236" s="1" t="n">
        <v>45358</v>
      </c>
      <c r="D3236" t="inlineStr">
        <is>
          <t>HALLANDS LÄN</t>
        </is>
      </c>
      <c r="E3236" t="inlineStr">
        <is>
          <t>LAHOLM</t>
        </is>
      </c>
      <c r="G3236" t="n">
        <v>0.5</v>
      </c>
      <c r="H3236" t="n">
        <v>0</v>
      </c>
      <c r="I3236" t="n">
        <v>0</v>
      </c>
      <c r="J3236" t="n">
        <v>0</v>
      </c>
      <c r="K3236" t="n">
        <v>0</v>
      </c>
      <c r="L3236" t="n">
        <v>0</v>
      </c>
      <c r="M3236" t="n">
        <v>0</v>
      </c>
      <c r="N3236" t="n">
        <v>0</v>
      </c>
      <c r="O3236" t="n">
        <v>0</v>
      </c>
      <c r="P3236" t="n">
        <v>0</v>
      </c>
      <c r="Q3236" t="n">
        <v>0</v>
      </c>
      <c r="R3236" s="2" t="inlineStr"/>
    </row>
    <row r="3237" ht="15" customHeight="1">
      <c r="A3237" t="inlineStr">
        <is>
          <t>A 37416-2023</t>
        </is>
      </c>
      <c r="B3237" s="1" t="n">
        <v>45156</v>
      </c>
      <c r="C3237" s="1" t="n">
        <v>45358</v>
      </c>
      <c r="D3237" t="inlineStr">
        <is>
          <t>HALLANDS LÄN</t>
        </is>
      </c>
      <c r="E3237" t="inlineStr">
        <is>
          <t>HALMSTAD</t>
        </is>
      </c>
      <c r="G3237" t="n">
        <v>0.8</v>
      </c>
      <c r="H3237" t="n">
        <v>0</v>
      </c>
      <c r="I3237" t="n">
        <v>0</v>
      </c>
      <c r="J3237" t="n">
        <v>0</v>
      </c>
      <c r="K3237" t="n">
        <v>0</v>
      </c>
      <c r="L3237" t="n">
        <v>0</v>
      </c>
      <c r="M3237" t="n">
        <v>0</v>
      </c>
      <c r="N3237" t="n">
        <v>0</v>
      </c>
      <c r="O3237" t="n">
        <v>0</v>
      </c>
      <c r="P3237" t="n">
        <v>0</v>
      </c>
      <c r="Q3237" t="n">
        <v>0</v>
      </c>
      <c r="R3237" s="2" t="inlineStr"/>
    </row>
    <row r="3238" ht="15" customHeight="1">
      <c r="A3238" t="inlineStr">
        <is>
          <t>A 37301-2023</t>
        </is>
      </c>
      <c r="B3238" s="1" t="n">
        <v>45156</v>
      </c>
      <c r="C3238" s="1" t="n">
        <v>45358</v>
      </c>
      <c r="D3238" t="inlineStr">
        <is>
          <t>HALLANDS LÄN</t>
        </is>
      </c>
      <c r="E3238" t="inlineStr">
        <is>
          <t>HALMSTAD</t>
        </is>
      </c>
      <c r="G3238" t="n">
        <v>0.5</v>
      </c>
      <c r="H3238" t="n">
        <v>0</v>
      </c>
      <c r="I3238" t="n">
        <v>0</v>
      </c>
      <c r="J3238" t="n">
        <v>0</v>
      </c>
      <c r="K3238" t="n">
        <v>0</v>
      </c>
      <c r="L3238" t="n">
        <v>0</v>
      </c>
      <c r="M3238" t="n">
        <v>0</v>
      </c>
      <c r="N3238" t="n">
        <v>0</v>
      </c>
      <c r="O3238" t="n">
        <v>0</v>
      </c>
      <c r="P3238" t="n">
        <v>0</v>
      </c>
      <c r="Q3238" t="n">
        <v>0</v>
      </c>
      <c r="R3238" s="2" t="inlineStr"/>
    </row>
    <row r="3239" ht="15" customHeight="1">
      <c r="A3239" t="inlineStr">
        <is>
          <t>A 37322-2023</t>
        </is>
      </c>
      <c r="B3239" s="1" t="n">
        <v>45156</v>
      </c>
      <c r="C3239" s="1" t="n">
        <v>45358</v>
      </c>
      <c r="D3239" t="inlineStr">
        <is>
          <t>HALLANDS LÄN</t>
        </is>
      </c>
      <c r="E3239" t="inlineStr">
        <is>
          <t>LAHOLM</t>
        </is>
      </c>
      <c r="G3239" t="n">
        <v>0.9</v>
      </c>
      <c r="H3239" t="n">
        <v>0</v>
      </c>
      <c r="I3239" t="n">
        <v>0</v>
      </c>
      <c r="J3239" t="n">
        <v>0</v>
      </c>
      <c r="K3239" t="n">
        <v>0</v>
      </c>
      <c r="L3239" t="n">
        <v>0</v>
      </c>
      <c r="M3239" t="n">
        <v>0</v>
      </c>
      <c r="N3239" t="n">
        <v>0</v>
      </c>
      <c r="O3239" t="n">
        <v>0</v>
      </c>
      <c r="P3239" t="n">
        <v>0</v>
      </c>
      <c r="Q3239" t="n">
        <v>0</v>
      </c>
      <c r="R3239" s="2" t="inlineStr"/>
    </row>
    <row r="3240" ht="15" customHeight="1">
      <c r="A3240" t="inlineStr">
        <is>
          <t>A 37517-2023</t>
        </is>
      </c>
      <c r="B3240" s="1" t="n">
        <v>45158</v>
      </c>
      <c r="C3240" s="1" t="n">
        <v>45358</v>
      </c>
      <c r="D3240" t="inlineStr">
        <is>
          <t>HALLANDS LÄN</t>
        </is>
      </c>
      <c r="E3240" t="inlineStr">
        <is>
          <t>VARBERG</t>
        </is>
      </c>
      <c r="G3240" t="n">
        <v>2.9</v>
      </c>
      <c r="H3240" t="n">
        <v>0</v>
      </c>
      <c r="I3240" t="n">
        <v>0</v>
      </c>
      <c r="J3240" t="n">
        <v>0</v>
      </c>
      <c r="K3240" t="n">
        <v>0</v>
      </c>
      <c r="L3240" t="n">
        <v>0</v>
      </c>
      <c r="M3240" t="n">
        <v>0</v>
      </c>
      <c r="N3240" t="n">
        <v>0</v>
      </c>
      <c r="O3240" t="n">
        <v>0</v>
      </c>
      <c r="P3240" t="n">
        <v>0</v>
      </c>
      <c r="Q3240" t="n">
        <v>0</v>
      </c>
      <c r="R3240" s="2" t="inlineStr"/>
    </row>
    <row r="3241" ht="15" customHeight="1">
      <c r="A3241" t="inlineStr">
        <is>
          <t>A 37602-2023</t>
        </is>
      </c>
      <c r="B3241" s="1" t="n">
        <v>45159</v>
      </c>
      <c r="C3241" s="1" t="n">
        <v>45358</v>
      </c>
      <c r="D3241" t="inlineStr">
        <is>
          <t>HALLANDS LÄN</t>
        </is>
      </c>
      <c r="E3241" t="inlineStr">
        <is>
          <t>HYLTE</t>
        </is>
      </c>
      <c r="G3241" t="n">
        <v>1.8</v>
      </c>
      <c r="H3241" t="n">
        <v>0</v>
      </c>
      <c r="I3241" t="n">
        <v>0</v>
      </c>
      <c r="J3241" t="n">
        <v>0</v>
      </c>
      <c r="K3241" t="n">
        <v>0</v>
      </c>
      <c r="L3241" t="n">
        <v>0</v>
      </c>
      <c r="M3241" t="n">
        <v>0</v>
      </c>
      <c r="N3241" t="n">
        <v>0</v>
      </c>
      <c r="O3241" t="n">
        <v>0</v>
      </c>
      <c r="P3241" t="n">
        <v>0</v>
      </c>
      <c r="Q3241" t="n">
        <v>0</v>
      </c>
      <c r="R3241" s="2" t="inlineStr"/>
    </row>
    <row r="3242" ht="15" customHeight="1">
      <c r="A3242" t="inlineStr">
        <is>
          <t>A 37667-2023</t>
        </is>
      </c>
      <c r="B3242" s="1" t="n">
        <v>45159</v>
      </c>
      <c r="C3242" s="1" t="n">
        <v>45358</v>
      </c>
      <c r="D3242" t="inlineStr">
        <is>
          <t>HALLANDS LÄN</t>
        </is>
      </c>
      <c r="E3242" t="inlineStr">
        <is>
          <t>LAHOLM</t>
        </is>
      </c>
      <c r="G3242" t="n">
        <v>1.2</v>
      </c>
      <c r="H3242" t="n">
        <v>0</v>
      </c>
      <c r="I3242" t="n">
        <v>0</v>
      </c>
      <c r="J3242" t="n">
        <v>0</v>
      </c>
      <c r="K3242" t="n">
        <v>0</v>
      </c>
      <c r="L3242" t="n">
        <v>0</v>
      </c>
      <c r="M3242" t="n">
        <v>0</v>
      </c>
      <c r="N3242" t="n">
        <v>0</v>
      </c>
      <c r="O3242" t="n">
        <v>0</v>
      </c>
      <c r="P3242" t="n">
        <v>0</v>
      </c>
      <c r="Q3242" t="n">
        <v>0</v>
      </c>
      <c r="R3242" s="2" t="inlineStr"/>
    </row>
    <row r="3243" ht="15" customHeight="1">
      <c r="A3243" t="inlineStr">
        <is>
          <t>A 37557-2023</t>
        </is>
      </c>
      <c r="B3243" s="1" t="n">
        <v>45159</v>
      </c>
      <c r="C3243" s="1" t="n">
        <v>45358</v>
      </c>
      <c r="D3243" t="inlineStr">
        <is>
          <t>HALLANDS LÄN</t>
        </is>
      </c>
      <c r="E3243" t="inlineStr">
        <is>
          <t>LAHOLM</t>
        </is>
      </c>
      <c r="G3243" t="n">
        <v>1.2</v>
      </c>
      <c r="H3243" t="n">
        <v>0</v>
      </c>
      <c r="I3243" t="n">
        <v>0</v>
      </c>
      <c r="J3243" t="n">
        <v>0</v>
      </c>
      <c r="K3243" t="n">
        <v>0</v>
      </c>
      <c r="L3243" t="n">
        <v>0</v>
      </c>
      <c r="M3243" t="n">
        <v>0</v>
      </c>
      <c r="N3243" t="n">
        <v>0</v>
      </c>
      <c r="O3243" t="n">
        <v>0</v>
      </c>
      <c r="P3243" t="n">
        <v>0</v>
      </c>
      <c r="Q3243" t="n">
        <v>0</v>
      </c>
      <c r="R3243" s="2" t="inlineStr"/>
    </row>
    <row r="3244" ht="15" customHeight="1">
      <c r="A3244" t="inlineStr">
        <is>
          <t>A 37571-2023</t>
        </is>
      </c>
      <c r="B3244" s="1" t="n">
        <v>45159</v>
      </c>
      <c r="C3244" s="1" t="n">
        <v>45358</v>
      </c>
      <c r="D3244" t="inlineStr">
        <is>
          <t>HALLANDS LÄN</t>
        </is>
      </c>
      <c r="E3244" t="inlineStr">
        <is>
          <t>HALMSTAD</t>
        </is>
      </c>
      <c r="G3244" t="n">
        <v>1.9</v>
      </c>
      <c r="H3244" t="n">
        <v>0</v>
      </c>
      <c r="I3244" t="n">
        <v>0</v>
      </c>
      <c r="J3244" t="n">
        <v>0</v>
      </c>
      <c r="K3244" t="n">
        <v>0</v>
      </c>
      <c r="L3244" t="n">
        <v>0</v>
      </c>
      <c r="M3244" t="n">
        <v>0</v>
      </c>
      <c r="N3244" t="n">
        <v>0</v>
      </c>
      <c r="O3244" t="n">
        <v>0</v>
      </c>
      <c r="P3244" t="n">
        <v>0</v>
      </c>
      <c r="Q3244" t="n">
        <v>0</v>
      </c>
      <c r="R3244" s="2" t="inlineStr"/>
    </row>
    <row r="3245" ht="15" customHeight="1">
      <c r="A3245" t="inlineStr">
        <is>
          <t>A 37594-2023</t>
        </is>
      </c>
      <c r="B3245" s="1" t="n">
        <v>45159</v>
      </c>
      <c r="C3245" s="1" t="n">
        <v>45358</v>
      </c>
      <c r="D3245" t="inlineStr">
        <is>
          <t>HALLANDS LÄN</t>
        </is>
      </c>
      <c r="E3245" t="inlineStr">
        <is>
          <t>VARBERG</t>
        </is>
      </c>
      <c r="G3245" t="n">
        <v>1.9</v>
      </c>
      <c r="H3245" t="n">
        <v>0</v>
      </c>
      <c r="I3245" t="n">
        <v>0</v>
      </c>
      <c r="J3245" t="n">
        <v>0</v>
      </c>
      <c r="K3245" t="n">
        <v>0</v>
      </c>
      <c r="L3245" t="n">
        <v>0</v>
      </c>
      <c r="M3245" t="n">
        <v>0</v>
      </c>
      <c r="N3245" t="n">
        <v>0</v>
      </c>
      <c r="O3245" t="n">
        <v>0</v>
      </c>
      <c r="P3245" t="n">
        <v>0</v>
      </c>
      <c r="Q3245" t="n">
        <v>0</v>
      </c>
      <c r="R3245" s="2" t="inlineStr"/>
    </row>
    <row r="3246" ht="15" customHeight="1">
      <c r="A3246" t="inlineStr">
        <is>
          <t>A 37563-2023</t>
        </is>
      </c>
      <c r="B3246" s="1" t="n">
        <v>45159</v>
      </c>
      <c r="C3246" s="1" t="n">
        <v>45358</v>
      </c>
      <c r="D3246" t="inlineStr">
        <is>
          <t>HALLANDS LÄN</t>
        </is>
      </c>
      <c r="E3246" t="inlineStr">
        <is>
          <t>HALMSTAD</t>
        </is>
      </c>
      <c r="G3246" t="n">
        <v>3.6</v>
      </c>
      <c r="H3246" t="n">
        <v>0</v>
      </c>
      <c r="I3246" t="n">
        <v>0</v>
      </c>
      <c r="J3246" t="n">
        <v>0</v>
      </c>
      <c r="K3246" t="n">
        <v>0</v>
      </c>
      <c r="L3246" t="n">
        <v>0</v>
      </c>
      <c r="M3246" t="n">
        <v>0</v>
      </c>
      <c r="N3246" t="n">
        <v>0</v>
      </c>
      <c r="O3246" t="n">
        <v>0</v>
      </c>
      <c r="P3246" t="n">
        <v>0</v>
      </c>
      <c r="Q3246" t="n">
        <v>0</v>
      </c>
      <c r="R3246" s="2" t="inlineStr"/>
    </row>
    <row r="3247" ht="15" customHeight="1">
      <c r="A3247" t="inlineStr">
        <is>
          <t>A 37713-2023</t>
        </is>
      </c>
      <c r="B3247" s="1" t="n">
        <v>45159</v>
      </c>
      <c r="C3247" s="1" t="n">
        <v>45358</v>
      </c>
      <c r="D3247" t="inlineStr">
        <is>
          <t>HALLANDS LÄN</t>
        </is>
      </c>
      <c r="E3247" t="inlineStr">
        <is>
          <t>HYLTE</t>
        </is>
      </c>
      <c r="G3247" t="n">
        <v>1.1</v>
      </c>
      <c r="H3247" t="n">
        <v>0</v>
      </c>
      <c r="I3247" t="n">
        <v>0</v>
      </c>
      <c r="J3247" t="n">
        <v>0</v>
      </c>
      <c r="K3247" t="n">
        <v>0</v>
      </c>
      <c r="L3247" t="n">
        <v>0</v>
      </c>
      <c r="M3247" t="n">
        <v>0</v>
      </c>
      <c r="N3247" t="n">
        <v>0</v>
      </c>
      <c r="O3247" t="n">
        <v>0</v>
      </c>
      <c r="P3247" t="n">
        <v>0</v>
      </c>
      <c r="Q3247" t="n">
        <v>0</v>
      </c>
      <c r="R3247" s="2" t="inlineStr"/>
    </row>
    <row r="3248" ht="15" customHeight="1">
      <c r="A3248" t="inlineStr">
        <is>
          <t>A 37707-2023</t>
        </is>
      </c>
      <c r="B3248" s="1" t="n">
        <v>45159</v>
      </c>
      <c r="C3248" s="1" t="n">
        <v>45358</v>
      </c>
      <c r="D3248" t="inlineStr">
        <is>
          <t>HALLANDS LÄN</t>
        </is>
      </c>
      <c r="E3248" t="inlineStr">
        <is>
          <t>HYLTE</t>
        </is>
      </c>
      <c r="G3248" t="n">
        <v>2.9</v>
      </c>
      <c r="H3248" t="n">
        <v>0</v>
      </c>
      <c r="I3248" t="n">
        <v>0</v>
      </c>
      <c r="J3248" t="n">
        <v>0</v>
      </c>
      <c r="K3248" t="n">
        <v>0</v>
      </c>
      <c r="L3248" t="n">
        <v>0</v>
      </c>
      <c r="M3248" t="n">
        <v>0</v>
      </c>
      <c r="N3248" t="n">
        <v>0</v>
      </c>
      <c r="O3248" t="n">
        <v>0</v>
      </c>
      <c r="P3248" t="n">
        <v>0</v>
      </c>
      <c r="Q3248" t="n">
        <v>0</v>
      </c>
      <c r="R3248" s="2" t="inlineStr"/>
    </row>
    <row r="3249" ht="15" customHeight="1">
      <c r="A3249" t="inlineStr">
        <is>
          <t>A 37725-2023</t>
        </is>
      </c>
      <c r="B3249" s="1" t="n">
        <v>45159</v>
      </c>
      <c r="C3249" s="1" t="n">
        <v>45358</v>
      </c>
      <c r="D3249" t="inlineStr">
        <is>
          <t>HALLANDS LÄN</t>
        </is>
      </c>
      <c r="E3249" t="inlineStr">
        <is>
          <t>HYLTE</t>
        </is>
      </c>
      <c r="G3249" t="n">
        <v>2.1</v>
      </c>
      <c r="H3249" t="n">
        <v>0</v>
      </c>
      <c r="I3249" t="n">
        <v>0</v>
      </c>
      <c r="J3249" t="n">
        <v>0</v>
      </c>
      <c r="K3249" t="n">
        <v>0</v>
      </c>
      <c r="L3249" t="n">
        <v>0</v>
      </c>
      <c r="M3249" t="n">
        <v>0</v>
      </c>
      <c r="N3249" t="n">
        <v>0</v>
      </c>
      <c r="O3249" t="n">
        <v>0</v>
      </c>
      <c r="P3249" t="n">
        <v>0</v>
      </c>
      <c r="Q3249" t="n">
        <v>0</v>
      </c>
      <c r="R3249" s="2" t="inlineStr"/>
    </row>
    <row r="3250" ht="15" customHeight="1">
      <c r="A3250" t="inlineStr">
        <is>
          <t>A 37751-2023</t>
        </is>
      </c>
      <c r="B3250" s="1" t="n">
        <v>45159</v>
      </c>
      <c r="C3250" s="1" t="n">
        <v>45358</v>
      </c>
      <c r="D3250" t="inlineStr">
        <is>
          <t>HALLANDS LÄN</t>
        </is>
      </c>
      <c r="E3250" t="inlineStr">
        <is>
          <t>HALMSTAD</t>
        </is>
      </c>
      <c r="G3250" t="n">
        <v>6.3</v>
      </c>
      <c r="H3250" t="n">
        <v>0</v>
      </c>
      <c r="I3250" t="n">
        <v>0</v>
      </c>
      <c r="J3250" t="n">
        <v>0</v>
      </c>
      <c r="K3250" t="n">
        <v>0</v>
      </c>
      <c r="L3250" t="n">
        <v>0</v>
      </c>
      <c r="M3250" t="n">
        <v>0</v>
      </c>
      <c r="N3250" t="n">
        <v>0</v>
      </c>
      <c r="O3250" t="n">
        <v>0</v>
      </c>
      <c r="P3250" t="n">
        <v>0</v>
      </c>
      <c r="Q3250" t="n">
        <v>0</v>
      </c>
      <c r="R3250" s="2" t="inlineStr"/>
    </row>
    <row r="3251" ht="15" customHeight="1">
      <c r="A3251" t="inlineStr">
        <is>
          <t>A 37748-2023</t>
        </is>
      </c>
      <c r="B3251" s="1" t="n">
        <v>45159</v>
      </c>
      <c r="C3251" s="1" t="n">
        <v>45358</v>
      </c>
      <c r="D3251" t="inlineStr">
        <is>
          <t>HALLANDS LÄN</t>
        </is>
      </c>
      <c r="E3251" t="inlineStr">
        <is>
          <t>HALMSTAD</t>
        </is>
      </c>
      <c r="G3251" t="n">
        <v>4.1</v>
      </c>
      <c r="H3251" t="n">
        <v>0</v>
      </c>
      <c r="I3251" t="n">
        <v>0</v>
      </c>
      <c r="J3251" t="n">
        <v>0</v>
      </c>
      <c r="K3251" t="n">
        <v>0</v>
      </c>
      <c r="L3251" t="n">
        <v>0</v>
      </c>
      <c r="M3251" t="n">
        <v>0</v>
      </c>
      <c r="N3251" t="n">
        <v>0</v>
      </c>
      <c r="O3251" t="n">
        <v>0</v>
      </c>
      <c r="P3251" t="n">
        <v>0</v>
      </c>
      <c r="Q3251" t="n">
        <v>0</v>
      </c>
      <c r="R3251" s="2" t="inlineStr"/>
    </row>
    <row r="3252" ht="15" customHeight="1">
      <c r="A3252" t="inlineStr">
        <is>
          <t>A 37771-2023</t>
        </is>
      </c>
      <c r="B3252" s="1" t="n">
        <v>45159</v>
      </c>
      <c r="C3252" s="1" t="n">
        <v>45358</v>
      </c>
      <c r="D3252" t="inlineStr">
        <is>
          <t>HALLANDS LÄN</t>
        </is>
      </c>
      <c r="E3252" t="inlineStr">
        <is>
          <t>VARBERG</t>
        </is>
      </c>
      <c r="G3252" t="n">
        <v>2.7</v>
      </c>
      <c r="H3252" t="n">
        <v>0</v>
      </c>
      <c r="I3252" t="n">
        <v>0</v>
      </c>
      <c r="J3252" t="n">
        <v>0</v>
      </c>
      <c r="K3252" t="n">
        <v>0</v>
      </c>
      <c r="L3252" t="n">
        <v>0</v>
      </c>
      <c r="M3252" t="n">
        <v>0</v>
      </c>
      <c r="N3252" t="n">
        <v>0</v>
      </c>
      <c r="O3252" t="n">
        <v>0</v>
      </c>
      <c r="P3252" t="n">
        <v>0</v>
      </c>
      <c r="Q3252" t="n">
        <v>0</v>
      </c>
      <c r="R3252" s="2" t="inlineStr"/>
    </row>
    <row r="3253" ht="15" customHeight="1">
      <c r="A3253" t="inlineStr">
        <is>
          <t>A 37828-2023</t>
        </is>
      </c>
      <c r="B3253" s="1" t="n">
        <v>45160</v>
      </c>
      <c r="C3253" s="1" t="n">
        <v>45358</v>
      </c>
      <c r="D3253" t="inlineStr">
        <is>
          <t>HALLANDS LÄN</t>
        </is>
      </c>
      <c r="E3253" t="inlineStr">
        <is>
          <t>VARBERG</t>
        </is>
      </c>
      <c r="G3253" t="n">
        <v>2.3</v>
      </c>
      <c r="H3253" t="n">
        <v>0</v>
      </c>
      <c r="I3253" t="n">
        <v>0</v>
      </c>
      <c r="J3253" t="n">
        <v>0</v>
      </c>
      <c r="K3253" t="n">
        <v>0</v>
      </c>
      <c r="L3253" t="n">
        <v>0</v>
      </c>
      <c r="M3253" t="n">
        <v>0</v>
      </c>
      <c r="N3253" t="n">
        <v>0</v>
      </c>
      <c r="O3253" t="n">
        <v>0</v>
      </c>
      <c r="P3253" t="n">
        <v>0</v>
      </c>
      <c r="Q3253" t="n">
        <v>0</v>
      </c>
      <c r="R3253" s="2" t="inlineStr"/>
    </row>
    <row r="3254" ht="15" customHeight="1">
      <c r="A3254" t="inlineStr">
        <is>
          <t>A 37823-2023</t>
        </is>
      </c>
      <c r="B3254" s="1" t="n">
        <v>45160</v>
      </c>
      <c r="C3254" s="1" t="n">
        <v>45358</v>
      </c>
      <c r="D3254" t="inlineStr">
        <is>
          <t>HALLANDS LÄN</t>
        </is>
      </c>
      <c r="E3254" t="inlineStr">
        <is>
          <t>KUNGSBACKA</t>
        </is>
      </c>
      <c r="G3254" t="n">
        <v>2.4</v>
      </c>
      <c r="H3254" t="n">
        <v>0</v>
      </c>
      <c r="I3254" t="n">
        <v>0</v>
      </c>
      <c r="J3254" t="n">
        <v>0</v>
      </c>
      <c r="K3254" t="n">
        <v>0</v>
      </c>
      <c r="L3254" t="n">
        <v>0</v>
      </c>
      <c r="M3254" t="n">
        <v>0</v>
      </c>
      <c r="N3254" t="n">
        <v>0</v>
      </c>
      <c r="O3254" t="n">
        <v>0</v>
      </c>
      <c r="P3254" t="n">
        <v>0</v>
      </c>
      <c r="Q3254" t="n">
        <v>0</v>
      </c>
      <c r="R3254" s="2" t="inlineStr"/>
    </row>
    <row r="3255" ht="15" customHeight="1">
      <c r="A3255" t="inlineStr">
        <is>
          <t>A 38284-2023</t>
        </is>
      </c>
      <c r="B3255" s="1" t="n">
        <v>45161</v>
      </c>
      <c r="C3255" s="1" t="n">
        <v>45358</v>
      </c>
      <c r="D3255" t="inlineStr">
        <is>
          <t>HALLANDS LÄN</t>
        </is>
      </c>
      <c r="E3255" t="inlineStr">
        <is>
          <t>KUNGSBACKA</t>
        </is>
      </c>
      <c r="G3255" t="n">
        <v>19.4</v>
      </c>
      <c r="H3255" t="n">
        <v>0</v>
      </c>
      <c r="I3255" t="n">
        <v>0</v>
      </c>
      <c r="J3255" t="n">
        <v>0</v>
      </c>
      <c r="K3255" t="n">
        <v>0</v>
      </c>
      <c r="L3255" t="n">
        <v>0</v>
      </c>
      <c r="M3255" t="n">
        <v>0</v>
      </c>
      <c r="N3255" t="n">
        <v>0</v>
      </c>
      <c r="O3255" t="n">
        <v>0</v>
      </c>
      <c r="P3255" t="n">
        <v>0</v>
      </c>
      <c r="Q3255" t="n">
        <v>0</v>
      </c>
      <c r="R3255" s="2" t="inlineStr"/>
    </row>
    <row r="3256" ht="15" customHeight="1">
      <c r="A3256" t="inlineStr">
        <is>
          <t>A 38351-2023</t>
        </is>
      </c>
      <c r="B3256" s="1" t="n">
        <v>45162</v>
      </c>
      <c r="C3256" s="1" t="n">
        <v>45358</v>
      </c>
      <c r="D3256" t="inlineStr">
        <is>
          <t>HALLANDS LÄN</t>
        </is>
      </c>
      <c r="E3256" t="inlineStr">
        <is>
          <t>HALMSTAD</t>
        </is>
      </c>
      <c r="G3256" t="n">
        <v>1.5</v>
      </c>
      <c r="H3256" t="n">
        <v>0</v>
      </c>
      <c r="I3256" t="n">
        <v>0</v>
      </c>
      <c r="J3256" t="n">
        <v>0</v>
      </c>
      <c r="K3256" t="n">
        <v>0</v>
      </c>
      <c r="L3256" t="n">
        <v>0</v>
      </c>
      <c r="M3256" t="n">
        <v>0</v>
      </c>
      <c r="N3256" t="n">
        <v>0</v>
      </c>
      <c r="O3256" t="n">
        <v>0</v>
      </c>
      <c r="P3256" t="n">
        <v>0</v>
      </c>
      <c r="Q3256" t="n">
        <v>0</v>
      </c>
      <c r="R3256" s="2" t="inlineStr"/>
    </row>
    <row r="3257" ht="15" customHeight="1">
      <c r="A3257" t="inlineStr">
        <is>
          <t>A 38384-2023</t>
        </is>
      </c>
      <c r="B3257" s="1" t="n">
        <v>45162</v>
      </c>
      <c r="C3257" s="1" t="n">
        <v>45358</v>
      </c>
      <c r="D3257" t="inlineStr">
        <is>
          <t>HALLANDS LÄN</t>
        </is>
      </c>
      <c r="E3257" t="inlineStr">
        <is>
          <t>HALMSTAD</t>
        </is>
      </c>
      <c r="G3257" t="n">
        <v>0.8</v>
      </c>
      <c r="H3257" t="n">
        <v>0</v>
      </c>
      <c r="I3257" t="n">
        <v>0</v>
      </c>
      <c r="J3257" t="n">
        <v>0</v>
      </c>
      <c r="K3257" t="n">
        <v>0</v>
      </c>
      <c r="L3257" t="n">
        <v>0</v>
      </c>
      <c r="M3257" t="n">
        <v>0</v>
      </c>
      <c r="N3257" t="n">
        <v>0</v>
      </c>
      <c r="O3257" t="n">
        <v>0</v>
      </c>
      <c r="P3257" t="n">
        <v>0</v>
      </c>
      <c r="Q3257" t="n">
        <v>0</v>
      </c>
      <c r="R3257" s="2" t="inlineStr"/>
    </row>
    <row r="3258" ht="15" customHeight="1">
      <c r="A3258" t="inlineStr">
        <is>
          <t>A 38444-2023</t>
        </is>
      </c>
      <c r="B3258" s="1" t="n">
        <v>45162</v>
      </c>
      <c r="C3258" s="1" t="n">
        <v>45358</v>
      </c>
      <c r="D3258" t="inlineStr">
        <is>
          <t>HALLANDS LÄN</t>
        </is>
      </c>
      <c r="E3258" t="inlineStr">
        <is>
          <t>HYLTE</t>
        </is>
      </c>
      <c r="G3258" t="n">
        <v>2</v>
      </c>
      <c r="H3258" t="n">
        <v>0</v>
      </c>
      <c r="I3258" t="n">
        <v>0</v>
      </c>
      <c r="J3258" t="n">
        <v>0</v>
      </c>
      <c r="K3258" t="n">
        <v>0</v>
      </c>
      <c r="L3258" t="n">
        <v>0</v>
      </c>
      <c r="M3258" t="n">
        <v>0</v>
      </c>
      <c r="N3258" t="n">
        <v>0</v>
      </c>
      <c r="O3258" t="n">
        <v>0</v>
      </c>
      <c r="P3258" t="n">
        <v>0</v>
      </c>
      <c r="Q3258" t="n">
        <v>0</v>
      </c>
      <c r="R3258" s="2" t="inlineStr"/>
    </row>
    <row r="3259" ht="15" customHeight="1">
      <c r="A3259" t="inlineStr">
        <is>
          <t>A 38443-2023</t>
        </is>
      </c>
      <c r="B3259" s="1" t="n">
        <v>45162</v>
      </c>
      <c r="C3259" s="1" t="n">
        <v>45358</v>
      </c>
      <c r="D3259" t="inlineStr">
        <is>
          <t>HALLANDS LÄN</t>
        </is>
      </c>
      <c r="E3259" t="inlineStr">
        <is>
          <t>HYLTE</t>
        </is>
      </c>
      <c r="G3259" t="n">
        <v>2.6</v>
      </c>
      <c r="H3259" t="n">
        <v>0</v>
      </c>
      <c r="I3259" t="n">
        <v>0</v>
      </c>
      <c r="J3259" t="n">
        <v>0</v>
      </c>
      <c r="K3259" t="n">
        <v>0</v>
      </c>
      <c r="L3259" t="n">
        <v>0</v>
      </c>
      <c r="M3259" t="n">
        <v>0</v>
      </c>
      <c r="N3259" t="n">
        <v>0</v>
      </c>
      <c r="O3259" t="n">
        <v>0</v>
      </c>
      <c r="P3259" t="n">
        <v>0</v>
      </c>
      <c r="Q3259" t="n">
        <v>0</v>
      </c>
      <c r="R3259" s="2" t="inlineStr"/>
    </row>
    <row r="3260" ht="15" customHeight="1">
      <c r="A3260" t="inlineStr">
        <is>
          <t>A 38438-2023</t>
        </is>
      </c>
      <c r="B3260" s="1" t="n">
        <v>45162</v>
      </c>
      <c r="C3260" s="1" t="n">
        <v>45358</v>
      </c>
      <c r="D3260" t="inlineStr">
        <is>
          <t>HALLANDS LÄN</t>
        </is>
      </c>
      <c r="E3260" t="inlineStr">
        <is>
          <t>HYLTE</t>
        </is>
      </c>
      <c r="G3260" t="n">
        <v>2.1</v>
      </c>
      <c r="H3260" t="n">
        <v>0</v>
      </c>
      <c r="I3260" t="n">
        <v>0</v>
      </c>
      <c r="J3260" t="n">
        <v>0</v>
      </c>
      <c r="K3260" t="n">
        <v>0</v>
      </c>
      <c r="L3260" t="n">
        <v>0</v>
      </c>
      <c r="M3260" t="n">
        <v>0</v>
      </c>
      <c r="N3260" t="n">
        <v>0</v>
      </c>
      <c r="O3260" t="n">
        <v>0</v>
      </c>
      <c r="P3260" t="n">
        <v>0</v>
      </c>
      <c r="Q3260" t="n">
        <v>0</v>
      </c>
      <c r="R3260" s="2" t="inlineStr"/>
    </row>
    <row r="3261" ht="15" customHeight="1">
      <c r="A3261" t="inlineStr">
        <is>
          <t>A 38467-2023</t>
        </is>
      </c>
      <c r="B3261" s="1" t="n">
        <v>45162</v>
      </c>
      <c r="C3261" s="1" t="n">
        <v>45358</v>
      </c>
      <c r="D3261" t="inlineStr">
        <is>
          <t>HALLANDS LÄN</t>
        </is>
      </c>
      <c r="E3261" t="inlineStr">
        <is>
          <t>HYLTE</t>
        </is>
      </c>
      <c r="G3261" t="n">
        <v>0.8</v>
      </c>
      <c r="H3261" t="n">
        <v>0</v>
      </c>
      <c r="I3261" t="n">
        <v>0</v>
      </c>
      <c r="J3261" t="n">
        <v>0</v>
      </c>
      <c r="K3261" t="n">
        <v>0</v>
      </c>
      <c r="L3261" t="n">
        <v>0</v>
      </c>
      <c r="M3261" t="n">
        <v>0</v>
      </c>
      <c r="N3261" t="n">
        <v>0</v>
      </c>
      <c r="O3261" t="n">
        <v>0</v>
      </c>
      <c r="P3261" t="n">
        <v>0</v>
      </c>
      <c r="Q3261" t="n">
        <v>0</v>
      </c>
      <c r="R3261" s="2" t="inlineStr"/>
    </row>
    <row r="3262" ht="15" customHeight="1">
      <c r="A3262" t="inlineStr">
        <is>
          <t>A 38519-2023</t>
        </is>
      </c>
      <c r="B3262" s="1" t="n">
        <v>45162</v>
      </c>
      <c r="C3262" s="1" t="n">
        <v>45358</v>
      </c>
      <c r="D3262" t="inlineStr">
        <is>
          <t>HALLANDS LÄN</t>
        </is>
      </c>
      <c r="E3262" t="inlineStr">
        <is>
          <t>FALKENBERG</t>
        </is>
      </c>
      <c r="F3262" t="inlineStr">
        <is>
          <t>Bergvik skog väst AB</t>
        </is>
      </c>
      <c r="G3262" t="n">
        <v>10.2</v>
      </c>
      <c r="H3262" t="n">
        <v>0</v>
      </c>
      <c r="I3262" t="n">
        <v>0</v>
      </c>
      <c r="J3262" t="n">
        <v>0</v>
      </c>
      <c r="K3262" t="n">
        <v>0</v>
      </c>
      <c r="L3262" t="n">
        <v>0</v>
      </c>
      <c r="M3262" t="n">
        <v>0</v>
      </c>
      <c r="N3262" t="n">
        <v>0</v>
      </c>
      <c r="O3262" t="n">
        <v>0</v>
      </c>
      <c r="P3262" t="n">
        <v>0</v>
      </c>
      <c r="Q3262" t="n">
        <v>0</v>
      </c>
      <c r="R3262" s="2" t="inlineStr"/>
    </row>
    <row r="3263" ht="15" customHeight="1">
      <c r="A3263" t="inlineStr">
        <is>
          <t>A 38469-2023</t>
        </is>
      </c>
      <c r="B3263" s="1" t="n">
        <v>45162</v>
      </c>
      <c r="C3263" s="1" t="n">
        <v>45358</v>
      </c>
      <c r="D3263" t="inlineStr">
        <is>
          <t>HALLANDS LÄN</t>
        </is>
      </c>
      <c r="E3263" t="inlineStr">
        <is>
          <t>HYLTE</t>
        </is>
      </c>
      <c r="G3263" t="n">
        <v>0.5</v>
      </c>
      <c r="H3263" t="n">
        <v>0</v>
      </c>
      <c r="I3263" t="n">
        <v>0</v>
      </c>
      <c r="J3263" t="n">
        <v>0</v>
      </c>
      <c r="K3263" t="n">
        <v>0</v>
      </c>
      <c r="L3263" t="n">
        <v>0</v>
      </c>
      <c r="M3263" t="n">
        <v>0</v>
      </c>
      <c r="N3263" t="n">
        <v>0</v>
      </c>
      <c r="O3263" t="n">
        <v>0</v>
      </c>
      <c r="P3263" t="n">
        <v>0</v>
      </c>
      <c r="Q3263" t="n">
        <v>0</v>
      </c>
      <c r="R3263" s="2" t="inlineStr"/>
    </row>
    <row r="3264" ht="15" customHeight="1">
      <c r="A3264" t="inlineStr">
        <is>
          <t>A 38477-2023</t>
        </is>
      </c>
      <c r="B3264" s="1" t="n">
        <v>45162</v>
      </c>
      <c r="C3264" s="1" t="n">
        <v>45358</v>
      </c>
      <c r="D3264" t="inlineStr">
        <is>
          <t>HALLANDS LÄN</t>
        </is>
      </c>
      <c r="E3264" t="inlineStr">
        <is>
          <t>LAHOLM</t>
        </is>
      </c>
      <c r="G3264" t="n">
        <v>4.5</v>
      </c>
      <c r="H3264" t="n">
        <v>0</v>
      </c>
      <c r="I3264" t="n">
        <v>0</v>
      </c>
      <c r="J3264" t="n">
        <v>0</v>
      </c>
      <c r="K3264" t="n">
        <v>0</v>
      </c>
      <c r="L3264" t="n">
        <v>0</v>
      </c>
      <c r="M3264" t="n">
        <v>0</v>
      </c>
      <c r="N3264" t="n">
        <v>0</v>
      </c>
      <c r="O3264" t="n">
        <v>0</v>
      </c>
      <c r="P3264" t="n">
        <v>0</v>
      </c>
      <c r="Q3264" t="n">
        <v>0</v>
      </c>
      <c r="R3264" s="2" t="inlineStr"/>
    </row>
    <row r="3265" ht="15" customHeight="1">
      <c r="A3265" t="inlineStr">
        <is>
          <t>A 38657-2023</t>
        </is>
      </c>
      <c r="B3265" s="1" t="n">
        <v>45162</v>
      </c>
      <c r="C3265" s="1" t="n">
        <v>45358</v>
      </c>
      <c r="D3265" t="inlineStr">
        <is>
          <t>HALLANDS LÄN</t>
        </is>
      </c>
      <c r="E3265" t="inlineStr">
        <is>
          <t>FALKENBERG</t>
        </is>
      </c>
      <c r="G3265" t="n">
        <v>3.8</v>
      </c>
      <c r="H3265" t="n">
        <v>0</v>
      </c>
      <c r="I3265" t="n">
        <v>0</v>
      </c>
      <c r="J3265" t="n">
        <v>0</v>
      </c>
      <c r="K3265" t="n">
        <v>0</v>
      </c>
      <c r="L3265" t="n">
        <v>0</v>
      </c>
      <c r="M3265" t="n">
        <v>0</v>
      </c>
      <c r="N3265" t="n">
        <v>0</v>
      </c>
      <c r="O3265" t="n">
        <v>0</v>
      </c>
      <c r="P3265" t="n">
        <v>0</v>
      </c>
      <c r="Q3265" t="n">
        <v>0</v>
      </c>
      <c r="R3265" s="2" t="inlineStr"/>
    </row>
    <row r="3266" ht="15" customHeight="1">
      <c r="A3266" t="inlineStr">
        <is>
          <t>A 38825-2023</t>
        </is>
      </c>
      <c r="B3266" s="1" t="n">
        <v>45163</v>
      </c>
      <c r="C3266" s="1" t="n">
        <v>45358</v>
      </c>
      <c r="D3266" t="inlineStr">
        <is>
          <t>HALLANDS LÄN</t>
        </is>
      </c>
      <c r="E3266" t="inlineStr">
        <is>
          <t>HYLTE</t>
        </is>
      </c>
      <c r="G3266" t="n">
        <v>2.2</v>
      </c>
      <c r="H3266" t="n">
        <v>0</v>
      </c>
      <c r="I3266" t="n">
        <v>0</v>
      </c>
      <c r="J3266" t="n">
        <v>0</v>
      </c>
      <c r="K3266" t="n">
        <v>0</v>
      </c>
      <c r="L3266" t="n">
        <v>0</v>
      </c>
      <c r="M3266" t="n">
        <v>0</v>
      </c>
      <c r="N3266" t="n">
        <v>0</v>
      </c>
      <c r="O3266" t="n">
        <v>0</v>
      </c>
      <c r="P3266" t="n">
        <v>0</v>
      </c>
      <c r="Q3266" t="n">
        <v>0</v>
      </c>
      <c r="R3266" s="2" t="inlineStr"/>
    </row>
    <row r="3267" ht="15" customHeight="1">
      <c r="A3267" t="inlineStr">
        <is>
          <t>A 38854-2023</t>
        </is>
      </c>
      <c r="B3267" s="1" t="n">
        <v>45163</v>
      </c>
      <c r="C3267" s="1" t="n">
        <v>45358</v>
      </c>
      <c r="D3267" t="inlineStr">
        <is>
          <t>HALLANDS LÄN</t>
        </is>
      </c>
      <c r="E3267" t="inlineStr">
        <is>
          <t>HYLTE</t>
        </is>
      </c>
      <c r="G3267" t="n">
        <v>1.3</v>
      </c>
      <c r="H3267" t="n">
        <v>0</v>
      </c>
      <c r="I3267" t="n">
        <v>0</v>
      </c>
      <c r="J3267" t="n">
        <v>0</v>
      </c>
      <c r="K3267" t="n">
        <v>0</v>
      </c>
      <c r="L3267" t="n">
        <v>0</v>
      </c>
      <c r="M3267" t="n">
        <v>0</v>
      </c>
      <c r="N3267" t="n">
        <v>0</v>
      </c>
      <c r="O3267" t="n">
        <v>0</v>
      </c>
      <c r="P3267" t="n">
        <v>0</v>
      </c>
      <c r="Q3267" t="n">
        <v>0</v>
      </c>
      <c r="R3267" s="2" t="inlineStr"/>
    </row>
    <row r="3268" ht="15" customHeight="1">
      <c r="A3268" t="inlineStr">
        <is>
          <t>A 38701-2023</t>
        </is>
      </c>
      <c r="B3268" s="1" t="n">
        <v>45163</v>
      </c>
      <c r="C3268" s="1" t="n">
        <v>45358</v>
      </c>
      <c r="D3268" t="inlineStr">
        <is>
          <t>HALLANDS LÄN</t>
        </is>
      </c>
      <c r="E3268" t="inlineStr">
        <is>
          <t>HYLTE</t>
        </is>
      </c>
      <c r="G3268" t="n">
        <v>1.2</v>
      </c>
      <c r="H3268" t="n">
        <v>0</v>
      </c>
      <c r="I3268" t="n">
        <v>0</v>
      </c>
      <c r="J3268" t="n">
        <v>0</v>
      </c>
      <c r="K3268" t="n">
        <v>0</v>
      </c>
      <c r="L3268" t="n">
        <v>0</v>
      </c>
      <c r="M3268" t="n">
        <v>0</v>
      </c>
      <c r="N3268" t="n">
        <v>0</v>
      </c>
      <c r="O3268" t="n">
        <v>0</v>
      </c>
      <c r="P3268" t="n">
        <v>0</v>
      </c>
      <c r="Q3268" t="n">
        <v>0</v>
      </c>
      <c r="R3268" s="2" t="inlineStr"/>
    </row>
    <row r="3269" ht="15" customHeight="1">
      <c r="A3269" t="inlineStr">
        <is>
          <t>A 38905-2023</t>
        </is>
      </c>
      <c r="B3269" s="1" t="n">
        <v>45163</v>
      </c>
      <c r="C3269" s="1" t="n">
        <v>45358</v>
      </c>
      <c r="D3269" t="inlineStr">
        <is>
          <t>HALLANDS LÄN</t>
        </is>
      </c>
      <c r="E3269" t="inlineStr">
        <is>
          <t>FALKENBERG</t>
        </is>
      </c>
      <c r="G3269" t="n">
        <v>3.5</v>
      </c>
      <c r="H3269" t="n">
        <v>0</v>
      </c>
      <c r="I3269" t="n">
        <v>0</v>
      </c>
      <c r="J3269" t="n">
        <v>0</v>
      </c>
      <c r="K3269" t="n">
        <v>0</v>
      </c>
      <c r="L3269" t="n">
        <v>0</v>
      </c>
      <c r="M3269" t="n">
        <v>0</v>
      </c>
      <c r="N3269" t="n">
        <v>0</v>
      </c>
      <c r="O3269" t="n">
        <v>0</v>
      </c>
      <c r="P3269" t="n">
        <v>0</v>
      </c>
      <c r="Q3269" t="n">
        <v>0</v>
      </c>
      <c r="R3269" s="2" t="inlineStr"/>
    </row>
    <row r="3270" ht="15" customHeight="1">
      <c r="A3270" t="inlineStr">
        <is>
          <t>A 38920-2023</t>
        </is>
      </c>
      <c r="B3270" s="1" t="n">
        <v>45163</v>
      </c>
      <c r="C3270" s="1" t="n">
        <v>45358</v>
      </c>
      <c r="D3270" t="inlineStr">
        <is>
          <t>HALLANDS LÄN</t>
        </is>
      </c>
      <c r="E3270" t="inlineStr">
        <is>
          <t>FALKENBERG</t>
        </is>
      </c>
      <c r="G3270" t="n">
        <v>5.2</v>
      </c>
      <c r="H3270" t="n">
        <v>0</v>
      </c>
      <c r="I3270" t="n">
        <v>0</v>
      </c>
      <c r="J3270" t="n">
        <v>0</v>
      </c>
      <c r="K3270" t="n">
        <v>0</v>
      </c>
      <c r="L3270" t="n">
        <v>0</v>
      </c>
      <c r="M3270" t="n">
        <v>0</v>
      </c>
      <c r="N3270" t="n">
        <v>0</v>
      </c>
      <c r="O3270" t="n">
        <v>0</v>
      </c>
      <c r="P3270" t="n">
        <v>0</v>
      </c>
      <c r="Q3270" t="n">
        <v>0</v>
      </c>
      <c r="R3270" s="2" t="inlineStr"/>
    </row>
    <row r="3271" ht="15" customHeight="1">
      <c r="A3271" t="inlineStr">
        <is>
          <t>A 38943-2023</t>
        </is>
      </c>
      <c r="B3271" s="1" t="n">
        <v>45163</v>
      </c>
      <c r="C3271" s="1" t="n">
        <v>45358</v>
      </c>
      <c r="D3271" t="inlineStr">
        <is>
          <t>HALLANDS LÄN</t>
        </is>
      </c>
      <c r="E3271" t="inlineStr">
        <is>
          <t>HALMSTAD</t>
        </is>
      </c>
      <c r="G3271" t="n">
        <v>4.1</v>
      </c>
      <c r="H3271" t="n">
        <v>0</v>
      </c>
      <c r="I3271" t="n">
        <v>0</v>
      </c>
      <c r="J3271" t="n">
        <v>0</v>
      </c>
      <c r="K3271" t="n">
        <v>0</v>
      </c>
      <c r="L3271" t="n">
        <v>0</v>
      </c>
      <c r="M3271" t="n">
        <v>0</v>
      </c>
      <c r="N3271" t="n">
        <v>0</v>
      </c>
      <c r="O3271" t="n">
        <v>0</v>
      </c>
      <c r="P3271" t="n">
        <v>0</v>
      </c>
      <c r="Q3271" t="n">
        <v>0</v>
      </c>
      <c r="R3271" s="2" t="inlineStr"/>
    </row>
    <row r="3272" ht="15" customHeight="1">
      <c r="A3272" t="inlineStr">
        <is>
          <t>A 39329-2023</t>
        </is>
      </c>
      <c r="B3272" s="1" t="n">
        <v>45166</v>
      </c>
      <c r="C3272" s="1" t="n">
        <v>45358</v>
      </c>
      <c r="D3272" t="inlineStr">
        <is>
          <t>HALLANDS LÄN</t>
        </is>
      </c>
      <c r="E3272" t="inlineStr">
        <is>
          <t>HYLTE</t>
        </is>
      </c>
      <c r="G3272" t="n">
        <v>0.9</v>
      </c>
      <c r="H3272" t="n">
        <v>0</v>
      </c>
      <c r="I3272" t="n">
        <v>0</v>
      </c>
      <c r="J3272" t="n">
        <v>0</v>
      </c>
      <c r="K3272" t="n">
        <v>0</v>
      </c>
      <c r="L3272" t="n">
        <v>0</v>
      </c>
      <c r="M3272" t="n">
        <v>0</v>
      </c>
      <c r="N3272" t="n">
        <v>0</v>
      </c>
      <c r="O3272" t="n">
        <v>0</v>
      </c>
      <c r="P3272" t="n">
        <v>0</v>
      </c>
      <c r="Q3272" t="n">
        <v>0</v>
      </c>
      <c r="R3272" s="2" t="inlineStr"/>
    </row>
    <row r="3273" ht="15" customHeight="1">
      <c r="A3273" t="inlineStr">
        <is>
          <t>A 39465-2023</t>
        </is>
      </c>
      <c r="B3273" s="1" t="n">
        <v>45166</v>
      </c>
      <c r="C3273" s="1" t="n">
        <v>45358</v>
      </c>
      <c r="D3273" t="inlineStr">
        <is>
          <t>HALLANDS LÄN</t>
        </is>
      </c>
      <c r="E3273" t="inlineStr">
        <is>
          <t>LAHOLM</t>
        </is>
      </c>
      <c r="G3273" t="n">
        <v>0.9</v>
      </c>
      <c r="H3273" t="n">
        <v>0</v>
      </c>
      <c r="I3273" t="n">
        <v>0</v>
      </c>
      <c r="J3273" t="n">
        <v>0</v>
      </c>
      <c r="K3273" t="n">
        <v>0</v>
      </c>
      <c r="L3273" t="n">
        <v>0</v>
      </c>
      <c r="M3273" t="n">
        <v>0</v>
      </c>
      <c r="N3273" t="n">
        <v>0</v>
      </c>
      <c r="O3273" t="n">
        <v>0</v>
      </c>
      <c r="P3273" t="n">
        <v>0</v>
      </c>
      <c r="Q3273" t="n">
        <v>0</v>
      </c>
      <c r="R3273" s="2" t="inlineStr"/>
    </row>
    <row r="3274" ht="15" customHeight="1">
      <c r="A3274" t="inlineStr">
        <is>
          <t>A 39477-2023</t>
        </is>
      </c>
      <c r="B3274" s="1" t="n">
        <v>45166</v>
      </c>
      <c r="C3274" s="1" t="n">
        <v>45358</v>
      </c>
      <c r="D3274" t="inlineStr">
        <is>
          <t>HALLANDS LÄN</t>
        </is>
      </c>
      <c r="E3274" t="inlineStr">
        <is>
          <t>VARBERG</t>
        </is>
      </c>
      <c r="G3274" t="n">
        <v>0.9</v>
      </c>
      <c r="H3274" t="n">
        <v>0</v>
      </c>
      <c r="I3274" t="n">
        <v>0</v>
      </c>
      <c r="J3274" t="n">
        <v>0</v>
      </c>
      <c r="K3274" t="n">
        <v>0</v>
      </c>
      <c r="L3274" t="n">
        <v>0</v>
      </c>
      <c r="M3274" t="n">
        <v>0</v>
      </c>
      <c r="N3274" t="n">
        <v>0</v>
      </c>
      <c r="O3274" t="n">
        <v>0</v>
      </c>
      <c r="P3274" t="n">
        <v>0</v>
      </c>
      <c r="Q3274" t="n">
        <v>0</v>
      </c>
      <c r="R3274" s="2" t="inlineStr"/>
    </row>
    <row r="3275" ht="15" customHeight="1">
      <c r="A3275" t="inlineStr">
        <is>
          <t>A 39634-2023</t>
        </is>
      </c>
      <c r="B3275" s="1" t="n">
        <v>45167</v>
      </c>
      <c r="C3275" s="1" t="n">
        <v>45358</v>
      </c>
      <c r="D3275" t="inlineStr">
        <is>
          <t>HALLANDS LÄN</t>
        </is>
      </c>
      <c r="E3275" t="inlineStr">
        <is>
          <t>HYLTE</t>
        </is>
      </c>
      <c r="G3275" t="n">
        <v>2.2</v>
      </c>
      <c r="H3275" t="n">
        <v>0</v>
      </c>
      <c r="I3275" t="n">
        <v>0</v>
      </c>
      <c r="J3275" t="n">
        <v>0</v>
      </c>
      <c r="K3275" t="n">
        <v>0</v>
      </c>
      <c r="L3275" t="n">
        <v>0</v>
      </c>
      <c r="M3275" t="n">
        <v>0</v>
      </c>
      <c r="N3275" t="n">
        <v>0</v>
      </c>
      <c r="O3275" t="n">
        <v>0</v>
      </c>
      <c r="P3275" t="n">
        <v>0</v>
      </c>
      <c r="Q3275" t="n">
        <v>0</v>
      </c>
      <c r="R3275" s="2" t="inlineStr"/>
    </row>
    <row r="3276" ht="15" customHeight="1">
      <c r="A3276" t="inlineStr">
        <is>
          <t>A 39734-2023</t>
        </is>
      </c>
      <c r="B3276" s="1" t="n">
        <v>45167</v>
      </c>
      <c r="C3276" s="1" t="n">
        <v>45358</v>
      </c>
      <c r="D3276" t="inlineStr">
        <is>
          <t>HALLANDS LÄN</t>
        </is>
      </c>
      <c r="E3276" t="inlineStr">
        <is>
          <t>HYLTE</t>
        </is>
      </c>
      <c r="G3276" t="n">
        <v>6.6</v>
      </c>
      <c r="H3276" t="n">
        <v>0</v>
      </c>
      <c r="I3276" t="n">
        <v>0</v>
      </c>
      <c r="J3276" t="n">
        <v>0</v>
      </c>
      <c r="K3276" t="n">
        <v>0</v>
      </c>
      <c r="L3276" t="n">
        <v>0</v>
      </c>
      <c r="M3276" t="n">
        <v>0</v>
      </c>
      <c r="N3276" t="n">
        <v>0</v>
      </c>
      <c r="O3276" t="n">
        <v>0</v>
      </c>
      <c r="P3276" t="n">
        <v>0</v>
      </c>
      <c r="Q3276" t="n">
        <v>0</v>
      </c>
      <c r="R3276" s="2" t="inlineStr"/>
    </row>
    <row r="3277" ht="15" customHeight="1">
      <c r="A3277" t="inlineStr">
        <is>
          <t>A 39746-2023</t>
        </is>
      </c>
      <c r="B3277" s="1" t="n">
        <v>45167</v>
      </c>
      <c r="C3277" s="1" t="n">
        <v>45358</v>
      </c>
      <c r="D3277" t="inlineStr">
        <is>
          <t>HALLANDS LÄN</t>
        </is>
      </c>
      <c r="E3277" t="inlineStr">
        <is>
          <t>HALMSTAD</t>
        </is>
      </c>
      <c r="F3277" t="inlineStr">
        <is>
          <t>Kommuner</t>
        </is>
      </c>
      <c r="G3277" t="n">
        <v>1</v>
      </c>
      <c r="H3277" t="n">
        <v>0</v>
      </c>
      <c r="I3277" t="n">
        <v>0</v>
      </c>
      <c r="J3277" t="n">
        <v>0</v>
      </c>
      <c r="K3277" t="n">
        <v>0</v>
      </c>
      <c r="L3277" t="n">
        <v>0</v>
      </c>
      <c r="M3277" t="n">
        <v>0</v>
      </c>
      <c r="N3277" t="n">
        <v>0</v>
      </c>
      <c r="O3277" t="n">
        <v>0</v>
      </c>
      <c r="P3277" t="n">
        <v>0</v>
      </c>
      <c r="Q3277" t="n">
        <v>0</v>
      </c>
      <c r="R3277" s="2" t="inlineStr"/>
    </row>
    <row r="3278" ht="15" customHeight="1">
      <c r="A3278" t="inlineStr">
        <is>
          <t>A 39718-2023</t>
        </is>
      </c>
      <c r="B3278" s="1" t="n">
        <v>45167</v>
      </c>
      <c r="C3278" s="1" t="n">
        <v>45358</v>
      </c>
      <c r="D3278" t="inlineStr">
        <is>
          <t>HALLANDS LÄN</t>
        </is>
      </c>
      <c r="E3278" t="inlineStr">
        <is>
          <t>HYLTE</t>
        </is>
      </c>
      <c r="G3278" t="n">
        <v>2.8</v>
      </c>
      <c r="H3278" t="n">
        <v>0</v>
      </c>
      <c r="I3278" t="n">
        <v>0</v>
      </c>
      <c r="J3278" t="n">
        <v>0</v>
      </c>
      <c r="K3278" t="n">
        <v>0</v>
      </c>
      <c r="L3278" t="n">
        <v>0</v>
      </c>
      <c r="M3278" t="n">
        <v>0</v>
      </c>
      <c r="N3278" t="n">
        <v>0</v>
      </c>
      <c r="O3278" t="n">
        <v>0</v>
      </c>
      <c r="P3278" t="n">
        <v>0</v>
      </c>
      <c r="Q3278" t="n">
        <v>0</v>
      </c>
      <c r="R3278" s="2" t="inlineStr"/>
    </row>
    <row r="3279" ht="15" customHeight="1">
      <c r="A3279" t="inlineStr">
        <is>
          <t>A 39747-2023</t>
        </is>
      </c>
      <c r="B3279" s="1" t="n">
        <v>45167</v>
      </c>
      <c r="C3279" s="1" t="n">
        <v>45358</v>
      </c>
      <c r="D3279" t="inlineStr">
        <is>
          <t>HALLANDS LÄN</t>
        </is>
      </c>
      <c r="E3279" t="inlineStr">
        <is>
          <t>HALMSTAD</t>
        </is>
      </c>
      <c r="F3279" t="inlineStr">
        <is>
          <t>Kommuner</t>
        </is>
      </c>
      <c r="G3279" t="n">
        <v>2.5</v>
      </c>
      <c r="H3279" t="n">
        <v>0</v>
      </c>
      <c r="I3279" t="n">
        <v>0</v>
      </c>
      <c r="J3279" t="n">
        <v>0</v>
      </c>
      <c r="K3279" t="n">
        <v>0</v>
      </c>
      <c r="L3279" t="n">
        <v>0</v>
      </c>
      <c r="M3279" t="n">
        <v>0</v>
      </c>
      <c r="N3279" t="n">
        <v>0</v>
      </c>
      <c r="O3279" t="n">
        <v>0</v>
      </c>
      <c r="P3279" t="n">
        <v>0</v>
      </c>
      <c r="Q3279" t="n">
        <v>0</v>
      </c>
      <c r="R3279" s="2" t="inlineStr"/>
    </row>
    <row r="3280" ht="15" customHeight="1">
      <c r="A3280" t="inlineStr">
        <is>
          <t>A 39954-2023</t>
        </is>
      </c>
      <c r="B3280" s="1" t="n">
        <v>45168</v>
      </c>
      <c r="C3280" s="1" t="n">
        <v>45358</v>
      </c>
      <c r="D3280" t="inlineStr">
        <is>
          <t>HALLANDS LÄN</t>
        </is>
      </c>
      <c r="E3280" t="inlineStr">
        <is>
          <t>HYLTE</t>
        </is>
      </c>
      <c r="G3280" t="n">
        <v>0.8</v>
      </c>
      <c r="H3280" t="n">
        <v>0</v>
      </c>
      <c r="I3280" t="n">
        <v>0</v>
      </c>
      <c r="J3280" t="n">
        <v>0</v>
      </c>
      <c r="K3280" t="n">
        <v>0</v>
      </c>
      <c r="L3280" t="n">
        <v>0</v>
      </c>
      <c r="M3280" t="n">
        <v>0</v>
      </c>
      <c r="N3280" t="n">
        <v>0</v>
      </c>
      <c r="O3280" t="n">
        <v>0</v>
      </c>
      <c r="P3280" t="n">
        <v>0</v>
      </c>
      <c r="Q3280" t="n">
        <v>0</v>
      </c>
      <c r="R3280" s="2" t="inlineStr"/>
    </row>
    <row r="3281" ht="15" customHeight="1">
      <c r="A3281" t="inlineStr">
        <is>
          <t>A 39956-2023</t>
        </is>
      </c>
      <c r="B3281" s="1" t="n">
        <v>45168</v>
      </c>
      <c r="C3281" s="1" t="n">
        <v>45358</v>
      </c>
      <c r="D3281" t="inlineStr">
        <is>
          <t>HALLANDS LÄN</t>
        </is>
      </c>
      <c r="E3281" t="inlineStr">
        <is>
          <t>HYLTE</t>
        </is>
      </c>
      <c r="G3281" t="n">
        <v>0.9</v>
      </c>
      <c r="H3281" t="n">
        <v>0</v>
      </c>
      <c r="I3281" t="n">
        <v>0</v>
      </c>
      <c r="J3281" t="n">
        <v>0</v>
      </c>
      <c r="K3281" t="n">
        <v>0</v>
      </c>
      <c r="L3281" t="n">
        <v>0</v>
      </c>
      <c r="M3281" t="n">
        <v>0</v>
      </c>
      <c r="N3281" t="n">
        <v>0</v>
      </c>
      <c r="O3281" t="n">
        <v>0</v>
      </c>
      <c r="P3281" t="n">
        <v>0</v>
      </c>
      <c r="Q3281" t="n">
        <v>0</v>
      </c>
      <c r="R3281" s="2" t="inlineStr"/>
    </row>
    <row r="3282" ht="15" customHeight="1">
      <c r="A3282" t="inlineStr">
        <is>
          <t>A 39903-2023</t>
        </is>
      </c>
      <c r="B3282" s="1" t="n">
        <v>45168</v>
      </c>
      <c r="C3282" s="1" t="n">
        <v>45358</v>
      </c>
      <c r="D3282" t="inlineStr">
        <is>
          <t>HALLANDS LÄN</t>
        </is>
      </c>
      <c r="E3282" t="inlineStr">
        <is>
          <t>LAHOLM</t>
        </is>
      </c>
      <c r="G3282" t="n">
        <v>3.1</v>
      </c>
      <c r="H3282" t="n">
        <v>0</v>
      </c>
      <c r="I3282" t="n">
        <v>0</v>
      </c>
      <c r="J3282" t="n">
        <v>0</v>
      </c>
      <c r="K3282" t="n">
        <v>0</v>
      </c>
      <c r="L3282" t="n">
        <v>0</v>
      </c>
      <c r="M3282" t="n">
        <v>0</v>
      </c>
      <c r="N3282" t="n">
        <v>0</v>
      </c>
      <c r="O3282" t="n">
        <v>0</v>
      </c>
      <c r="P3282" t="n">
        <v>0</v>
      </c>
      <c r="Q3282" t="n">
        <v>0</v>
      </c>
      <c r="R3282" s="2" t="inlineStr"/>
    </row>
    <row r="3283" ht="15" customHeight="1">
      <c r="A3283" t="inlineStr">
        <is>
          <t>A 40623-2023</t>
        </is>
      </c>
      <c r="B3283" s="1" t="n">
        <v>45168</v>
      </c>
      <c r="C3283" s="1" t="n">
        <v>45358</v>
      </c>
      <c r="D3283" t="inlineStr">
        <is>
          <t>HALLANDS LÄN</t>
        </is>
      </c>
      <c r="E3283" t="inlineStr">
        <is>
          <t>HALMSTAD</t>
        </is>
      </c>
      <c r="F3283" t="inlineStr">
        <is>
          <t>Kommuner</t>
        </is>
      </c>
      <c r="G3283" t="n">
        <v>1</v>
      </c>
      <c r="H3283" t="n">
        <v>0</v>
      </c>
      <c r="I3283" t="n">
        <v>0</v>
      </c>
      <c r="J3283" t="n">
        <v>0</v>
      </c>
      <c r="K3283" t="n">
        <v>0</v>
      </c>
      <c r="L3283" t="n">
        <v>0</v>
      </c>
      <c r="M3283" t="n">
        <v>0</v>
      </c>
      <c r="N3283" t="n">
        <v>0</v>
      </c>
      <c r="O3283" t="n">
        <v>0</v>
      </c>
      <c r="P3283" t="n">
        <v>0</v>
      </c>
      <c r="Q3283" t="n">
        <v>0</v>
      </c>
      <c r="R3283" s="2" t="inlineStr"/>
    </row>
    <row r="3284" ht="15" customHeight="1">
      <c r="A3284" t="inlineStr">
        <is>
          <t>A 40669-2023</t>
        </is>
      </c>
      <c r="B3284" s="1" t="n">
        <v>45168</v>
      </c>
      <c r="C3284" s="1" t="n">
        <v>45358</v>
      </c>
      <c r="D3284" t="inlineStr">
        <is>
          <t>HALLANDS LÄN</t>
        </is>
      </c>
      <c r="E3284" t="inlineStr">
        <is>
          <t>HALMSTAD</t>
        </is>
      </c>
      <c r="F3284" t="inlineStr">
        <is>
          <t>Kommuner</t>
        </is>
      </c>
      <c r="G3284" t="n">
        <v>4.3</v>
      </c>
      <c r="H3284" t="n">
        <v>0</v>
      </c>
      <c r="I3284" t="n">
        <v>0</v>
      </c>
      <c r="J3284" t="n">
        <v>0</v>
      </c>
      <c r="K3284" t="n">
        <v>0</v>
      </c>
      <c r="L3284" t="n">
        <v>0</v>
      </c>
      <c r="M3284" t="n">
        <v>0</v>
      </c>
      <c r="N3284" t="n">
        <v>0</v>
      </c>
      <c r="O3284" t="n">
        <v>0</v>
      </c>
      <c r="P3284" t="n">
        <v>0</v>
      </c>
      <c r="Q3284" t="n">
        <v>0</v>
      </c>
      <c r="R3284" s="2" t="inlineStr"/>
    </row>
    <row r="3285" ht="15" customHeight="1">
      <c r="A3285" t="inlineStr">
        <is>
          <t>A 40561-2023</t>
        </is>
      </c>
      <c r="B3285" s="1" t="n">
        <v>45168</v>
      </c>
      <c r="C3285" s="1" t="n">
        <v>45358</v>
      </c>
      <c r="D3285" t="inlineStr">
        <is>
          <t>HALLANDS LÄN</t>
        </is>
      </c>
      <c r="E3285" t="inlineStr">
        <is>
          <t>HALMSTAD</t>
        </is>
      </c>
      <c r="F3285" t="inlineStr">
        <is>
          <t>Kommuner</t>
        </is>
      </c>
      <c r="G3285" t="n">
        <v>2.4</v>
      </c>
      <c r="H3285" t="n">
        <v>0</v>
      </c>
      <c r="I3285" t="n">
        <v>0</v>
      </c>
      <c r="J3285" t="n">
        <v>0</v>
      </c>
      <c r="K3285" t="n">
        <v>0</v>
      </c>
      <c r="L3285" t="n">
        <v>0</v>
      </c>
      <c r="M3285" t="n">
        <v>0</v>
      </c>
      <c r="N3285" t="n">
        <v>0</v>
      </c>
      <c r="O3285" t="n">
        <v>0</v>
      </c>
      <c r="P3285" t="n">
        <v>0</v>
      </c>
      <c r="Q3285" t="n">
        <v>0</v>
      </c>
      <c r="R3285" s="2" t="inlineStr"/>
    </row>
    <row r="3286" ht="15" customHeight="1">
      <c r="A3286" t="inlineStr">
        <is>
          <t>A 40716-2023</t>
        </is>
      </c>
      <c r="B3286" s="1" t="n">
        <v>45168</v>
      </c>
      <c r="C3286" s="1" t="n">
        <v>45358</v>
      </c>
      <c r="D3286" t="inlineStr">
        <is>
          <t>HALLANDS LÄN</t>
        </is>
      </c>
      <c r="E3286" t="inlineStr">
        <is>
          <t>HALMSTAD</t>
        </is>
      </c>
      <c r="F3286" t="inlineStr">
        <is>
          <t>Kommuner</t>
        </is>
      </c>
      <c r="G3286" t="n">
        <v>1.9</v>
      </c>
      <c r="H3286" t="n">
        <v>0</v>
      </c>
      <c r="I3286" t="n">
        <v>0</v>
      </c>
      <c r="J3286" t="n">
        <v>0</v>
      </c>
      <c r="K3286" t="n">
        <v>0</v>
      </c>
      <c r="L3286" t="n">
        <v>0</v>
      </c>
      <c r="M3286" t="n">
        <v>0</v>
      </c>
      <c r="N3286" t="n">
        <v>0</v>
      </c>
      <c r="O3286" t="n">
        <v>0</v>
      </c>
      <c r="P3286" t="n">
        <v>0</v>
      </c>
      <c r="Q3286" t="n">
        <v>0</v>
      </c>
      <c r="R3286" s="2" t="inlineStr"/>
    </row>
    <row r="3287" ht="15" customHeight="1">
      <c r="A3287" t="inlineStr">
        <is>
          <t>A 40652-2023</t>
        </is>
      </c>
      <c r="B3287" s="1" t="n">
        <v>45168</v>
      </c>
      <c r="C3287" s="1" t="n">
        <v>45358</v>
      </c>
      <c r="D3287" t="inlineStr">
        <is>
          <t>HALLANDS LÄN</t>
        </is>
      </c>
      <c r="E3287" t="inlineStr">
        <is>
          <t>HALMSTAD</t>
        </is>
      </c>
      <c r="F3287" t="inlineStr">
        <is>
          <t>Kommuner</t>
        </is>
      </c>
      <c r="G3287" t="n">
        <v>1.1</v>
      </c>
      <c r="H3287" t="n">
        <v>0</v>
      </c>
      <c r="I3287" t="n">
        <v>0</v>
      </c>
      <c r="J3287" t="n">
        <v>0</v>
      </c>
      <c r="K3287" t="n">
        <v>0</v>
      </c>
      <c r="L3287" t="n">
        <v>0</v>
      </c>
      <c r="M3287" t="n">
        <v>0</v>
      </c>
      <c r="N3287" t="n">
        <v>0</v>
      </c>
      <c r="O3287" t="n">
        <v>0</v>
      </c>
      <c r="P3287" t="n">
        <v>0</v>
      </c>
      <c r="Q3287" t="n">
        <v>0</v>
      </c>
      <c r="R3287" s="2" t="inlineStr"/>
    </row>
    <row r="3288" ht="15" customHeight="1">
      <c r="A3288" t="inlineStr">
        <is>
          <t>A 40600-2023</t>
        </is>
      </c>
      <c r="B3288" s="1" t="n">
        <v>45168</v>
      </c>
      <c r="C3288" s="1" t="n">
        <v>45358</v>
      </c>
      <c r="D3288" t="inlineStr">
        <is>
          <t>HALLANDS LÄN</t>
        </is>
      </c>
      <c r="E3288" t="inlineStr">
        <is>
          <t>HALMSTAD</t>
        </is>
      </c>
      <c r="F3288" t="inlineStr">
        <is>
          <t>Kommuner</t>
        </is>
      </c>
      <c r="G3288" t="n">
        <v>1.9</v>
      </c>
      <c r="H3288" t="n">
        <v>0</v>
      </c>
      <c r="I3288" t="n">
        <v>0</v>
      </c>
      <c r="J3288" t="n">
        <v>0</v>
      </c>
      <c r="K3288" t="n">
        <v>0</v>
      </c>
      <c r="L3288" t="n">
        <v>0</v>
      </c>
      <c r="M3288" t="n">
        <v>0</v>
      </c>
      <c r="N3288" t="n">
        <v>0</v>
      </c>
      <c r="O3288" t="n">
        <v>0</v>
      </c>
      <c r="P3288" t="n">
        <v>0</v>
      </c>
      <c r="Q3288" t="n">
        <v>0</v>
      </c>
      <c r="R3288" s="2" t="inlineStr"/>
    </row>
    <row r="3289" ht="15" customHeight="1">
      <c r="A3289" t="inlineStr">
        <is>
          <t>A 40629-2023</t>
        </is>
      </c>
      <c r="B3289" s="1" t="n">
        <v>45168</v>
      </c>
      <c r="C3289" s="1" t="n">
        <v>45358</v>
      </c>
      <c r="D3289" t="inlineStr">
        <is>
          <t>HALLANDS LÄN</t>
        </is>
      </c>
      <c r="E3289" t="inlineStr">
        <is>
          <t>HALMSTAD</t>
        </is>
      </c>
      <c r="F3289" t="inlineStr">
        <is>
          <t>Kommuner</t>
        </is>
      </c>
      <c r="G3289" t="n">
        <v>6.3</v>
      </c>
      <c r="H3289" t="n">
        <v>0</v>
      </c>
      <c r="I3289" t="n">
        <v>0</v>
      </c>
      <c r="J3289" t="n">
        <v>0</v>
      </c>
      <c r="K3289" t="n">
        <v>0</v>
      </c>
      <c r="L3289" t="n">
        <v>0</v>
      </c>
      <c r="M3289" t="n">
        <v>0</v>
      </c>
      <c r="N3289" t="n">
        <v>0</v>
      </c>
      <c r="O3289" t="n">
        <v>0</v>
      </c>
      <c r="P3289" t="n">
        <v>0</v>
      </c>
      <c r="Q3289" t="n">
        <v>0</v>
      </c>
      <c r="R3289" s="2" t="inlineStr"/>
    </row>
    <row r="3290" ht="15" customHeight="1">
      <c r="A3290" t="inlineStr">
        <is>
          <t>A 40708-2023</t>
        </is>
      </c>
      <c r="B3290" s="1" t="n">
        <v>45168</v>
      </c>
      <c r="C3290" s="1" t="n">
        <v>45358</v>
      </c>
      <c r="D3290" t="inlineStr">
        <is>
          <t>HALLANDS LÄN</t>
        </is>
      </c>
      <c r="E3290" t="inlineStr">
        <is>
          <t>HALMSTAD</t>
        </is>
      </c>
      <c r="F3290" t="inlineStr">
        <is>
          <t>Kommuner</t>
        </is>
      </c>
      <c r="G3290" t="n">
        <v>13.4</v>
      </c>
      <c r="H3290" t="n">
        <v>0</v>
      </c>
      <c r="I3290" t="n">
        <v>0</v>
      </c>
      <c r="J3290" t="n">
        <v>0</v>
      </c>
      <c r="K3290" t="n">
        <v>0</v>
      </c>
      <c r="L3290" t="n">
        <v>0</v>
      </c>
      <c r="M3290" t="n">
        <v>0</v>
      </c>
      <c r="N3290" t="n">
        <v>0</v>
      </c>
      <c r="O3290" t="n">
        <v>0</v>
      </c>
      <c r="P3290" t="n">
        <v>0</v>
      </c>
      <c r="Q3290" t="n">
        <v>0</v>
      </c>
      <c r="R3290" s="2" t="inlineStr"/>
    </row>
    <row r="3291" ht="15" customHeight="1">
      <c r="A3291" t="inlineStr">
        <is>
          <t>A 40595-2023</t>
        </is>
      </c>
      <c r="B3291" s="1" t="n">
        <v>45168</v>
      </c>
      <c r="C3291" s="1" t="n">
        <v>45358</v>
      </c>
      <c r="D3291" t="inlineStr">
        <is>
          <t>HALLANDS LÄN</t>
        </is>
      </c>
      <c r="E3291" t="inlineStr">
        <is>
          <t>HALMSTAD</t>
        </is>
      </c>
      <c r="F3291" t="inlineStr">
        <is>
          <t>Kommuner</t>
        </is>
      </c>
      <c r="G3291" t="n">
        <v>7.1</v>
      </c>
      <c r="H3291" t="n">
        <v>0</v>
      </c>
      <c r="I3291" t="n">
        <v>0</v>
      </c>
      <c r="J3291" t="n">
        <v>0</v>
      </c>
      <c r="K3291" t="n">
        <v>0</v>
      </c>
      <c r="L3291" t="n">
        <v>0</v>
      </c>
      <c r="M3291" t="n">
        <v>0</v>
      </c>
      <c r="N3291" t="n">
        <v>0</v>
      </c>
      <c r="O3291" t="n">
        <v>0</v>
      </c>
      <c r="P3291" t="n">
        <v>0</v>
      </c>
      <c r="Q3291" t="n">
        <v>0</v>
      </c>
      <c r="R3291" s="2" t="inlineStr"/>
    </row>
    <row r="3292" ht="15" customHeight="1">
      <c r="A3292" t="inlineStr">
        <is>
          <t>A 40697-2023</t>
        </is>
      </c>
      <c r="B3292" s="1" t="n">
        <v>45168</v>
      </c>
      <c r="C3292" s="1" t="n">
        <v>45358</v>
      </c>
      <c r="D3292" t="inlineStr">
        <is>
          <t>HALLANDS LÄN</t>
        </is>
      </c>
      <c r="E3292" t="inlineStr">
        <is>
          <t>HALMSTAD</t>
        </is>
      </c>
      <c r="F3292" t="inlineStr">
        <is>
          <t>Kommuner</t>
        </is>
      </c>
      <c r="G3292" t="n">
        <v>4.5</v>
      </c>
      <c r="H3292" t="n">
        <v>0</v>
      </c>
      <c r="I3292" t="n">
        <v>0</v>
      </c>
      <c r="J3292" t="n">
        <v>0</v>
      </c>
      <c r="K3292" t="n">
        <v>0</v>
      </c>
      <c r="L3292" t="n">
        <v>0</v>
      </c>
      <c r="M3292" t="n">
        <v>0</v>
      </c>
      <c r="N3292" t="n">
        <v>0</v>
      </c>
      <c r="O3292" t="n">
        <v>0</v>
      </c>
      <c r="P3292" t="n">
        <v>0</v>
      </c>
      <c r="Q3292" t="n">
        <v>0</v>
      </c>
      <c r="R3292" s="2" t="inlineStr"/>
    </row>
    <row r="3293" ht="15" customHeight="1">
      <c r="A3293" t="inlineStr">
        <is>
          <t>A 40658-2023</t>
        </is>
      </c>
      <c r="B3293" s="1" t="n">
        <v>45168</v>
      </c>
      <c r="C3293" s="1" t="n">
        <v>45358</v>
      </c>
      <c r="D3293" t="inlineStr">
        <is>
          <t>HALLANDS LÄN</t>
        </is>
      </c>
      <c r="E3293" t="inlineStr">
        <is>
          <t>HALMSTAD</t>
        </is>
      </c>
      <c r="F3293" t="inlineStr">
        <is>
          <t>Kommuner</t>
        </is>
      </c>
      <c r="G3293" t="n">
        <v>1.7</v>
      </c>
      <c r="H3293" t="n">
        <v>0</v>
      </c>
      <c r="I3293" t="n">
        <v>0</v>
      </c>
      <c r="J3293" t="n">
        <v>0</v>
      </c>
      <c r="K3293" t="n">
        <v>0</v>
      </c>
      <c r="L3293" t="n">
        <v>0</v>
      </c>
      <c r="M3293" t="n">
        <v>0</v>
      </c>
      <c r="N3293" t="n">
        <v>0</v>
      </c>
      <c r="O3293" t="n">
        <v>0</v>
      </c>
      <c r="P3293" t="n">
        <v>0</v>
      </c>
      <c r="Q3293" t="n">
        <v>0</v>
      </c>
      <c r="R3293" s="2" t="inlineStr"/>
    </row>
    <row r="3294" ht="15" customHeight="1">
      <c r="A3294" t="inlineStr">
        <is>
          <t>A 40601-2023</t>
        </is>
      </c>
      <c r="B3294" s="1" t="n">
        <v>45168</v>
      </c>
      <c r="C3294" s="1" t="n">
        <v>45358</v>
      </c>
      <c r="D3294" t="inlineStr">
        <is>
          <t>HALLANDS LÄN</t>
        </is>
      </c>
      <c r="E3294" t="inlineStr">
        <is>
          <t>HALMSTAD</t>
        </is>
      </c>
      <c r="F3294" t="inlineStr">
        <is>
          <t>Kommuner</t>
        </is>
      </c>
      <c r="G3294" t="n">
        <v>3.1</v>
      </c>
      <c r="H3294" t="n">
        <v>0</v>
      </c>
      <c r="I3294" t="n">
        <v>0</v>
      </c>
      <c r="J3294" t="n">
        <v>0</v>
      </c>
      <c r="K3294" t="n">
        <v>0</v>
      </c>
      <c r="L3294" t="n">
        <v>0</v>
      </c>
      <c r="M3294" t="n">
        <v>0</v>
      </c>
      <c r="N3294" t="n">
        <v>0</v>
      </c>
      <c r="O3294" t="n">
        <v>0</v>
      </c>
      <c r="P3294" t="n">
        <v>0</v>
      </c>
      <c r="Q3294" t="n">
        <v>0</v>
      </c>
      <c r="R3294" s="2" t="inlineStr"/>
    </row>
    <row r="3295" ht="15" customHeight="1">
      <c r="A3295" t="inlineStr">
        <is>
          <t>A 40582-2023</t>
        </is>
      </c>
      <c r="B3295" s="1" t="n">
        <v>45168</v>
      </c>
      <c r="C3295" s="1" t="n">
        <v>45358</v>
      </c>
      <c r="D3295" t="inlineStr">
        <is>
          <t>HALLANDS LÄN</t>
        </is>
      </c>
      <c r="E3295" t="inlineStr">
        <is>
          <t>HALMSTAD</t>
        </is>
      </c>
      <c r="F3295" t="inlineStr">
        <is>
          <t>Kommuner</t>
        </is>
      </c>
      <c r="G3295" t="n">
        <v>0.6</v>
      </c>
      <c r="H3295" t="n">
        <v>0</v>
      </c>
      <c r="I3295" t="n">
        <v>0</v>
      </c>
      <c r="J3295" t="n">
        <v>0</v>
      </c>
      <c r="K3295" t="n">
        <v>0</v>
      </c>
      <c r="L3295" t="n">
        <v>0</v>
      </c>
      <c r="M3295" t="n">
        <v>0</v>
      </c>
      <c r="N3295" t="n">
        <v>0</v>
      </c>
      <c r="O3295" t="n">
        <v>0</v>
      </c>
      <c r="P3295" t="n">
        <v>0</v>
      </c>
      <c r="Q3295" t="n">
        <v>0</v>
      </c>
      <c r="R3295" s="2" t="inlineStr"/>
    </row>
    <row r="3296" ht="15" customHeight="1">
      <c r="A3296" t="inlineStr">
        <is>
          <t>A 40491-2023</t>
        </is>
      </c>
      <c r="B3296" s="1" t="n">
        <v>45168</v>
      </c>
      <c r="C3296" s="1" t="n">
        <v>45358</v>
      </c>
      <c r="D3296" t="inlineStr">
        <is>
          <t>HALLANDS LÄN</t>
        </is>
      </c>
      <c r="E3296" t="inlineStr">
        <is>
          <t>HALMSTAD</t>
        </is>
      </c>
      <c r="F3296" t="inlineStr">
        <is>
          <t>Kommuner</t>
        </is>
      </c>
      <c r="G3296" t="n">
        <v>1.2</v>
      </c>
      <c r="H3296" t="n">
        <v>0</v>
      </c>
      <c r="I3296" t="n">
        <v>0</v>
      </c>
      <c r="J3296" t="n">
        <v>0</v>
      </c>
      <c r="K3296" t="n">
        <v>0</v>
      </c>
      <c r="L3296" t="n">
        <v>0</v>
      </c>
      <c r="M3296" t="n">
        <v>0</v>
      </c>
      <c r="N3296" t="n">
        <v>0</v>
      </c>
      <c r="O3296" t="n">
        <v>0</v>
      </c>
      <c r="P3296" t="n">
        <v>0</v>
      </c>
      <c r="Q3296" t="n">
        <v>0</v>
      </c>
      <c r="R3296" s="2" t="inlineStr"/>
    </row>
    <row r="3297" ht="15" customHeight="1">
      <c r="A3297" t="inlineStr">
        <is>
          <t>A 40639-2023</t>
        </is>
      </c>
      <c r="B3297" s="1" t="n">
        <v>45168</v>
      </c>
      <c r="C3297" s="1" t="n">
        <v>45358</v>
      </c>
      <c r="D3297" t="inlineStr">
        <is>
          <t>HALLANDS LÄN</t>
        </is>
      </c>
      <c r="E3297" t="inlineStr">
        <is>
          <t>HALMSTAD</t>
        </is>
      </c>
      <c r="F3297" t="inlineStr">
        <is>
          <t>Kommuner</t>
        </is>
      </c>
      <c r="G3297" t="n">
        <v>4.8</v>
      </c>
      <c r="H3297" t="n">
        <v>0</v>
      </c>
      <c r="I3297" t="n">
        <v>0</v>
      </c>
      <c r="J3297" t="n">
        <v>0</v>
      </c>
      <c r="K3297" t="n">
        <v>0</v>
      </c>
      <c r="L3297" t="n">
        <v>0</v>
      </c>
      <c r="M3297" t="n">
        <v>0</v>
      </c>
      <c r="N3297" t="n">
        <v>0</v>
      </c>
      <c r="O3297" t="n">
        <v>0</v>
      </c>
      <c r="P3297" t="n">
        <v>0</v>
      </c>
      <c r="Q3297" t="n">
        <v>0</v>
      </c>
      <c r="R3297" s="2" t="inlineStr"/>
    </row>
    <row r="3298" ht="15" customHeight="1">
      <c r="A3298" t="inlineStr">
        <is>
          <t>A 40606-2023</t>
        </is>
      </c>
      <c r="B3298" s="1" t="n">
        <v>45168</v>
      </c>
      <c r="C3298" s="1" t="n">
        <v>45358</v>
      </c>
      <c r="D3298" t="inlineStr">
        <is>
          <t>HALLANDS LÄN</t>
        </is>
      </c>
      <c r="E3298" t="inlineStr">
        <is>
          <t>HALMSTAD</t>
        </is>
      </c>
      <c r="F3298" t="inlineStr">
        <is>
          <t>Kommuner</t>
        </is>
      </c>
      <c r="G3298" t="n">
        <v>0.6</v>
      </c>
      <c r="H3298" t="n">
        <v>0</v>
      </c>
      <c r="I3298" t="n">
        <v>0</v>
      </c>
      <c r="J3298" t="n">
        <v>0</v>
      </c>
      <c r="K3298" t="n">
        <v>0</v>
      </c>
      <c r="L3298" t="n">
        <v>0</v>
      </c>
      <c r="M3298" t="n">
        <v>0</v>
      </c>
      <c r="N3298" t="n">
        <v>0</v>
      </c>
      <c r="O3298" t="n">
        <v>0</v>
      </c>
      <c r="P3298" t="n">
        <v>0</v>
      </c>
      <c r="Q3298" t="n">
        <v>0</v>
      </c>
      <c r="R3298" s="2" t="inlineStr"/>
    </row>
    <row r="3299" ht="15" customHeight="1">
      <c r="A3299" t="inlineStr">
        <is>
          <t>A 40659-2023</t>
        </is>
      </c>
      <c r="B3299" s="1" t="n">
        <v>45168</v>
      </c>
      <c r="C3299" s="1" t="n">
        <v>45358</v>
      </c>
      <c r="D3299" t="inlineStr">
        <is>
          <t>HALLANDS LÄN</t>
        </is>
      </c>
      <c r="E3299" t="inlineStr">
        <is>
          <t>HALMSTAD</t>
        </is>
      </c>
      <c r="F3299" t="inlineStr">
        <is>
          <t>Kommuner</t>
        </is>
      </c>
      <c r="G3299" t="n">
        <v>3.1</v>
      </c>
      <c r="H3299" t="n">
        <v>0</v>
      </c>
      <c r="I3299" t="n">
        <v>0</v>
      </c>
      <c r="J3299" t="n">
        <v>0</v>
      </c>
      <c r="K3299" t="n">
        <v>0</v>
      </c>
      <c r="L3299" t="n">
        <v>0</v>
      </c>
      <c r="M3299" t="n">
        <v>0</v>
      </c>
      <c r="N3299" t="n">
        <v>0</v>
      </c>
      <c r="O3299" t="n">
        <v>0</v>
      </c>
      <c r="P3299" t="n">
        <v>0</v>
      </c>
      <c r="Q3299" t="n">
        <v>0</v>
      </c>
      <c r="R3299" s="2" t="inlineStr"/>
    </row>
    <row r="3300" ht="15" customHeight="1">
      <c r="A3300" t="inlineStr">
        <is>
          <t>A 40542-2023</t>
        </is>
      </c>
      <c r="B3300" s="1" t="n">
        <v>45168</v>
      </c>
      <c r="C3300" s="1" t="n">
        <v>45358</v>
      </c>
      <c r="D3300" t="inlineStr">
        <is>
          <t>HALLANDS LÄN</t>
        </is>
      </c>
      <c r="E3300" t="inlineStr">
        <is>
          <t>HALMSTAD</t>
        </is>
      </c>
      <c r="F3300" t="inlineStr">
        <is>
          <t>Kommuner</t>
        </is>
      </c>
      <c r="G3300" t="n">
        <v>2.2</v>
      </c>
      <c r="H3300" t="n">
        <v>0</v>
      </c>
      <c r="I3300" t="n">
        <v>0</v>
      </c>
      <c r="J3300" t="n">
        <v>0</v>
      </c>
      <c r="K3300" t="n">
        <v>0</v>
      </c>
      <c r="L3300" t="n">
        <v>0</v>
      </c>
      <c r="M3300" t="n">
        <v>0</v>
      </c>
      <c r="N3300" t="n">
        <v>0</v>
      </c>
      <c r="O3300" t="n">
        <v>0</v>
      </c>
      <c r="P3300" t="n">
        <v>0</v>
      </c>
      <c r="Q3300" t="n">
        <v>0</v>
      </c>
      <c r="R3300" s="2" t="inlineStr"/>
    </row>
    <row r="3301" ht="15" customHeight="1">
      <c r="A3301" t="inlineStr">
        <is>
          <t>A 40702-2023</t>
        </is>
      </c>
      <c r="B3301" s="1" t="n">
        <v>45168</v>
      </c>
      <c r="C3301" s="1" t="n">
        <v>45358</v>
      </c>
      <c r="D3301" t="inlineStr">
        <is>
          <t>HALLANDS LÄN</t>
        </is>
      </c>
      <c r="E3301" t="inlineStr">
        <is>
          <t>HALMSTAD</t>
        </is>
      </c>
      <c r="F3301" t="inlineStr">
        <is>
          <t>Kommuner</t>
        </is>
      </c>
      <c r="G3301" t="n">
        <v>1.2</v>
      </c>
      <c r="H3301" t="n">
        <v>0</v>
      </c>
      <c r="I3301" t="n">
        <v>0</v>
      </c>
      <c r="J3301" t="n">
        <v>0</v>
      </c>
      <c r="K3301" t="n">
        <v>0</v>
      </c>
      <c r="L3301" t="n">
        <v>0</v>
      </c>
      <c r="M3301" t="n">
        <v>0</v>
      </c>
      <c r="N3301" t="n">
        <v>0</v>
      </c>
      <c r="O3301" t="n">
        <v>0</v>
      </c>
      <c r="P3301" t="n">
        <v>0</v>
      </c>
      <c r="Q3301" t="n">
        <v>0</v>
      </c>
      <c r="R3301" s="2" t="inlineStr"/>
    </row>
    <row r="3302" ht="15" customHeight="1">
      <c r="A3302" t="inlineStr">
        <is>
          <t>A 40644-2023</t>
        </is>
      </c>
      <c r="B3302" s="1" t="n">
        <v>45168</v>
      </c>
      <c r="C3302" s="1" t="n">
        <v>45358</v>
      </c>
      <c r="D3302" t="inlineStr">
        <is>
          <t>HALLANDS LÄN</t>
        </is>
      </c>
      <c r="E3302" t="inlineStr">
        <is>
          <t>HALMSTAD</t>
        </is>
      </c>
      <c r="F3302" t="inlineStr">
        <is>
          <t>Kommuner</t>
        </is>
      </c>
      <c r="G3302" t="n">
        <v>1.3</v>
      </c>
      <c r="H3302" t="n">
        <v>0</v>
      </c>
      <c r="I3302" t="n">
        <v>0</v>
      </c>
      <c r="J3302" t="n">
        <v>0</v>
      </c>
      <c r="K3302" t="n">
        <v>0</v>
      </c>
      <c r="L3302" t="n">
        <v>0</v>
      </c>
      <c r="M3302" t="n">
        <v>0</v>
      </c>
      <c r="N3302" t="n">
        <v>0</v>
      </c>
      <c r="O3302" t="n">
        <v>0</v>
      </c>
      <c r="P3302" t="n">
        <v>0</v>
      </c>
      <c r="Q3302" t="n">
        <v>0</v>
      </c>
      <c r="R3302" s="2" t="inlineStr"/>
    </row>
    <row r="3303" ht="15" customHeight="1">
      <c r="A3303" t="inlineStr">
        <is>
          <t>A 40589-2023</t>
        </is>
      </c>
      <c r="B3303" s="1" t="n">
        <v>45168</v>
      </c>
      <c r="C3303" s="1" t="n">
        <v>45358</v>
      </c>
      <c r="D3303" t="inlineStr">
        <is>
          <t>HALLANDS LÄN</t>
        </is>
      </c>
      <c r="E3303" t="inlineStr">
        <is>
          <t>HALMSTAD</t>
        </is>
      </c>
      <c r="F3303" t="inlineStr">
        <is>
          <t>Kommuner</t>
        </is>
      </c>
      <c r="G3303" t="n">
        <v>2.5</v>
      </c>
      <c r="H3303" t="n">
        <v>0</v>
      </c>
      <c r="I3303" t="n">
        <v>0</v>
      </c>
      <c r="J3303" t="n">
        <v>0</v>
      </c>
      <c r="K3303" t="n">
        <v>0</v>
      </c>
      <c r="L3303" t="n">
        <v>0</v>
      </c>
      <c r="M3303" t="n">
        <v>0</v>
      </c>
      <c r="N3303" t="n">
        <v>0</v>
      </c>
      <c r="O3303" t="n">
        <v>0</v>
      </c>
      <c r="P3303" t="n">
        <v>0</v>
      </c>
      <c r="Q3303" t="n">
        <v>0</v>
      </c>
      <c r="R3303" s="2" t="inlineStr"/>
    </row>
    <row r="3304" ht="15" customHeight="1">
      <c r="A3304" t="inlineStr">
        <is>
          <t>A 40165-2023</t>
        </is>
      </c>
      <c r="B3304" s="1" t="n">
        <v>45169</v>
      </c>
      <c r="C3304" s="1" t="n">
        <v>45358</v>
      </c>
      <c r="D3304" t="inlineStr">
        <is>
          <t>HALLANDS LÄN</t>
        </is>
      </c>
      <c r="E3304" t="inlineStr">
        <is>
          <t>HYLTE</t>
        </is>
      </c>
      <c r="G3304" t="n">
        <v>1.4</v>
      </c>
      <c r="H3304" t="n">
        <v>0</v>
      </c>
      <c r="I3304" t="n">
        <v>0</v>
      </c>
      <c r="J3304" t="n">
        <v>0</v>
      </c>
      <c r="K3304" t="n">
        <v>0</v>
      </c>
      <c r="L3304" t="n">
        <v>0</v>
      </c>
      <c r="M3304" t="n">
        <v>0</v>
      </c>
      <c r="N3304" t="n">
        <v>0</v>
      </c>
      <c r="O3304" t="n">
        <v>0</v>
      </c>
      <c r="P3304" t="n">
        <v>0</v>
      </c>
      <c r="Q3304" t="n">
        <v>0</v>
      </c>
      <c r="R3304" s="2" t="inlineStr"/>
    </row>
    <row r="3305" ht="15" customHeight="1">
      <c r="A3305" t="inlineStr">
        <is>
          <t>A 40345-2023</t>
        </is>
      </c>
      <c r="B3305" s="1" t="n">
        <v>45169</v>
      </c>
      <c r="C3305" s="1" t="n">
        <v>45358</v>
      </c>
      <c r="D3305" t="inlineStr">
        <is>
          <t>HALLANDS LÄN</t>
        </is>
      </c>
      <c r="E3305" t="inlineStr">
        <is>
          <t>HALMSTAD</t>
        </is>
      </c>
      <c r="G3305" t="n">
        <v>0.8</v>
      </c>
      <c r="H3305" t="n">
        <v>0</v>
      </c>
      <c r="I3305" t="n">
        <v>0</v>
      </c>
      <c r="J3305" t="n">
        <v>0</v>
      </c>
      <c r="K3305" t="n">
        <v>0</v>
      </c>
      <c r="L3305" t="n">
        <v>0</v>
      </c>
      <c r="M3305" t="n">
        <v>0</v>
      </c>
      <c r="N3305" t="n">
        <v>0</v>
      </c>
      <c r="O3305" t="n">
        <v>0</v>
      </c>
      <c r="P3305" t="n">
        <v>0</v>
      </c>
      <c r="Q3305" t="n">
        <v>0</v>
      </c>
      <c r="R3305" s="2" t="inlineStr"/>
    </row>
    <row r="3306" ht="15" customHeight="1">
      <c r="A3306" t="inlineStr">
        <is>
          <t>A 40358-2023</t>
        </is>
      </c>
      <c r="B3306" s="1" t="n">
        <v>45169</v>
      </c>
      <c r="C3306" s="1" t="n">
        <v>45358</v>
      </c>
      <c r="D3306" t="inlineStr">
        <is>
          <t>HALLANDS LÄN</t>
        </is>
      </c>
      <c r="E3306" t="inlineStr">
        <is>
          <t>LAHOLM</t>
        </is>
      </c>
      <c r="G3306" t="n">
        <v>1</v>
      </c>
      <c r="H3306" t="n">
        <v>0</v>
      </c>
      <c r="I3306" t="n">
        <v>0</v>
      </c>
      <c r="J3306" t="n">
        <v>0</v>
      </c>
      <c r="K3306" t="n">
        <v>0</v>
      </c>
      <c r="L3306" t="n">
        <v>0</v>
      </c>
      <c r="M3306" t="n">
        <v>0</v>
      </c>
      <c r="N3306" t="n">
        <v>0</v>
      </c>
      <c r="O3306" t="n">
        <v>0</v>
      </c>
      <c r="P3306" t="n">
        <v>0</v>
      </c>
      <c r="Q3306" t="n">
        <v>0</v>
      </c>
      <c r="R3306" s="2" t="inlineStr"/>
    </row>
    <row r="3307" ht="15" customHeight="1">
      <c r="A3307" t="inlineStr">
        <is>
          <t>A 40348-2023</t>
        </is>
      </c>
      <c r="B3307" s="1" t="n">
        <v>45169</v>
      </c>
      <c r="C3307" s="1" t="n">
        <v>45358</v>
      </c>
      <c r="D3307" t="inlineStr">
        <is>
          <t>HALLANDS LÄN</t>
        </is>
      </c>
      <c r="E3307" t="inlineStr">
        <is>
          <t>HYLTE</t>
        </is>
      </c>
      <c r="G3307" t="n">
        <v>3.1</v>
      </c>
      <c r="H3307" t="n">
        <v>0</v>
      </c>
      <c r="I3307" t="n">
        <v>0</v>
      </c>
      <c r="J3307" t="n">
        <v>0</v>
      </c>
      <c r="K3307" t="n">
        <v>0</v>
      </c>
      <c r="L3307" t="n">
        <v>0</v>
      </c>
      <c r="M3307" t="n">
        <v>0</v>
      </c>
      <c r="N3307" t="n">
        <v>0</v>
      </c>
      <c r="O3307" t="n">
        <v>0</v>
      </c>
      <c r="P3307" t="n">
        <v>0</v>
      </c>
      <c r="Q3307" t="n">
        <v>0</v>
      </c>
      <c r="R3307" s="2" t="inlineStr"/>
    </row>
    <row r="3308" ht="15" customHeight="1">
      <c r="A3308" t="inlineStr">
        <is>
          <t>A 40127-2023</t>
        </is>
      </c>
      <c r="B3308" s="1" t="n">
        <v>45169</v>
      </c>
      <c r="C3308" s="1" t="n">
        <v>45358</v>
      </c>
      <c r="D3308" t="inlineStr">
        <is>
          <t>HALLANDS LÄN</t>
        </is>
      </c>
      <c r="E3308" t="inlineStr">
        <is>
          <t>FALKENBERG</t>
        </is>
      </c>
      <c r="G3308" t="n">
        <v>1.3</v>
      </c>
      <c r="H3308" t="n">
        <v>0</v>
      </c>
      <c r="I3308" t="n">
        <v>0</v>
      </c>
      <c r="J3308" t="n">
        <v>0</v>
      </c>
      <c r="K3308" t="n">
        <v>0</v>
      </c>
      <c r="L3308" t="n">
        <v>0</v>
      </c>
      <c r="M3308" t="n">
        <v>0</v>
      </c>
      <c r="N3308" t="n">
        <v>0</v>
      </c>
      <c r="O3308" t="n">
        <v>0</v>
      </c>
      <c r="P3308" t="n">
        <v>0</v>
      </c>
      <c r="Q3308" t="n">
        <v>0</v>
      </c>
      <c r="R3308" s="2" t="inlineStr"/>
    </row>
    <row r="3309" ht="15" customHeight="1">
      <c r="A3309" t="inlineStr">
        <is>
          <t>A 40359-2023</t>
        </is>
      </c>
      <c r="B3309" s="1" t="n">
        <v>45169</v>
      </c>
      <c r="C3309" s="1" t="n">
        <v>45358</v>
      </c>
      <c r="D3309" t="inlineStr">
        <is>
          <t>HALLANDS LÄN</t>
        </is>
      </c>
      <c r="E3309" t="inlineStr">
        <is>
          <t>HALMSTAD</t>
        </is>
      </c>
      <c r="G3309" t="n">
        <v>1.3</v>
      </c>
      <c r="H3309" t="n">
        <v>0</v>
      </c>
      <c r="I3309" t="n">
        <v>0</v>
      </c>
      <c r="J3309" t="n">
        <v>0</v>
      </c>
      <c r="K3309" t="n">
        <v>0</v>
      </c>
      <c r="L3309" t="n">
        <v>0</v>
      </c>
      <c r="M3309" t="n">
        <v>0</v>
      </c>
      <c r="N3309" t="n">
        <v>0</v>
      </c>
      <c r="O3309" t="n">
        <v>0</v>
      </c>
      <c r="P3309" t="n">
        <v>0</v>
      </c>
      <c r="Q3309" t="n">
        <v>0</v>
      </c>
      <c r="R3309" s="2" t="inlineStr"/>
    </row>
    <row r="3310" ht="15" customHeight="1">
      <c r="A3310" t="inlineStr">
        <is>
          <t>A 40616-2023</t>
        </is>
      </c>
      <c r="B3310" s="1" t="n">
        <v>45169</v>
      </c>
      <c r="C3310" s="1" t="n">
        <v>45358</v>
      </c>
      <c r="D3310" t="inlineStr">
        <is>
          <t>HALLANDS LÄN</t>
        </is>
      </c>
      <c r="E3310" t="inlineStr">
        <is>
          <t>FALKENBERG</t>
        </is>
      </c>
      <c r="G3310" t="n">
        <v>1.1</v>
      </c>
      <c r="H3310" t="n">
        <v>0</v>
      </c>
      <c r="I3310" t="n">
        <v>0</v>
      </c>
      <c r="J3310" t="n">
        <v>0</v>
      </c>
      <c r="K3310" t="n">
        <v>0</v>
      </c>
      <c r="L3310" t="n">
        <v>0</v>
      </c>
      <c r="M3310" t="n">
        <v>0</v>
      </c>
      <c r="N3310" t="n">
        <v>0</v>
      </c>
      <c r="O3310" t="n">
        <v>0</v>
      </c>
      <c r="P3310" t="n">
        <v>0</v>
      </c>
      <c r="Q3310" t="n">
        <v>0</v>
      </c>
      <c r="R3310" s="2" t="inlineStr"/>
    </row>
    <row r="3311" ht="15" customHeight="1">
      <c r="A3311" t="inlineStr">
        <is>
          <t>A 40562-2023</t>
        </is>
      </c>
      <c r="B3311" s="1" t="n">
        <v>45170</v>
      </c>
      <c r="C3311" s="1" t="n">
        <v>45358</v>
      </c>
      <c r="D3311" t="inlineStr">
        <is>
          <t>HALLANDS LÄN</t>
        </is>
      </c>
      <c r="E3311" t="inlineStr">
        <is>
          <t>HYLTE</t>
        </is>
      </c>
      <c r="G3311" t="n">
        <v>0.6</v>
      </c>
      <c r="H3311" t="n">
        <v>0</v>
      </c>
      <c r="I3311" t="n">
        <v>0</v>
      </c>
      <c r="J3311" t="n">
        <v>0</v>
      </c>
      <c r="K3311" t="n">
        <v>0</v>
      </c>
      <c r="L3311" t="n">
        <v>0</v>
      </c>
      <c r="M3311" t="n">
        <v>0</v>
      </c>
      <c r="N3311" t="n">
        <v>0</v>
      </c>
      <c r="O3311" t="n">
        <v>0</v>
      </c>
      <c r="P3311" t="n">
        <v>0</v>
      </c>
      <c r="Q3311" t="n">
        <v>0</v>
      </c>
      <c r="R3311" s="2" t="inlineStr"/>
    </row>
    <row r="3312" ht="15" customHeight="1">
      <c r="A3312" t="inlineStr">
        <is>
          <t>A 40544-2023</t>
        </is>
      </c>
      <c r="B3312" s="1" t="n">
        <v>45170</v>
      </c>
      <c r="C3312" s="1" t="n">
        <v>45358</v>
      </c>
      <c r="D3312" t="inlineStr">
        <is>
          <t>HALLANDS LÄN</t>
        </is>
      </c>
      <c r="E3312" t="inlineStr">
        <is>
          <t>HYLTE</t>
        </is>
      </c>
      <c r="G3312" t="n">
        <v>2.5</v>
      </c>
      <c r="H3312" t="n">
        <v>0</v>
      </c>
      <c r="I3312" t="n">
        <v>0</v>
      </c>
      <c r="J3312" t="n">
        <v>0</v>
      </c>
      <c r="K3312" t="n">
        <v>0</v>
      </c>
      <c r="L3312" t="n">
        <v>0</v>
      </c>
      <c r="M3312" t="n">
        <v>0</v>
      </c>
      <c r="N3312" t="n">
        <v>0</v>
      </c>
      <c r="O3312" t="n">
        <v>0</v>
      </c>
      <c r="P3312" t="n">
        <v>0</v>
      </c>
      <c r="Q3312" t="n">
        <v>0</v>
      </c>
      <c r="R3312" s="2" t="inlineStr"/>
    </row>
    <row r="3313" ht="15" customHeight="1">
      <c r="A3313" t="inlineStr">
        <is>
          <t>A 40725-2023</t>
        </is>
      </c>
      <c r="B3313" s="1" t="n">
        <v>45170</v>
      </c>
      <c r="C3313" s="1" t="n">
        <v>45358</v>
      </c>
      <c r="D3313" t="inlineStr">
        <is>
          <t>HALLANDS LÄN</t>
        </is>
      </c>
      <c r="E3313" t="inlineStr">
        <is>
          <t>HYLTE</t>
        </is>
      </c>
      <c r="G3313" t="n">
        <v>1.4</v>
      </c>
      <c r="H3313" t="n">
        <v>0</v>
      </c>
      <c r="I3313" t="n">
        <v>0</v>
      </c>
      <c r="J3313" t="n">
        <v>0</v>
      </c>
      <c r="K3313" t="n">
        <v>0</v>
      </c>
      <c r="L3313" t="n">
        <v>0</v>
      </c>
      <c r="M3313" t="n">
        <v>0</v>
      </c>
      <c r="N3313" t="n">
        <v>0</v>
      </c>
      <c r="O3313" t="n">
        <v>0</v>
      </c>
      <c r="P3313" t="n">
        <v>0</v>
      </c>
      <c r="Q3313" t="n">
        <v>0</v>
      </c>
      <c r="R3313" s="2" t="inlineStr"/>
    </row>
    <row r="3314" ht="15" customHeight="1">
      <c r="A3314" t="inlineStr">
        <is>
          <t>A 40737-2023</t>
        </is>
      </c>
      <c r="B3314" s="1" t="n">
        <v>45170</v>
      </c>
      <c r="C3314" s="1" t="n">
        <v>45358</v>
      </c>
      <c r="D3314" t="inlineStr">
        <is>
          <t>HALLANDS LÄN</t>
        </is>
      </c>
      <c r="E3314" t="inlineStr">
        <is>
          <t>HALMSTAD</t>
        </is>
      </c>
      <c r="G3314" t="n">
        <v>2.4</v>
      </c>
      <c r="H3314" t="n">
        <v>0</v>
      </c>
      <c r="I3314" t="n">
        <v>0</v>
      </c>
      <c r="J3314" t="n">
        <v>0</v>
      </c>
      <c r="K3314" t="n">
        <v>0</v>
      </c>
      <c r="L3314" t="n">
        <v>0</v>
      </c>
      <c r="M3314" t="n">
        <v>0</v>
      </c>
      <c r="N3314" t="n">
        <v>0</v>
      </c>
      <c r="O3314" t="n">
        <v>0</v>
      </c>
      <c r="P3314" t="n">
        <v>0</v>
      </c>
      <c r="Q3314" t="n">
        <v>0</v>
      </c>
      <c r="R3314" s="2" t="inlineStr"/>
    </row>
    <row r="3315" ht="15" customHeight="1">
      <c r="A3315" t="inlineStr">
        <is>
          <t>A 40741-2023</t>
        </is>
      </c>
      <c r="B3315" s="1" t="n">
        <v>45170</v>
      </c>
      <c r="C3315" s="1" t="n">
        <v>45358</v>
      </c>
      <c r="D3315" t="inlineStr">
        <is>
          <t>HALLANDS LÄN</t>
        </is>
      </c>
      <c r="E3315" t="inlineStr">
        <is>
          <t>HALMSTAD</t>
        </is>
      </c>
      <c r="G3315" t="n">
        <v>4.1</v>
      </c>
      <c r="H3315" t="n">
        <v>0</v>
      </c>
      <c r="I3315" t="n">
        <v>0</v>
      </c>
      <c r="J3315" t="n">
        <v>0</v>
      </c>
      <c r="K3315" t="n">
        <v>0</v>
      </c>
      <c r="L3315" t="n">
        <v>0</v>
      </c>
      <c r="M3315" t="n">
        <v>0</v>
      </c>
      <c r="N3315" t="n">
        <v>0</v>
      </c>
      <c r="O3315" t="n">
        <v>0</v>
      </c>
      <c r="P3315" t="n">
        <v>0</v>
      </c>
      <c r="Q3315" t="n">
        <v>0</v>
      </c>
      <c r="R3315" s="2" t="inlineStr"/>
    </row>
    <row r="3316" ht="15" customHeight="1">
      <c r="A3316" t="inlineStr">
        <is>
          <t>A 40481-2023</t>
        </is>
      </c>
      <c r="B3316" s="1" t="n">
        <v>45170</v>
      </c>
      <c r="C3316" s="1" t="n">
        <v>45358</v>
      </c>
      <c r="D3316" t="inlineStr">
        <is>
          <t>HALLANDS LÄN</t>
        </is>
      </c>
      <c r="E3316" t="inlineStr">
        <is>
          <t>LAHOLM</t>
        </is>
      </c>
      <c r="G3316" t="n">
        <v>1.6</v>
      </c>
      <c r="H3316" t="n">
        <v>0</v>
      </c>
      <c r="I3316" t="n">
        <v>0</v>
      </c>
      <c r="J3316" t="n">
        <v>0</v>
      </c>
      <c r="K3316" t="n">
        <v>0</v>
      </c>
      <c r="L3316" t="n">
        <v>0</v>
      </c>
      <c r="M3316" t="n">
        <v>0</v>
      </c>
      <c r="N3316" t="n">
        <v>0</v>
      </c>
      <c r="O3316" t="n">
        <v>0</v>
      </c>
      <c r="P3316" t="n">
        <v>0</v>
      </c>
      <c r="Q3316" t="n">
        <v>0</v>
      </c>
      <c r="R3316" s="2" t="inlineStr"/>
    </row>
    <row r="3317" ht="15" customHeight="1">
      <c r="A3317" t="inlineStr">
        <is>
          <t>A 40730-2023</t>
        </is>
      </c>
      <c r="B3317" s="1" t="n">
        <v>45170</v>
      </c>
      <c r="C3317" s="1" t="n">
        <v>45358</v>
      </c>
      <c r="D3317" t="inlineStr">
        <is>
          <t>HALLANDS LÄN</t>
        </is>
      </c>
      <c r="E3317" t="inlineStr">
        <is>
          <t>HALMSTAD</t>
        </is>
      </c>
      <c r="G3317" t="n">
        <v>2</v>
      </c>
      <c r="H3317" t="n">
        <v>0</v>
      </c>
      <c r="I3317" t="n">
        <v>0</v>
      </c>
      <c r="J3317" t="n">
        <v>0</v>
      </c>
      <c r="K3317" t="n">
        <v>0</v>
      </c>
      <c r="L3317" t="n">
        <v>0</v>
      </c>
      <c r="M3317" t="n">
        <v>0</v>
      </c>
      <c r="N3317" t="n">
        <v>0</v>
      </c>
      <c r="O3317" t="n">
        <v>0</v>
      </c>
      <c r="P3317" t="n">
        <v>0</v>
      </c>
      <c r="Q3317" t="n">
        <v>0</v>
      </c>
      <c r="R3317" s="2" t="inlineStr"/>
    </row>
    <row r="3318" ht="15" customHeight="1">
      <c r="A3318" t="inlineStr">
        <is>
          <t>A 40734-2023</t>
        </is>
      </c>
      <c r="B3318" s="1" t="n">
        <v>45170</v>
      </c>
      <c r="C3318" s="1" t="n">
        <v>45358</v>
      </c>
      <c r="D3318" t="inlineStr">
        <is>
          <t>HALLANDS LÄN</t>
        </is>
      </c>
      <c r="E3318" t="inlineStr">
        <is>
          <t>HALMSTAD</t>
        </is>
      </c>
      <c r="G3318" t="n">
        <v>5.2</v>
      </c>
      <c r="H3318" t="n">
        <v>0</v>
      </c>
      <c r="I3318" t="n">
        <v>0</v>
      </c>
      <c r="J3318" t="n">
        <v>0</v>
      </c>
      <c r="K3318" t="n">
        <v>0</v>
      </c>
      <c r="L3318" t="n">
        <v>0</v>
      </c>
      <c r="M3318" t="n">
        <v>0</v>
      </c>
      <c r="N3318" t="n">
        <v>0</v>
      </c>
      <c r="O3318" t="n">
        <v>0</v>
      </c>
      <c r="P3318" t="n">
        <v>0</v>
      </c>
      <c r="Q3318" t="n">
        <v>0</v>
      </c>
      <c r="R3318" s="2" t="inlineStr"/>
    </row>
    <row r="3319" ht="15" customHeight="1">
      <c r="A3319" t="inlineStr">
        <is>
          <t>A 40732-2023</t>
        </is>
      </c>
      <c r="B3319" s="1" t="n">
        <v>45170</v>
      </c>
      <c r="C3319" s="1" t="n">
        <v>45358</v>
      </c>
      <c r="D3319" t="inlineStr">
        <is>
          <t>HALLANDS LÄN</t>
        </is>
      </c>
      <c r="E3319" t="inlineStr">
        <is>
          <t>HALMSTAD</t>
        </is>
      </c>
      <c r="G3319" t="n">
        <v>5.4</v>
      </c>
      <c r="H3319" t="n">
        <v>0</v>
      </c>
      <c r="I3319" t="n">
        <v>0</v>
      </c>
      <c r="J3319" t="n">
        <v>0</v>
      </c>
      <c r="K3319" t="n">
        <v>0</v>
      </c>
      <c r="L3319" t="n">
        <v>0</v>
      </c>
      <c r="M3319" t="n">
        <v>0</v>
      </c>
      <c r="N3319" t="n">
        <v>0</v>
      </c>
      <c r="O3319" t="n">
        <v>0</v>
      </c>
      <c r="P3319" t="n">
        <v>0</v>
      </c>
      <c r="Q3319" t="n">
        <v>0</v>
      </c>
      <c r="R3319" s="2" t="inlineStr"/>
    </row>
    <row r="3320" ht="15" customHeight="1">
      <c r="A3320" t="inlineStr">
        <is>
          <t>A 40731-2023</t>
        </is>
      </c>
      <c r="B3320" s="1" t="n">
        <v>45170</v>
      </c>
      <c r="C3320" s="1" t="n">
        <v>45358</v>
      </c>
      <c r="D3320" t="inlineStr">
        <is>
          <t>HALLANDS LÄN</t>
        </is>
      </c>
      <c r="E3320" t="inlineStr">
        <is>
          <t>HYLTE</t>
        </is>
      </c>
      <c r="G3320" t="n">
        <v>1.8</v>
      </c>
      <c r="H3320" t="n">
        <v>0</v>
      </c>
      <c r="I3320" t="n">
        <v>0</v>
      </c>
      <c r="J3320" t="n">
        <v>0</v>
      </c>
      <c r="K3320" t="n">
        <v>0</v>
      </c>
      <c r="L3320" t="n">
        <v>0</v>
      </c>
      <c r="M3320" t="n">
        <v>0</v>
      </c>
      <c r="N3320" t="n">
        <v>0</v>
      </c>
      <c r="O3320" t="n">
        <v>0</v>
      </c>
      <c r="P3320" t="n">
        <v>0</v>
      </c>
      <c r="Q3320" t="n">
        <v>0</v>
      </c>
      <c r="R3320" s="2" t="inlineStr"/>
    </row>
    <row r="3321" ht="15" customHeight="1">
      <c r="A3321" t="inlineStr">
        <is>
          <t>A 40735-2023</t>
        </is>
      </c>
      <c r="B3321" s="1" t="n">
        <v>45170</v>
      </c>
      <c r="C3321" s="1" t="n">
        <v>45358</v>
      </c>
      <c r="D3321" t="inlineStr">
        <is>
          <t>HALLANDS LÄN</t>
        </is>
      </c>
      <c r="E3321" t="inlineStr">
        <is>
          <t>HALMSTAD</t>
        </is>
      </c>
      <c r="G3321" t="n">
        <v>1.3</v>
      </c>
      <c r="H3321" t="n">
        <v>0</v>
      </c>
      <c r="I3321" t="n">
        <v>0</v>
      </c>
      <c r="J3321" t="n">
        <v>0</v>
      </c>
      <c r="K3321" t="n">
        <v>0</v>
      </c>
      <c r="L3321" t="n">
        <v>0</v>
      </c>
      <c r="M3321" t="n">
        <v>0</v>
      </c>
      <c r="N3321" t="n">
        <v>0</v>
      </c>
      <c r="O3321" t="n">
        <v>0</v>
      </c>
      <c r="P3321" t="n">
        <v>0</v>
      </c>
      <c r="Q3321" t="n">
        <v>0</v>
      </c>
      <c r="R3321" s="2" t="inlineStr"/>
    </row>
    <row r="3322" ht="15" customHeight="1">
      <c r="A3322" t="inlineStr">
        <is>
          <t>A 40739-2023</t>
        </is>
      </c>
      <c r="B3322" s="1" t="n">
        <v>45170</v>
      </c>
      <c r="C3322" s="1" t="n">
        <v>45358</v>
      </c>
      <c r="D3322" t="inlineStr">
        <is>
          <t>HALLANDS LÄN</t>
        </is>
      </c>
      <c r="E3322" t="inlineStr">
        <is>
          <t>HALMSTAD</t>
        </is>
      </c>
      <c r="G3322" t="n">
        <v>0.6</v>
      </c>
      <c r="H3322" t="n">
        <v>0</v>
      </c>
      <c r="I3322" t="n">
        <v>0</v>
      </c>
      <c r="J3322" t="n">
        <v>0</v>
      </c>
      <c r="K3322" t="n">
        <v>0</v>
      </c>
      <c r="L3322" t="n">
        <v>0</v>
      </c>
      <c r="M3322" t="n">
        <v>0</v>
      </c>
      <c r="N3322" t="n">
        <v>0</v>
      </c>
      <c r="O3322" t="n">
        <v>0</v>
      </c>
      <c r="P3322" t="n">
        <v>0</v>
      </c>
      <c r="Q3322" t="n">
        <v>0</v>
      </c>
      <c r="R3322" s="2" t="inlineStr"/>
    </row>
    <row r="3323" ht="15" customHeight="1">
      <c r="A3323" t="inlineStr">
        <is>
          <t>A 40810-2023</t>
        </is>
      </c>
      <c r="B3323" s="1" t="n">
        <v>45171</v>
      </c>
      <c r="C3323" s="1" t="n">
        <v>45358</v>
      </c>
      <c r="D3323" t="inlineStr">
        <is>
          <t>HALLANDS LÄN</t>
        </is>
      </c>
      <c r="E3323" t="inlineStr">
        <is>
          <t>LAHOLM</t>
        </is>
      </c>
      <c r="G3323" t="n">
        <v>2.1</v>
      </c>
      <c r="H3323" t="n">
        <v>0</v>
      </c>
      <c r="I3323" t="n">
        <v>0</v>
      </c>
      <c r="J3323" t="n">
        <v>0</v>
      </c>
      <c r="K3323" t="n">
        <v>0</v>
      </c>
      <c r="L3323" t="n">
        <v>0</v>
      </c>
      <c r="M3323" t="n">
        <v>0</v>
      </c>
      <c r="N3323" t="n">
        <v>0</v>
      </c>
      <c r="O3323" t="n">
        <v>0</v>
      </c>
      <c r="P3323" t="n">
        <v>0</v>
      </c>
      <c r="Q3323" t="n">
        <v>0</v>
      </c>
      <c r="R3323" s="2" t="inlineStr"/>
    </row>
    <row r="3324" ht="15" customHeight="1">
      <c r="A3324" t="inlineStr">
        <is>
          <t>A 40809-2023</t>
        </is>
      </c>
      <c r="B3324" s="1" t="n">
        <v>45171</v>
      </c>
      <c r="C3324" s="1" t="n">
        <v>45358</v>
      </c>
      <c r="D3324" t="inlineStr">
        <is>
          <t>HALLANDS LÄN</t>
        </is>
      </c>
      <c r="E3324" t="inlineStr">
        <is>
          <t>LAHOLM</t>
        </is>
      </c>
      <c r="G3324" t="n">
        <v>1.2</v>
      </c>
      <c r="H3324" t="n">
        <v>0</v>
      </c>
      <c r="I3324" t="n">
        <v>0</v>
      </c>
      <c r="J3324" t="n">
        <v>0</v>
      </c>
      <c r="K3324" t="n">
        <v>0</v>
      </c>
      <c r="L3324" t="n">
        <v>0</v>
      </c>
      <c r="M3324" t="n">
        <v>0</v>
      </c>
      <c r="N3324" t="n">
        <v>0</v>
      </c>
      <c r="O3324" t="n">
        <v>0</v>
      </c>
      <c r="P3324" t="n">
        <v>0</v>
      </c>
      <c r="Q3324" t="n">
        <v>0</v>
      </c>
      <c r="R3324" s="2" t="inlineStr"/>
    </row>
    <row r="3325" ht="15" customHeight="1">
      <c r="A3325" t="inlineStr">
        <is>
          <t>A 40845-2023</t>
        </is>
      </c>
      <c r="B3325" s="1" t="n">
        <v>45173</v>
      </c>
      <c r="C3325" s="1" t="n">
        <v>45358</v>
      </c>
      <c r="D3325" t="inlineStr">
        <is>
          <t>HALLANDS LÄN</t>
        </is>
      </c>
      <c r="E3325" t="inlineStr">
        <is>
          <t>HALMSTAD</t>
        </is>
      </c>
      <c r="G3325" t="n">
        <v>0.6</v>
      </c>
      <c r="H3325" t="n">
        <v>0</v>
      </c>
      <c r="I3325" t="n">
        <v>0</v>
      </c>
      <c r="J3325" t="n">
        <v>0</v>
      </c>
      <c r="K3325" t="n">
        <v>0</v>
      </c>
      <c r="L3325" t="n">
        <v>0</v>
      </c>
      <c r="M3325" t="n">
        <v>0</v>
      </c>
      <c r="N3325" t="n">
        <v>0</v>
      </c>
      <c r="O3325" t="n">
        <v>0</v>
      </c>
      <c r="P3325" t="n">
        <v>0</v>
      </c>
      <c r="Q3325" t="n">
        <v>0</v>
      </c>
      <c r="R3325" s="2" t="inlineStr"/>
    </row>
    <row r="3326" ht="15" customHeight="1">
      <c r="A3326" t="inlineStr">
        <is>
          <t>A 40846-2023</t>
        </is>
      </c>
      <c r="B3326" s="1" t="n">
        <v>45173</v>
      </c>
      <c r="C3326" s="1" t="n">
        <v>45358</v>
      </c>
      <c r="D3326" t="inlineStr">
        <is>
          <t>HALLANDS LÄN</t>
        </is>
      </c>
      <c r="E3326" t="inlineStr">
        <is>
          <t>HALMSTAD</t>
        </is>
      </c>
      <c r="G3326" t="n">
        <v>0.6</v>
      </c>
      <c r="H3326" t="n">
        <v>0</v>
      </c>
      <c r="I3326" t="n">
        <v>0</v>
      </c>
      <c r="J3326" t="n">
        <v>0</v>
      </c>
      <c r="K3326" t="n">
        <v>0</v>
      </c>
      <c r="L3326" t="n">
        <v>0</v>
      </c>
      <c r="M3326" t="n">
        <v>0</v>
      </c>
      <c r="N3326" t="n">
        <v>0</v>
      </c>
      <c r="O3326" t="n">
        <v>0</v>
      </c>
      <c r="P3326" t="n">
        <v>0</v>
      </c>
      <c r="Q3326" t="n">
        <v>0</v>
      </c>
      <c r="R3326" s="2" t="inlineStr"/>
    </row>
    <row r="3327" ht="15" customHeight="1">
      <c r="A3327" t="inlineStr">
        <is>
          <t>A 41012-2023</t>
        </is>
      </c>
      <c r="B3327" s="1" t="n">
        <v>45173</v>
      </c>
      <c r="C3327" s="1" t="n">
        <v>45358</v>
      </c>
      <c r="D3327" t="inlineStr">
        <is>
          <t>HALLANDS LÄN</t>
        </is>
      </c>
      <c r="E3327" t="inlineStr">
        <is>
          <t>HYLTE</t>
        </is>
      </c>
      <c r="G3327" t="n">
        <v>3.3</v>
      </c>
      <c r="H3327" t="n">
        <v>0</v>
      </c>
      <c r="I3327" t="n">
        <v>0</v>
      </c>
      <c r="J3327" t="n">
        <v>0</v>
      </c>
      <c r="K3327" t="n">
        <v>0</v>
      </c>
      <c r="L3327" t="n">
        <v>0</v>
      </c>
      <c r="M3327" t="n">
        <v>0</v>
      </c>
      <c r="N3327" t="n">
        <v>0</v>
      </c>
      <c r="O3327" t="n">
        <v>0</v>
      </c>
      <c r="P3327" t="n">
        <v>0</v>
      </c>
      <c r="Q3327" t="n">
        <v>0</v>
      </c>
      <c r="R3327" s="2" t="inlineStr"/>
    </row>
    <row r="3328" ht="15" customHeight="1">
      <c r="A3328" t="inlineStr">
        <is>
          <t>A 40994-2023</t>
        </is>
      </c>
      <c r="B3328" s="1" t="n">
        <v>45173</v>
      </c>
      <c r="C3328" s="1" t="n">
        <v>45358</v>
      </c>
      <c r="D3328" t="inlineStr">
        <is>
          <t>HALLANDS LÄN</t>
        </is>
      </c>
      <c r="E3328" t="inlineStr">
        <is>
          <t>FALKENBERG</t>
        </is>
      </c>
      <c r="G3328" t="n">
        <v>3.4</v>
      </c>
      <c r="H3328" t="n">
        <v>0</v>
      </c>
      <c r="I3328" t="n">
        <v>0</v>
      </c>
      <c r="J3328" t="n">
        <v>0</v>
      </c>
      <c r="K3328" t="n">
        <v>0</v>
      </c>
      <c r="L3328" t="n">
        <v>0</v>
      </c>
      <c r="M3328" t="n">
        <v>0</v>
      </c>
      <c r="N3328" t="n">
        <v>0</v>
      </c>
      <c r="O3328" t="n">
        <v>0</v>
      </c>
      <c r="P3328" t="n">
        <v>0</v>
      </c>
      <c r="Q3328" t="n">
        <v>0</v>
      </c>
      <c r="R3328" s="2" t="inlineStr"/>
    </row>
    <row r="3329" ht="15" customHeight="1">
      <c r="A3329" t="inlineStr">
        <is>
          <t>A 41238-2023</t>
        </is>
      </c>
      <c r="B3329" s="1" t="n">
        <v>45174</v>
      </c>
      <c r="C3329" s="1" t="n">
        <v>45358</v>
      </c>
      <c r="D3329" t="inlineStr">
        <is>
          <t>HALLANDS LÄN</t>
        </is>
      </c>
      <c r="E3329" t="inlineStr">
        <is>
          <t>FALKENBERG</t>
        </is>
      </c>
      <c r="G3329" t="n">
        <v>1.8</v>
      </c>
      <c r="H3329" t="n">
        <v>0</v>
      </c>
      <c r="I3329" t="n">
        <v>0</v>
      </c>
      <c r="J3329" t="n">
        <v>0</v>
      </c>
      <c r="K3329" t="n">
        <v>0</v>
      </c>
      <c r="L3329" t="n">
        <v>0</v>
      </c>
      <c r="M3329" t="n">
        <v>0</v>
      </c>
      <c r="N3329" t="n">
        <v>0</v>
      </c>
      <c r="O3329" t="n">
        <v>0</v>
      </c>
      <c r="P3329" t="n">
        <v>0</v>
      </c>
      <c r="Q3329" t="n">
        <v>0</v>
      </c>
      <c r="R3329" s="2" t="inlineStr"/>
    </row>
    <row r="3330" ht="15" customHeight="1">
      <c r="A3330" t="inlineStr">
        <is>
          <t>A 41235-2023</t>
        </is>
      </c>
      <c r="B3330" s="1" t="n">
        <v>45174</v>
      </c>
      <c r="C3330" s="1" t="n">
        <v>45358</v>
      </c>
      <c r="D3330" t="inlineStr">
        <is>
          <t>HALLANDS LÄN</t>
        </is>
      </c>
      <c r="E3330" t="inlineStr">
        <is>
          <t>FALKENBERG</t>
        </is>
      </c>
      <c r="G3330" t="n">
        <v>2.1</v>
      </c>
      <c r="H3330" t="n">
        <v>0</v>
      </c>
      <c r="I3330" t="n">
        <v>0</v>
      </c>
      <c r="J3330" t="n">
        <v>0</v>
      </c>
      <c r="K3330" t="n">
        <v>0</v>
      </c>
      <c r="L3330" t="n">
        <v>0</v>
      </c>
      <c r="M3330" t="n">
        <v>0</v>
      </c>
      <c r="N3330" t="n">
        <v>0</v>
      </c>
      <c r="O3330" t="n">
        <v>0</v>
      </c>
      <c r="P3330" t="n">
        <v>0</v>
      </c>
      <c r="Q3330" t="n">
        <v>0</v>
      </c>
      <c r="R3330" s="2" t="inlineStr"/>
    </row>
    <row r="3331" ht="15" customHeight="1">
      <c r="A3331" t="inlineStr">
        <is>
          <t>A 41244-2023</t>
        </is>
      </c>
      <c r="B3331" s="1" t="n">
        <v>45174</v>
      </c>
      <c r="C3331" s="1" t="n">
        <v>45358</v>
      </c>
      <c r="D3331" t="inlineStr">
        <is>
          <t>HALLANDS LÄN</t>
        </is>
      </c>
      <c r="E3331" t="inlineStr">
        <is>
          <t>FALKENBERG</t>
        </is>
      </c>
      <c r="G3331" t="n">
        <v>0.4</v>
      </c>
      <c r="H3331" t="n">
        <v>0</v>
      </c>
      <c r="I3331" t="n">
        <v>0</v>
      </c>
      <c r="J3331" t="n">
        <v>0</v>
      </c>
      <c r="K3331" t="n">
        <v>0</v>
      </c>
      <c r="L3331" t="n">
        <v>0</v>
      </c>
      <c r="M3331" t="n">
        <v>0</v>
      </c>
      <c r="N3331" t="n">
        <v>0</v>
      </c>
      <c r="O3331" t="n">
        <v>0</v>
      </c>
      <c r="P3331" t="n">
        <v>0</v>
      </c>
      <c r="Q3331" t="n">
        <v>0</v>
      </c>
      <c r="R3331" s="2" t="inlineStr"/>
    </row>
    <row r="3332" ht="15" customHeight="1">
      <c r="A3332" t="inlineStr">
        <is>
          <t>A 41233-2023</t>
        </is>
      </c>
      <c r="B3332" s="1" t="n">
        <v>45174</v>
      </c>
      <c r="C3332" s="1" t="n">
        <v>45358</v>
      </c>
      <c r="D3332" t="inlineStr">
        <is>
          <t>HALLANDS LÄN</t>
        </is>
      </c>
      <c r="E3332" t="inlineStr">
        <is>
          <t>FALKENBERG</t>
        </is>
      </c>
      <c r="G3332" t="n">
        <v>1.8</v>
      </c>
      <c r="H3332" t="n">
        <v>0</v>
      </c>
      <c r="I3332" t="n">
        <v>0</v>
      </c>
      <c r="J3332" t="n">
        <v>0</v>
      </c>
      <c r="K3332" t="n">
        <v>0</v>
      </c>
      <c r="L3332" t="n">
        <v>0</v>
      </c>
      <c r="M3332" t="n">
        <v>0</v>
      </c>
      <c r="N3332" t="n">
        <v>0</v>
      </c>
      <c r="O3332" t="n">
        <v>0</v>
      </c>
      <c r="P3332" t="n">
        <v>0</v>
      </c>
      <c r="Q3332" t="n">
        <v>0</v>
      </c>
      <c r="R3332" s="2" t="inlineStr"/>
    </row>
    <row r="3333" ht="15" customHeight="1">
      <c r="A3333" t="inlineStr">
        <is>
          <t>A 41242-2023</t>
        </is>
      </c>
      <c r="B3333" s="1" t="n">
        <v>45174</v>
      </c>
      <c r="C3333" s="1" t="n">
        <v>45358</v>
      </c>
      <c r="D3333" t="inlineStr">
        <is>
          <t>HALLANDS LÄN</t>
        </is>
      </c>
      <c r="E3333" t="inlineStr">
        <is>
          <t>FALKENBERG</t>
        </is>
      </c>
      <c r="G3333" t="n">
        <v>0.6</v>
      </c>
      <c r="H3333" t="n">
        <v>0</v>
      </c>
      <c r="I3333" t="n">
        <v>0</v>
      </c>
      <c r="J3333" t="n">
        <v>0</v>
      </c>
      <c r="K3333" t="n">
        <v>0</v>
      </c>
      <c r="L3333" t="n">
        <v>0</v>
      </c>
      <c r="M3333" t="n">
        <v>0</v>
      </c>
      <c r="N3333" t="n">
        <v>0</v>
      </c>
      <c r="O3333" t="n">
        <v>0</v>
      </c>
      <c r="P3333" t="n">
        <v>0</v>
      </c>
      <c r="Q3333" t="n">
        <v>0</v>
      </c>
      <c r="R3333" s="2" t="inlineStr"/>
    </row>
    <row r="3334" ht="15" customHeight="1">
      <c r="A3334" t="inlineStr">
        <is>
          <t>A 41289-2023</t>
        </is>
      </c>
      <c r="B3334" s="1" t="n">
        <v>45174</v>
      </c>
      <c r="C3334" s="1" t="n">
        <v>45358</v>
      </c>
      <c r="D3334" t="inlineStr">
        <is>
          <t>HALLANDS LÄN</t>
        </is>
      </c>
      <c r="E3334" t="inlineStr">
        <is>
          <t>LAHOLM</t>
        </is>
      </c>
      <c r="G3334" t="n">
        <v>0.4</v>
      </c>
      <c r="H3334" t="n">
        <v>0</v>
      </c>
      <c r="I3334" t="n">
        <v>0</v>
      </c>
      <c r="J3334" t="n">
        <v>0</v>
      </c>
      <c r="K3334" t="n">
        <v>0</v>
      </c>
      <c r="L3334" t="n">
        <v>0</v>
      </c>
      <c r="M3334" t="n">
        <v>0</v>
      </c>
      <c r="N3334" t="n">
        <v>0</v>
      </c>
      <c r="O3334" t="n">
        <v>0</v>
      </c>
      <c r="P3334" t="n">
        <v>0</v>
      </c>
      <c r="Q3334" t="n">
        <v>0</v>
      </c>
      <c r="R3334" s="2" t="inlineStr"/>
    </row>
    <row r="3335" ht="15" customHeight="1">
      <c r="A3335" t="inlineStr">
        <is>
          <t>A 41372-2023</t>
        </is>
      </c>
      <c r="B3335" s="1" t="n">
        <v>45174</v>
      </c>
      <c r="C3335" s="1" t="n">
        <v>45358</v>
      </c>
      <c r="D3335" t="inlineStr">
        <is>
          <t>HALLANDS LÄN</t>
        </is>
      </c>
      <c r="E3335" t="inlineStr">
        <is>
          <t>FALKENBERG</t>
        </is>
      </c>
      <c r="G3335" t="n">
        <v>2.7</v>
      </c>
      <c r="H3335" t="n">
        <v>0</v>
      </c>
      <c r="I3335" t="n">
        <v>0</v>
      </c>
      <c r="J3335" t="n">
        <v>0</v>
      </c>
      <c r="K3335" t="n">
        <v>0</v>
      </c>
      <c r="L3335" t="n">
        <v>0</v>
      </c>
      <c r="M3335" t="n">
        <v>0</v>
      </c>
      <c r="N3335" t="n">
        <v>0</v>
      </c>
      <c r="O3335" t="n">
        <v>0</v>
      </c>
      <c r="P3335" t="n">
        <v>0</v>
      </c>
      <c r="Q3335" t="n">
        <v>0</v>
      </c>
      <c r="R3335" s="2" t="inlineStr"/>
    </row>
    <row r="3336" ht="15" customHeight="1">
      <c r="A3336" t="inlineStr">
        <is>
          <t>A 41425-2023</t>
        </is>
      </c>
      <c r="B3336" s="1" t="n">
        <v>45175</v>
      </c>
      <c r="C3336" s="1" t="n">
        <v>45358</v>
      </c>
      <c r="D3336" t="inlineStr">
        <is>
          <t>HALLANDS LÄN</t>
        </is>
      </c>
      <c r="E3336" t="inlineStr">
        <is>
          <t>FALKENBERG</t>
        </is>
      </c>
      <c r="G3336" t="n">
        <v>0.6</v>
      </c>
      <c r="H3336" t="n">
        <v>0</v>
      </c>
      <c r="I3336" t="n">
        <v>0</v>
      </c>
      <c r="J3336" t="n">
        <v>0</v>
      </c>
      <c r="K3336" t="n">
        <v>0</v>
      </c>
      <c r="L3336" t="n">
        <v>0</v>
      </c>
      <c r="M3336" t="n">
        <v>0</v>
      </c>
      <c r="N3336" t="n">
        <v>0</v>
      </c>
      <c r="O3336" t="n">
        <v>0</v>
      </c>
      <c r="P3336" t="n">
        <v>0</v>
      </c>
      <c r="Q3336" t="n">
        <v>0</v>
      </c>
      <c r="R3336" s="2" t="inlineStr"/>
    </row>
    <row r="3337" ht="15" customHeight="1">
      <c r="A3337" t="inlineStr">
        <is>
          <t>A 41493-2023</t>
        </is>
      </c>
      <c r="B3337" s="1" t="n">
        <v>45175</v>
      </c>
      <c r="C3337" s="1" t="n">
        <v>45358</v>
      </c>
      <c r="D3337" t="inlineStr">
        <is>
          <t>HALLANDS LÄN</t>
        </is>
      </c>
      <c r="E3337" t="inlineStr">
        <is>
          <t>FALKENBERG</t>
        </is>
      </c>
      <c r="G3337" t="n">
        <v>2.9</v>
      </c>
      <c r="H3337" t="n">
        <v>0</v>
      </c>
      <c r="I3337" t="n">
        <v>0</v>
      </c>
      <c r="J3337" t="n">
        <v>0</v>
      </c>
      <c r="K3337" t="n">
        <v>0</v>
      </c>
      <c r="L3337" t="n">
        <v>0</v>
      </c>
      <c r="M3337" t="n">
        <v>0</v>
      </c>
      <c r="N3337" t="n">
        <v>0</v>
      </c>
      <c r="O3337" t="n">
        <v>0</v>
      </c>
      <c r="P3337" t="n">
        <v>0</v>
      </c>
      <c r="Q3337" t="n">
        <v>0</v>
      </c>
      <c r="R3337" s="2" t="inlineStr"/>
    </row>
    <row r="3338" ht="15" customHeight="1">
      <c r="A3338" t="inlineStr">
        <is>
          <t>A 41667-2023</t>
        </is>
      </c>
      <c r="B3338" s="1" t="n">
        <v>45176</v>
      </c>
      <c r="C3338" s="1" t="n">
        <v>45358</v>
      </c>
      <c r="D3338" t="inlineStr">
        <is>
          <t>HALLANDS LÄN</t>
        </is>
      </c>
      <c r="E3338" t="inlineStr">
        <is>
          <t>LAHOLM</t>
        </is>
      </c>
      <c r="G3338" t="n">
        <v>1.9</v>
      </c>
      <c r="H3338" t="n">
        <v>0</v>
      </c>
      <c r="I3338" t="n">
        <v>0</v>
      </c>
      <c r="J3338" t="n">
        <v>0</v>
      </c>
      <c r="K3338" t="n">
        <v>0</v>
      </c>
      <c r="L3338" t="n">
        <v>0</v>
      </c>
      <c r="M3338" t="n">
        <v>0</v>
      </c>
      <c r="N3338" t="n">
        <v>0</v>
      </c>
      <c r="O3338" t="n">
        <v>0</v>
      </c>
      <c r="P3338" t="n">
        <v>0</v>
      </c>
      <c r="Q3338" t="n">
        <v>0</v>
      </c>
      <c r="R3338" s="2" t="inlineStr"/>
    </row>
    <row r="3339" ht="15" customHeight="1">
      <c r="A3339" t="inlineStr">
        <is>
          <t>A 41800-2023</t>
        </is>
      </c>
      <c r="B3339" s="1" t="n">
        <v>45176</v>
      </c>
      <c r="C3339" s="1" t="n">
        <v>45358</v>
      </c>
      <c r="D3339" t="inlineStr">
        <is>
          <t>HALLANDS LÄN</t>
        </is>
      </c>
      <c r="E3339" t="inlineStr">
        <is>
          <t>LAHOLM</t>
        </is>
      </c>
      <c r="G3339" t="n">
        <v>0.7</v>
      </c>
      <c r="H3339" t="n">
        <v>0</v>
      </c>
      <c r="I3339" t="n">
        <v>0</v>
      </c>
      <c r="J3339" t="n">
        <v>0</v>
      </c>
      <c r="K3339" t="n">
        <v>0</v>
      </c>
      <c r="L3339" t="n">
        <v>0</v>
      </c>
      <c r="M3339" t="n">
        <v>0</v>
      </c>
      <c r="N3339" t="n">
        <v>0</v>
      </c>
      <c r="O3339" t="n">
        <v>0</v>
      </c>
      <c r="P3339" t="n">
        <v>0</v>
      </c>
      <c r="Q3339" t="n">
        <v>0</v>
      </c>
      <c r="R3339" s="2" t="inlineStr"/>
    </row>
    <row r="3340" ht="15" customHeight="1">
      <c r="A3340" t="inlineStr">
        <is>
          <t>A 41835-2023</t>
        </is>
      </c>
      <c r="B3340" s="1" t="n">
        <v>45176</v>
      </c>
      <c r="C3340" s="1" t="n">
        <v>45358</v>
      </c>
      <c r="D3340" t="inlineStr">
        <is>
          <t>HALLANDS LÄN</t>
        </is>
      </c>
      <c r="E3340" t="inlineStr">
        <is>
          <t>FALKENBERG</t>
        </is>
      </c>
      <c r="G3340" t="n">
        <v>8.9</v>
      </c>
      <c r="H3340" t="n">
        <v>0</v>
      </c>
      <c r="I3340" t="n">
        <v>0</v>
      </c>
      <c r="J3340" t="n">
        <v>0</v>
      </c>
      <c r="K3340" t="n">
        <v>0</v>
      </c>
      <c r="L3340" t="n">
        <v>0</v>
      </c>
      <c r="M3340" t="n">
        <v>0</v>
      </c>
      <c r="N3340" t="n">
        <v>0</v>
      </c>
      <c r="O3340" t="n">
        <v>0</v>
      </c>
      <c r="P3340" t="n">
        <v>0</v>
      </c>
      <c r="Q3340" t="n">
        <v>0</v>
      </c>
      <c r="R3340" s="2" t="inlineStr"/>
    </row>
    <row r="3341" ht="15" customHeight="1">
      <c r="A3341" t="inlineStr">
        <is>
          <t>A 42582-2023</t>
        </is>
      </c>
      <c r="B3341" s="1" t="n">
        <v>45176</v>
      </c>
      <c r="C3341" s="1" t="n">
        <v>45358</v>
      </c>
      <c r="D3341" t="inlineStr">
        <is>
          <t>HALLANDS LÄN</t>
        </is>
      </c>
      <c r="E3341" t="inlineStr">
        <is>
          <t>HYLTE</t>
        </is>
      </c>
      <c r="G3341" t="n">
        <v>4.7</v>
      </c>
      <c r="H3341" t="n">
        <v>0</v>
      </c>
      <c r="I3341" t="n">
        <v>0</v>
      </c>
      <c r="J3341" t="n">
        <v>0</v>
      </c>
      <c r="K3341" t="n">
        <v>0</v>
      </c>
      <c r="L3341" t="n">
        <v>0</v>
      </c>
      <c r="M3341" t="n">
        <v>0</v>
      </c>
      <c r="N3341" t="n">
        <v>0</v>
      </c>
      <c r="O3341" t="n">
        <v>0</v>
      </c>
      <c r="P3341" t="n">
        <v>0</v>
      </c>
      <c r="Q3341" t="n">
        <v>0</v>
      </c>
      <c r="R3341" s="2" t="inlineStr"/>
    </row>
    <row r="3342" ht="15" customHeight="1">
      <c r="A3342" t="inlineStr">
        <is>
          <t>A 42657-2023</t>
        </is>
      </c>
      <c r="B3342" s="1" t="n">
        <v>45176</v>
      </c>
      <c r="C3342" s="1" t="n">
        <v>45358</v>
      </c>
      <c r="D3342" t="inlineStr">
        <is>
          <t>HALLANDS LÄN</t>
        </is>
      </c>
      <c r="E3342" t="inlineStr">
        <is>
          <t>HYLTE</t>
        </is>
      </c>
      <c r="F3342" t="inlineStr">
        <is>
          <t>Kyrkan</t>
        </is>
      </c>
      <c r="G3342" t="n">
        <v>1.5</v>
      </c>
      <c r="H3342" t="n">
        <v>0</v>
      </c>
      <c r="I3342" t="n">
        <v>0</v>
      </c>
      <c r="J3342" t="n">
        <v>0</v>
      </c>
      <c r="K3342" t="n">
        <v>0</v>
      </c>
      <c r="L3342" t="n">
        <v>0</v>
      </c>
      <c r="M3342" t="n">
        <v>0</v>
      </c>
      <c r="N3342" t="n">
        <v>0</v>
      </c>
      <c r="O3342" t="n">
        <v>0</v>
      </c>
      <c r="P3342" t="n">
        <v>0</v>
      </c>
      <c r="Q3342" t="n">
        <v>0</v>
      </c>
      <c r="R3342" s="2" t="inlineStr"/>
    </row>
    <row r="3343" ht="15" customHeight="1">
      <c r="A3343" t="inlineStr">
        <is>
          <t>A 42659-2023</t>
        </is>
      </c>
      <c r="B3343" s="1" t="n">
        <v>45176</v>
      </c>
      <c r="C3343" s="1" t="n">
        <v>45358</v>
      </c>
      <c r="D3343" t="inlineStr">
        <is>
          <t>HALLANDS LÄN</t>
        </is>
      </c>
      <c r="E3343" t="inlineStr">
        <is>
          <t>HYLTE</t>
        </is>
      </c>
      <c r="F3343" t="inlineStr">
        <is>
          <t>Kyrkan</t>
        </is>
      </c>
      <c r="G3343" t="n">
        <v>1.2</v>
      </c>
      <c r="H3343" t="n">
        <v>0</v>
      </c>
      <c r="I3343" t="n">
        <v>0</v>
      </c>
      <c r="J3343" t="n">
        <v>0</v>
      </c>
      <c r="K3343" t="n">
        <v>0</v>
      </c>
      <c r="L3343" t="n">
        <v>0</v>
      </c>
      <c r="M3343" t="n">
        <v>0</v>
      </c>
      <c r="N3343" t="n">
        <v>0</v>
      </c>
      <c r="O3343" t="n">
        <v>0</v>
      </c>
      <c r="P3343" t="n">
        <v>0</v>
      </c>
      <c r="Q3343" t="n">
        <v>0</v>
      </c>
      <c r="R3343" s="2" t="inlineStr"/>
    </row>
    <row r="3344" ht="15" customHeight="1">
      <c r="A3344" t="inlineStr">
        <is>
          <t>A 41961-2023</t>
        </is>
      </c>
      <c r="B3344" s="1" t="n">
        <v>45177</v>
      </c>
      <c r="C3344" s="1" t="n">
        <v>45358</v>
      </c>
      <c r="D3344" t="inlineStr">
        <is>
          <t>HALLANDS LÄN</t>
        </is>
      </c>
      <c r="E3344" t="inlineStr">
        <is>
          <t>VARBERG</t>
        </is>
      </c>
      <c r="G3344" t="n">
        <v>2.3</v>
      </c>
      <c r="H3344" t="n">
        <v>0</v>
      </c>
      <c r="I3344" t="n">
        <v>0</v>
      </c>
      <c r="J3344" t="n">
        <v>0</v>
      </c>
      <c r="K3344" t="n">
        <v>0</v>
      </c>
      <c r="L3344" t="n">
        <v>0</v>
      </c>
      <c r="M3344" t="n">
        <v>0</v>
      </c>
      <c r="N3344" t="n">
        <v>0</v>
      </c>
      <c r="O3344" t="n">
        <v>0</v>
      </c>
      <c r="P3344" t="n">
        <v>0</v>
      </c>
      <c r="Q3344" t="n">
        <v>0</v>
      </c>
      <c r="R3344" s="2" t="inlineStr"/>
    </row>
    <row r="3345" ht="15" customHeight="1">
      <c r="A3345" t="inlineStr">
        <is>
          <t>A 42189-2023</t>
        </is>
      </c>
      <c r="B3345" s="1" t="n">
        <v>45179</v>
      </c>
      <c r="C3345" s="1" t="n">
        <v>45358</v>
      </c>
      <c r="D3345" t="inlineStr">
        <is>
          <t>HALLANDS LÄN</t>
        </is>
      </c>
      <c r="E3345" t="inlineStr">
        <is>
          <t>LAHOLM</t>
        </is>
      </c>
      <c r="G3345" t="n">
        <v>3.2</v>
      </c>
      <c r="H3345" t="n">
        <v>0</v>
      </c>
      <c r="I3345" t="n">
        <v>0</v>
      </c>
      <c r="J3345" t="n">
        <v>0</v>
      </c>
      <c r="K3345" t="n">
        <v>0</v>
      </c>
      <c r="L3345" t="n">
        <v>0</v>
      </c>
      <c r="M3345" t="n">
        <v>0</v>
      </c>
      <c r="N3345" t="n">
        <v>0</v>
      </c>
      <c r="O3345" t="n">
        <v>0</v>
      </c>
      <c r="P3345" t="n">
        <v>0</v>
      </c>
      <c r="Q3345" t="n">
        <v>0</v>
      </c>
      <c r="R3345" s="2" t="inlineStr"/>
    </row>
    <row r="3346" ht="15" customHeight="1">
      <c r="A3346" t="inlineStr">
        <is>
          <t>A 42269-2023</t>
        </is>
      </c>
      <c r="B3346" s="1" t="n">
        <v>45180</v>
      </c>
      <c r="C3346" s="1" t="n">
        <v>45358</v>
      </c>
      <c r="D3346" t="inlineStr">
        <is>
          <t>HALLANDS LÄN</t>
        </is>
      </c>
      <c r="E3346" t="inlineStr">
        <is>
          <t>HALMSTAD</t>
        </is>
      </c>
      <c r="G3346" t="n">
        <v>3.2</v>
      </c>
      <c r="H3346" t="n">
        <v>0</v>
      </c>
      <c r="I3346" t="n">
        <v>0</v>
      </c>
      <c r="J3346" t="n">
        <v>0</v>
      </c>
      <c r="K3346" t="n">
        <v>0</v>
      </c>
      <c r="L3346" t="n">
        <v>0</v>
      </c>
      <c r="M3346" t="n">
        <v>0</v>
      </c>
      <c r="N3346" t="n">
        <v>0</v>
      </c>
      <c r="O3346" t="n">
        <v>0</v>
      </c>
      <c r="P3346" t="n">
        <v>0</v>
      </c>
      <c r="Q3346" t="n">
        <v>0</v>
      </c>
      <c r="R3346" s="2" t="inlineStr"/>
    </row>
    <row r="3347" ht="15" customHeight="1">
      <c r="A3347" t="inlineStr">
        <is>
          <t>A 42455-2023</t>
        </is>
      </c>
      <c r="B3347" s="1" t="n">
        <v>45180</v>
      </c>
      <c r="C3347" s="1" t="n">
        <v>45358</v>
      </c>
      <c r="D3347" t="inlineStr">
        <is>
          <t>HALLANDS LÄN</t>
        </is>
      </c>
      <c r="E3347" t="inlineStr">
        <is>
          <t>LAHOLM</t>
        </is>
      </c>
      <c r="F3347" t="inlineStr">
        <is>
          <t>Sveaskog</t>
        </is>
      </c>
      <c r="G3347" t="n">
        <v>3.6</v>
      </c>
      <c r="H3347" t="n">
        <v>0</v>
      </c>
      <c r="I3347" t="n">
        <v>0</v>
      </c>
      <c r="J3347" t="n">
        <v>0</v>
      </c>
      <c r="K3347" t="n">
        <v>0</v>
      </c>
      <c r="L3347" t="n">
        <v>0</v>
      </c>
      <c r="M3347" t="n">
        <v>0</v>
      </c>
      <c r="N3347" t="n">
        <v>0</v>
      </c>
      <c r="O3347" t="n">
        <v>0</v>
      </c>
      <c r="P3347" t="n">
        <v>0</v>
      </c>
      <c r="Q3347" t="n">
        <v>0</v>
      </c>
      <c r="R3347" s="2" t="inlineStr"/>
    </row>
    <row r="3348" ht="15" customHeight="1">
      <c r="A3348" t="inlineStr">
        <is>
          <t>A 42524-2023</t>
        </is>
      </c>
      <c r="B3348" s="1" t="n">
        <v>45181</v>
      </c>
      <c r="C3348" s="1" t="n">
        <v>45358</v>
      </c>
      <c r="D3348" t="inlineStr">
        <is>
          <t>HALLANDS LÄN</t>
        </is>
      </c>
      <c r="E3348" t="inlineStr">
        <is>
          <t>FALKENBERG</t>
        </is>
      </c>
      <c r="G3348" t="n">
        <v>1.1</v>
      </c>
      <c r="H3348" t="n">
        <v>0</v>
      </c>
      <c r="I3348" t="n">
        <v>0</v>
      </c>
      <c r="J3348" t="n">
        <v>0</v>
      </c>
      <c r="K3348" t="n">
        <v>0</v>
      </c>
      <c r="L3348" t="n">
        <v>0</v>
      </c>
      <c r="M3348" t="n">
        <v>0</v>
      </c>
      <c r="N3348" t="n">
        <v>0</v>
      </c>
      <c r="O3348" t="n">
        <v>0</v>
      </c>
      <c r="P3348" t="n">
        <v>0</v>
      </c>
      <c r="Q3348" t="n">
        <v>0</v>
      </c>
      <c r="R3348" s="2" t="inlineStr"/>
    </row>
    <row r="3349" ht="15" customHeight="1">
      <c r="A3349" t="inlineStr">
        <is>
          <t>A 42605-2023</t>
        </is>
      </c>
      <c r="B3349" s="1" t="n">
        <v>45181</v>
      </c>
      <c r="C3349" s="1" t="n">
        <v>45358</v>
      </c>
      <c r="D3349" t="inlineStr">
        <is>
          <t>HALLANDS LÄN</t>
        </is>
      </c>
      <c r="E3349" t="inlineStr">
        <is>
          <t>LAHOLM</t>
        </is>
      </c>
      <c r="G3349" t="n">
        <v>0.7</v>
      </c>
      <c r="H3349" t="n">
        <v>0</v>
      </c>
      <c r="I3349" t="n">
        <v>0</v>
      </c>
      <c r="J3349" t="n">
        <v>0</v>
      </c>
      <c r="K3349" t="n">
        <v>0</v>
      </c>
      <c r="L3349" t="n">
        <v>0</v>
      </c>
      <c r="M3349" t="n">
        <v>0</v>
      </c>
      <c r="N3349" t="n">
        <v>0</v>
      </c>
      <c r="O3349" t="n">
        <v>0</v>
      </c>
      <c r="P3349" t="n">
        <v>0</v>
      </c>
      <c r="Q3349" t="n">
        <v>0</v>
      </c>
      <c r="R3349" s="2" t="inlineStr"/>
    </row>
    <row r="3350" ht="15" customHeight="1">
      <c r="A3350" t="inlineStr">
        <is>
          <t>A 42723-2023</t>
        </is>
      </c>
      <c r="B3350" s="1" t="n">
        <v>45181</v>
      </c>
      <c r="C3350" s="1" t="n">
        <v>45358</v>
      </c>
      <c r="D3350" t="inlineStr">
        <is>
          <t>HALLANDS LÄN</t>
        </is>
      </c>
      <c r="E3350" t="inlineStr">
        <is>
          <t>VARBERG</t>
        </is>
      </c>
      <c r="G3350" t="n">
        <v>1</v>
      </c>
      <c r="H3350" t="n">
        <v>0</v>
      </c>
      <c r="I3350" t="n">
        <v>0</v>
      </c>
      <c r="J3350" t="n">
        <v>0</v>
      </c>
      <c r="K3350" t="n">
        <v>0</v>
      </c>
      <c r="L3350" t="n">
        <v>0</v>
      </c>
      <c r="M3350" t="n">
        <v>0</v>
      </c>
      <c r="N3350" t="n">
        <v>0</v>
      </c>
      <c r="O3350" t="n">
        <v>0</v>
      </c>
      <c r="P3350" t="n">
        <v>0</v>
      </c>
      <c r="Q3350" t="n">
        <v>0</v>
      </c>
      <c r="R3350" s="2" t="inlineStr"/>
    </row>
    <row r="3351" ht="15" customHeight="1">
      <c r="A3351" t="inlineStr">
        <is>
          <t>A 42653-2023</t>
        </is>
      </c>
      <c r="B3351" s="1" t="n">
        <v>45181</v>
      </c>
      <c r="C3351" s="1" t="n">
        <v>45358</v>
      </c>
      <c r="D3351" t="inlineStr">
        <is>
          <t>HALLANDS LÄN</t>
        </is>
      </c>
      <c r="E3351" t="inlineStr">
        <is>
          <t>HYLTE</t>
        </is>
      </c>
      <c r="G3351" t="n">
        <v>0.5</v>
      </c>
      <c r="H3351" t="n">
        <v>0</v>
      </c>
      <c r="I3351" t="n">
        <v>0</v>
      </c>
      <c r="J3351" t="n">
        <v>0</v>
      </c>
      <c r="K3351" t="n">
        <v>0</v>
      </c>
      <c r="L3351" t="n">
        <v>0</v>
      </c>
      <c r="M3351" t="n">
        <v>0</v>
      </c>
      <c r="N3351" t="n">
        <v>0</v>
      </c>
      <c r="O3351" t="n">
        <v>0</v>
      </c>
      <c r="P3351" t="n">
        <v>0</v>
      </c>
      <c r="Q3351" t="n">
        <v>0</v>
      </c>
      <c r="R3351" s="2" t="inlineStr"/>
    </row>
    <row r="3352" ht="15" customHeight="1">
      <c r="A3352" t="inlineStr">
        <is>
          <t>A 42570-2023</t>
        </is>
      </c>
      <c r="B3352" s="1" t="n">
        <v>45181</v>
      </c>
      <c r="C3352" s="1" t="n">
        <v>45358</v>
      </c>
      <c r="D3352" t="inlineStr">
        <is>
          <t>HALLANDS LÄN</t>
        </is>
      </c>
      <c r="E3352" t="inlineStr">
        <is>
          <t>FALKENBERG</t>
        </is>
      </c>
      <c r="G3352" t="n">
        <v>1.9</v>
      </c>
      <c r="H3352" t="n">
        <v>0</v>
      </c>
      <c r="I3352" t="n">
        <v>0</v>
      </c>
      <c r="J3352" t="n">
        <v>0</v>
      </c>
      <c r="K3352" t="n">
        <v>0</v>
      </c>
      <c r="L3352" t="n">
        <v>0</v>
      </c>
      <c r="M3352" t="n">
        <v>0</v>
      </c>
      <c r="N3352" t="n">
        <v>0</v>
      </c>
      <c r="O3352" t="n">
        <v>0</v>
      </c>
      <c r="P3352" t="n">
        <v>0</v>
      </c>
      <c r="Q3352" t="n">
        <v>0</v>
      </c>
      <c r="R3352" s="2" t="inlineStr"/>
    </row>
    <row r="3353" ht="15" customHeight="1">
      <c r="A3353" t="inlineStr">
        <is>
          <t>A 42606-2023</t>
        </is>
      </c>
      <c r="B3353" s="1" t="n">
        <v>45181</v>
      </c>
      <c r="C3353" s="1" t="n">
        <v>45358</v>
      </c>
      <c r="D3353" t="inlineStr">
        <is>
          <t>HALLANDS LÄN</t>
        </is>
      </c>
      <c r="E3353" t="inlineStr">
        <is>
          <t>FALKENBERG</t>
        </is>
      </c>
      <c r="G3353" t="n">
        <v>4.1</v>
      </c>
      <c r="H3353" t="n">
        <v>0</v>
      </c>
      <c r="I3353" t="n">
        <v>0</v>
      </c>
      <c r="J3353" t="n">
        <v>0</v>
      </c>
      <c r="K3353" t="n">
        <v>0</v>
      </c>
      <c r="L3353" t="n">
        <v>0</v>
      </c>
      <c r="M3353" t="n">
        <v>0</v>
      </c>
      <c r="N3353" t="n">
        <v>0</v>
      </c>
      <c r="O3353" t="n">
        <v>0</v>
      </c>
      <c r="P3353" t="n">
        <v>0</v>
      </c>
      <c r="Q3353" t="n">
        <v>0</v>
      </c>
      <c r="R3353" s="2" t="inlineStr"/>
    </row>
    <row r="3354" ht="15" customHeight="1">
      <c r="A3354" t="inlineStr">
        <is>
          <t>A 42665-2023</t>
        </is>
      </c>
      <c r="B3354" s="1" t="n">
        <v>45181</v>
      </c>
      <c r="C3354" s="1" t="n">
        <v>45358</v>
      </c>
      <c r="D3354" t="inlineStr">
        <is>
          <t>HALLANDS LÄN</t>
        </is>
      </c>
      <c r="E3354" t="inlineStr">
        <is>
          <t>FALKENBERG</t>
        </is>
      </c>
      <c r="G3354" t="n">
        <v>4.9</v>
      </c>
      <c r="H3354" t="n">
        <v>0</v>
      </c>
      <c r="I3354" t="n">
        <v>0</v>
      </c>
      <c r="J3354" t="n">
        <v>0</v>
      </c>
      <c r="K3354" t="n">
        <v>0</v>
      </c>
      <c r="L3354" t="n">
        <v>0</v>
      </c>
      <c r="M3354" t="n">
        <v>0</v>
      </c>
      <c r="N3354" t="n">
        <v>0</v>
      </c>
      <c r="O3354" t="n">
        <v>0</v>
      </c>
      <c r="P3354" t="n">
        <v>0</v>
      </c>
      <c r="Q3354" t="n">
        <v>0</v>
      </c>
      <c r="R3354" s="2" t="inlineStr"/>
    </row>
    <row r="3355" ht="15" customHeight="1">
      <c r="A3355" t="inlineStr">
        <is>
          <t>A 42869-2023</t>
        </is>
      </c>
      <c r="B3355" s="1" t="n">
        <v>45182</v>
      </c>
      <c r="C3355" s="1" t="n">
        <v>45358</v>
      </c>
      <c r="D3355" t="inlineStr">
        <is>
          <t>HALLANDS LÄN</t>
        </is>
      </c>
      <c r="E3355" t="inlineStr">
        <is>
          <t>HYLTE</t>
        </is>
      </c>
      <c r="G3355" t="n">
        <v>0.7</v>
      </c>
      <c r="H3355" t="n">
        <v>0</v>
      </c>
      <c r="I3355" t="n">
        <v>0</v>
      </c>
      <c r="J3355" t="n">
        <v>0</v>
      </c>
      <c r="K3355" t="n">
        <v>0</v>
      </c>
      <c r="L3355" t="n">
        <v>0</v>
      </c>
      <c r="M3355" t="n">
        <v>0</v>
      </c>
      <c r="N3355" t="n">
        <v>0</v>
      </c>
      <c r="O3355" t="n">
        <v>0</v>
      </c>
      <c r="P3355" t="n">
        <v>0</v>
      </c>
      <c r="Q3355" t="n">
        <v>0</v>
      </c>
      <c r="R3355" s="2" t="inlineStr"/>
    </row>
    <row r="3356" ht="15" customHeight="1">
      <c r="A3356" t="inlineStr">
        <is>
          <t>A 43046-2023</t>
        </is>
      </c>
      <c r="B3356" s="1" t="n">
        <v>45182</v>
      </c>
      <c r="C3356" s="1" t="n">
        <v>45358</v>
      </c>
      <c r="D3356" t="inlineStr">
        <is>
          <t>HALLANDS LÄN</t>
        </is>
      </c>
      <c r="E3356" t="inlineStr">
        <is>
          <t>FALKENBERG</t>
        </is>
      </c>
      <c r="G3356" t="n">
        <v>0</v>
      </c>
      <c r="H3356" t="n">
        <v>0</v>
      </c>
      <c r="I3356" t="n">
        <v>0</v>
      </c>
      <c r="J3356" t="n">
        <v>0</v>
      </c>
      <c r="K3356" t="n">
        <v>0</v>
      </c>
      <c r="L3356" t="n">
        <v>0</v>
      </c>
      <c r="M3356" t="n">
        <v>0</v>
      </c>
      <c r="N3356" t="n">
        <v>0</v>
      </c>
      <c r="O3356" t="n">
        <v>0</v>
      </c>
      <c r="P3356" t="n">
        <v>0</v>
      </c>
      <c r="Q3356" t="n">
        <v>0</v>
      </c>
      <c r="R3356" s="2" t="inlineStr"/>
    </row>
    <row r="3357" ht="15" customHeight="1">
      <c r="A3357" t="inlineStr">
        <is>
          <t>A 42993-2023</t>
        </is>
      </c>
      <c r="B3357" s="1" t="n">
        <v>45182</v>
      </c>
      <c r="C3357" s="1" t="n">
        <v>45358</v>
      </c>
      <c r="D3357" t="inlineStr">
        <is>
          <t>HALLANDS LÄN</t>
        </is>
      </c>
      <c r="E3357" t="inlineStr">
        <is>
          <t>LAHOLM</t>
        </is>
      </c>
      <c r="G3357" t="n">
        <v>0.6</v>
      </c>
      <c r="H3357" t="n">
        <v>0</v>
      </c>
      <c r="I3357" t="n">
        <v>0</v>
      </c>
      <c r="J3357" t="n">
        <v>0</v>
      </c>
      <c r="K3357" t="n">
        <v>0</v>
      </c>
      <c r="L3357" t="n">
        <v>0</v>
      </c>
      <c r="M3357" t="n">
        <v>0</v>
      </c>
      <c r="N3357" t="n">
        <v>0</v>
      </c>
      <c r="O3357" t="n">
        <v>0</v>
      </c>
      <c r="P3357" t="n">
        <v>0</v>
      </c>
      <c r="Q3357" t="n">
        <v>0</v>
      </c>
      <c r="R3357" s="2" t="inlineStr"/>
    </row>
    <row r="3358" ht="15" customHeight="1">
      <c r="A3358" t="inlineStr">
        <is>
          <t>A 42915-2023</t>
        </is>
      </c>
      <c r="B3358" s="1" t="n">
        <v>45182</v>
      </c>
      <c r="C3358" s="1" t="n">
        <v>45358</v>
      </c>
      <c r="D3358" t="inlineStr">
        <is>
          <t>HALLANDS LÄN</t>
        </is>
      </c>
      <c r="E3358" t="inlineStr">
        <is>
          <t>FALKENBERG</t>
        </is>
      </c>
      <c r="G3358" t="n">
        <v>0.6</v>
      </c>
      <c r="H3358" t="n">
        <v>0</v>
      </c>
      <c r="I3358" t="n">
        <v>0</v>
      </c>
      <c r="J3358" t="n">
        <v>0</v>
      </c>
      <c r="K3358" t="n">
        <v>0</v>
      </c>
      <c r="L3358" t="n">
        <v>0</v>
      </c>
      <c r="M3358" t="n">
        <v>0</v>
      </c>
      <c r="N3358" t="n">
        <v>0</v>
      </c>
      <c r="O3358" t="n">
        <v>0</v>
      </c>
      <c r="P3358" t="n">
        <v>0</v>
      </c>
      <c r="Q3358" t="n">
        <v>0</v>
      </c>
      <c r="R3358" s="2" t="inlineStr"/>
    </row>
    <row r="3359" ht="15" customHeight="1">
      <c r="A3359" t="inlineStr">
        <is>
          <t>A 42868-2023</t>
        </is>
      </c>
      <c r="B3359" s="1" t="n">
        <v>45182</v>
      </c>
      <c r="C3359" s="1" t="n">
        <v>45358</v>
      </c>
      <c r="D3359" t="inlineStr">
        <is>
          <t>HALLANDS LÄN</t>
        </is>
      </c>
      <c r="E3359" t="inlineStr">
        <is>
          <t>HYLTE</t>
        </is>
      </c>
      <c r="G3359" t="n">
        <v>0.8</v>
      </c>
      <c r="H3359" t="n">
        <v>0</v>
      </c>
      <c r="I3359" t="n">
        <v>0</v>
      </c>
      <c r="J3359" t="n">
        <v>0</v>
      </c>
      <c r="K3359" t="n">
        <v>0</v>
      </c>
      <c r="L3359" t="n">
        <v>0</v>
      </c>
      <c r="M3359" t="n">
        <v>0</v>
      </c>
      <c r="N3359" t="n">
        <v>0</v>
      </c>
      <c r="O3359" t="n">
        <v>0</v>
      </c>
      <c r="P3359" t="n">
        <v>0</v>
      </c>
      <c r="Q3359" t="n">
        <v>0</v>
      </c>
      <c r="R3359" s="2" t="inlineStr"/>
    </row>
    <row r="3360" ht="15" customHeight="1">
      <c r="A3360" t="inlineStr">
        <is>
          <t>A 42815-2023</t>
        </is>
      </c>
      <c r="B3360" s="1" t="n">
        <v>45182</v>
      </c>
      <c r="C3360" s="1" t="n">
        <v>45358</v>
      </c>
      <c r="D3360" t="inlineStr">
        <is>
          <t>HALLANDS LÄN</t>
        </is>
      </c>
      <c r="E3360" t="inlineStr">
        <is>
          <t>HYLTE</t>
        </is>
      </c>
      <c r="G3360" t="n">
        <v>1.8</v>
      </c>
      <c r="H3360" t="n">
        <v>0</v>
      </c>
      <c r="I3360" t="n">
        <v>0</v>
      </c>
      <c r="J3360" t="n">
        <v>0</v>
      </c>
      <c r="K3360" t="n">
        <v>0</v>
      </c>
      <c r="L3360" t="n">
        <v>0</v>
      </c>
      <c r="M3360" t="n">
        <v>0</v>
      </c>
      <c r="N3360" t="n">
        <v>0</v>
      </c>
      <c r="O3360" t="n">
        <v>0</v>
      </c>
      <c r="P3360" t="n">
        <v>0</v>
      </c>
      <c r="Q3360" t="n">
        <v>0</v>
      </c>
      <c r="R3360" s="2" t="inlineStr"/>
    </row>
    <row r="3361" ht="15" customHeight="1">
      <c r="A3361" t="inlineStr">
        <is>
          <t>A 43037-2023</t>
        </is>
      </c>
      <c r="B3361" s="1" t="n">
        <v>45182</v>
      </c>
      <c r="C3361" s="1" t="n">
        <v>45358</v>
      </c>
      <c r="D3361" t="inlineStr">
        <is>
          <t>HALLANDS LÄN</t>
        </is>
      </c>
      <c r="E3361" t="inlineStr">
        <is>
          <t>VARBERG</t>
        </is>
      </c>
      <c r="G3361" t="n">
        <v>3.2</v>
      </c>
      <c r="H3361" t="n">
        <v>0</v>
      </c>
      <c r="I3361" t="n">
        <v>0</v>
      </c>
      <c r="J3361" t="n">
        <v>0</v>
      </c>
      <c r="K3361" t="n">
        <v>0</v>
      </c>
      <c r="L3361" t="n">
        <v>0</v>
      </c>
      <c r="M3361" t="n">
        <v>0</v>
      </c>
      <c r="N3361" t="n">
        <v>0</v>
      </c>
      <c r="O3361" t="n">
        <v>0</v>
      </c>
      <c r="P3361" t="n">
        <v>0</v>
      </c>
      <c r="Q3361" t="n">
        <v>0</v>
      </c>
      <c r="R3361" s="2" t="inlineStr"/>
    </row>
    <row r="3362" ht="15" customHeight="1">
      <c r="A3362" t="inlineStr">
        <is>
          <t>A 43045-2023</t>
        </is>
      </c>
      <c r="B3362" s="1" t="n">
        <v>45182</v>
      </c>
      <c r="C3362" s="1" t="n">
        <v>45358</v>
      </c>
      <c r="D3362" t="inlineStr">
        <is>
          <t>HALLANDS LÄN</t>
        </is>
      </c>
      <c r="E3362" t="inlineStr">
        <is>
          <t>FALKENBERG</t>
        </is>
      </c>
      <c r="G3362" t="n">
        <v>0</v>
      </c>
      <c r="H3362" t="n">
        <v>0</v>
      </c>
      <c r="I3362" t="n">
        <v>0</v>
      </c>
      <c r="J3362" t="n">
        <v>0</v>
      </c>
      <c r="K3362" t="n">
        <v>0</v>
      </c>
      <c r="L3362" t="n">
        <v>0</v>
      </c>
      <c r="M3362" t="n">
        <v>0</v>
      </c>
      <c r="N3362" t="n">
        <v>0</v>
      </c>
      <c r="O3362" t="n">
        <v>0</v>
      </c>
      <c r="P3362" t="n">
        <v>0</v>
      </c>
      <c r="Q3362" t="n">
        <v>0</v>
      </c>
      <c r="R3362" s="2" t="inlineStr"/>
    </row>
    <row r="3363" ht="15" customHeight="1">
      <c r="A3363" t="inlineStr">
        <is>
          <t>A 43269-2023</t>
        </is>
      </c>
      <c r="B3363" s="1" t="n">
        <v>45183</v>
      </c>
      <c r="C3363" s="1" t="n">
        <v>45358</v>
      </c>
      <c r="D3363" t="inlineStr">
        <is>
          <t>HALLANDS LÄN</t>
        </is>
      </c>
      <c r="E3363" t="inlineStr">
        <is>
          <t>HALMSTAD</t>
        </is>
      </c>
      <c r="G3363" t="n">
        <v>0.6</v>
      </c>
      <c r="H3363" t="n">
        <v>0</v>
      </c>
      <c r="I3363" t="n">
        <v>0</v>
      </c>
      <c r="J3363" t="n">
        <v>0</v>
      </c>
      <c r="K3363" t="n">
        <v>0</v>
      </c>
      <c r="L3363" t="n">
        <v>0</v>
      </c>
      <c r="M3363" t="n">
        <v>0</v>
      </c>
      <c r="N3363" t="n">
        <v>0</v>
      </c>
      <c r="O3363" t="n">
        <v>0</v>
      </c>
      <c r="P3363" t="n">
        <v>0</v>
      </c>
      <c r="Q3363" t="n">
        <v>0</v>
      </c>
      <c r="R3363" s="2" t="inlineStr"/>
    </row>
    <row r="3364" ht="15" customHeight="1">
      <c r="A3364" t="inlineStr">
        <is>
          <t>A 43349-2023</t>
        </is>
      </c>
      <c r="B3364" s="1" t="n">
        <v>45183</v>
      </c>
      <c r="C3364" s="1" t="n">
        <v>45358</v>
      </c>
      <c r="D3364" t="inlineStr">
        <is>
          <t>HALLANDS LÄN</t>
        </is>
      </c>
      <c r="E3364" t="inlineStr">
        <is>
          <t>FALKENBERG</t>
        </is>
      </c>
      <c r="G3364" t="n">
        <v>8.9</v>
      </c>
      <c r="H3364" t="n">
        <v>0</v>
      </c>
      <c r="I3364" t="n">
        <v>0</v>
      </c>
      <c r="J3364" t="n">
        <v>0</v>
      </c>
      <c r="K3364" t="n">
        <v>0</v>
      </c>
      <c r="L3364" t="n">
        <v>0</v>
      </c>
      <c r="M3364" t="n">
        <v>0</v>
      </c>
      <c r="N3364" t="n">
        <v>0</v>
      </c>
      <c r="O3364" t="n">
        <v>0</v>
      </c>
      <c r="P3364" t="n">
        <v>0</v>
      </c>
      <c r="Q3364" t="n">
        <v>0</v>
      </c>
      <c r="R3364" s="2" t="inlineStr"/>
    </row>
    <row r="3365" ht="15" customHeight="1">
      <c r="A3365" t="inlineStr">
        <is>
          <t>A 43393-2023</t>
        </is>
      </c>
      <c r="B3365" s="1" t="n">
        <v>45183</v>
      </c>
      <c r="C3365" s="1" t="n">
        <v>45358</v>
      </c>
      <c r="D3365" t="inlineStr">
        <is>
          <t>HALLANDS LÄN</t>
        </is>
      </c>
      <c r="E3365" t="inlineStr">
        <is>
          <t>HALMSTAD</t>
        </is>
      </c>
      <c r="G3365" t="n">
        <v>1.1</v>
      </c>
      <c r="H3365" t="n">
        <v>0</v>
      </c>
      <c r="I3365" t="n">
        <v>0</v>
      </c>
      <c r="J3365" t="n">
        <v>0</v>
      </c>
      <c r="K3365" t="n">
        <v>0</v>
      </c>
      <c r="L3365" t="n">
        <v>0</v>
      </c>
      <c r="M3365" t="n">
        <v>0</v>
      </c>
      <c r="N3365" t="n">
        <v>0</v>
      </c>
      <c r="O3365" t="n">
        <v>0</v>
      </c>
      <c r="P3365" t="n">
        <v>0</v>
      </c>
      <c r="Q3365" t="n">
        <v>0</v>
      </c>
      <c r="R3365" s="2" t="inlineStr"/>
    </row>
    <row r="3366" ht="15" customHeight="1">
      <c r="A3366" t="inlineStr">
        <is>
          <t>A 43264-2023</t>
        </is>
      </c>
      <c r="B3366" s="1" t="n">
        <v>45183</v>
      </c>
      <c r="C3366" s="1" t="n">
        <v>45358</v>
      </c>
      <c r="D3366" t="inlineStr">
        <is>
          <t>HALLANDS LÄN</t>
        </is>
      </c>
      <c r="E3366" t="inlineStr">
        <is>
          <t>HALMSTAD</t>
        </is>
      </c>
      <c r="G3366" t="n">
        <v>2.3</v>
      </c>
      <c r="H3366" t="n">
        <v>0</v>
      </c>
      <c r="I3366" t="n">
        <v>0</v>
      </c>
      <c r="J3366" t="n">
        <v>0</v>
      </c>
      <c r="K3366" t="n">
        <v>0</v>
      </c>
      <c r="L3366" t="n">
        <v>0</v>
      </c>
      <c r="M3366" t="n">
        <v>0</v>
      </c>
      <c r="N3366" t="n">
        <v>0</v>
      </c>
      <c r="O3366" t="n">
        <v>0</v>
      </c>
      <c r="P3366" t="n">
        <v>0</v>
      </c>
      <c r="Q3366" t="n">
        <v>0</v>
      </c>
      <c r="R3366" s="2" t="inlineStr"/>
    </row>
    <row r="3367" ht="15" customHeight="1">
      <c r="A3367" t="inlineStr">
        <is>
          <t>A 43268-2023</t>
        </is>
      </c>
      <c r="B3367" s="1" t="n">
        <v>45183</v>
      </c>
      <c r="C3367" s="1" t="n">
        <v>45358</v>
      </c>
      <c r="D3367" t="inlineStr">
        <is>
          <t>HALLANDS LÄN</t>
        </is>
      </c>
      <c r="E3367" t="inlineStr">
        <is>
          <t>HALMSTAD</t>
        </is>
      </c>
      <c r="G3367" t="n">
        <v>4.6</v>
      </c>
      <c r="H3367" t="n">
        <v>0</v>
      </c>
      <c r="I3367" t="n">
        <v>0</v>
      </c>
      <c r="J3367" t="n">
        <v>0</v>
      </c>
      <c r="K3367" t="n">
        <v>0</v>
      </c>
      <c r="L3367" t="n">
        <v>0</v>
      </c>
      <c r="M3367" t="n">
        <v>0</v>
      </c>
      <c r="N3367" t="n">
        <v>0</v>
      </c>
      <c r="O3367" t="n">
        <v>0</v>
      </c>
      <c r="P3367" t="n">
        <v>0</v>
      </c>
      <c r="Q3367" t="n">
        <v>0</v>
      </c>
      <c r="R3367" s="2" t="inlineStr"/>
    </row>
    <row r="3368" ht="15" customHeight="1">
      <c r="A3368" t="inlineStr">
        <is>
          <t>A 43437-2023</t>
        </is>
      </c>
      <c r="B3368" s="1" t="n">
        <v>45184</v>
      </c>
      <c r="C3368" s="1" t="n">
        <v>45358</v>
      </c>
      <c r="D3368" t="inlineStr">
        <is>
          <t>HALLANDS LÄN</t>
        </is>
      </c>
      <c r="E3368" t="inlineStr">
        <is>
          <t>LAHOLM</t>
        </is>
      </c>
      <c r="G3368" t="n">
        <v>2.6</v>
      </c>
      <c r="H3368" t="n">
        <v>0</v>
      </c>
      <c r="I3368" t="n">
        <v>0</v>
      </c>
      <c r="J3368" t="n">
        <v>0</v>
      </c>
      <c r="K3368" t="n">
        <v>0</v>
      </c>
      <c r="L3368" t="n">
        <v>0</v>
      </c>
      <c r="M3368" t="n">
        <v>0</v>
      </c>
      <c r="N3368" t="n">
        <v>0</v>
      </c>
      <c r="O3368" t="n">
        <v>0</v>
      </c>
      <c r="P3368" t="n">
        <v>0</v>
      </c>
      <c r="Q3368" t="n">
        <v>0</v>
      </c>
      <c r="R3368" s="2" t="inlineStr"/>
    </row>
    <row r="3369" ht="15" customHeight="1">
      <c r="A3369" t="inlineStr">
        <is>
          <t>A 43610-2023</t>
        </is>
      </c>
      <c r="B3369" s="1" t="n">
        <v>45184</v>
      </c>
      <c r="C3369" s="1" t="n">
        <v>45358</v>
      </c>
      <c r="D3369" t="inlineStr">
        <is>
          <t>HALLANDS LÄN</t>
        </is>
      </c>
      <c r="E3369" t="inlineStr">
        <is>
          <t>FALKENBERG</t>
        </is>
      </c>
      <c r="G3369" t="n">
        <v>3.2</v>
      </c>
      <c r="H3369" t="n">
        <v>0</v>
      </c>
      <c r="I3369" t="n">
        <v>0</v>
      </c>
      <c r="J3369" t="n">
        <v>0</v>
      </c>
      <c r="K3369" t="n">
        <v>0</v>
      </c>
      <c r="L3369" t="n">
        <v>0</v>
      </c>
      <c r="M3369" t="n">
        <v>0</v>
      </c>
      <c r="N3369" t="n">
        <v>0</v>
      </c>
      <c r="O3369" t="n">
        <v>0</v>
      </c>
      <c r="P3369" t="n">
        <v>0</v>
      </c>
      <c r="Q3369" t="n">
        <v>0</v>
      </c>
      <c r="R3369" s="2" t="inlineStr"/>
    </row>
    <row r="3370" ht="15" customHeight="1">
      <c r="A3370" t="inlineStr">
        <is>
          <t>A 43576-2023</t>
        </is>
      </c>
      <c r="B3370" s="1" t="n">
        <v>45184</v>
      </c>
      <c r="C3370" s="1" t="n">
        <v>45358</v>
      </c>
      <c r="D3370" t="inlineStr">
        <is>
          <t>HALLANDS LÄN</t>
        </is>
      </c>
      <c r="E3370" t="inlineStr">
        <is>
          <t>FALKENBERG</t>
        </is>
      </c>
      <c r="G3370" t="n">
        <v>5.6</v>
      </c>
      <c r="H3370" t="n">
        <v>0</v>
      </c>
      <c r="I3370" t="n">
        <v>0</v>
      </c>
      <c r="J3370" t="n">
        <v>0</v>
      </c>
      <c r="K3370" t="n">
        <v>0</v>
      </c>
      <c r="L3370" t="n">
        <v>0</v>
      </c>
      <c r="M3370" t="n">
        <v>0</v>
      </c>
      <c r="N3370" t="n">
        <v>0</v>
      </c>
      <c r="O3370" t="n">
        <v>0</v>
      </c>
      <c r="P3370" t="n">
        <v>0</v>
      </c>
      <c r="Q3370" t="n">
        <v>0</v>
      </c>
      <c r="R3370" s="2" t="inlineStr"/>
    </row>
    <row r="3371" ht="15" customHeight="1">
      <c r="A3371" t="inlineStr">
        <is>
          <t>A 43581-2023</t>
        </is>
      </c>
      <c r="B3371" s="1" t="n">
        <v>45184</v>
      </c>
      <c r="C3371" s="1" t="n">
        <v>45358</v>
      </c>
      <c r="D3371" t="inlineStr">
        <is>
          <t>HALLANDS LÄN</t>
        </is>
      </c>
      <c r="E3371" t="inlineStr">
        <is>
          <t>FALKENBERG</t>
        </is>
      </c>
      <c r="G3371" t="n">
        <v>2.2</v>
      </c>
      <c r="H3371" t="n">
        <v>0</v>
      </c>
      <c r="I3371" t="n">
        <v>0</v>
      </c>
      <c r="J3371" t="n">
        <v>0</v>
      </c>
      <c r="K3371" t="n">
        <v>0</v>
      </c>
      <c r="L3371" t="n">
        <v>0</v>
      </c>
      <c r="M3371" t="n">
        <v>0</v>
      </c>
      <c r="N3371" t="n">
        <v>0</v>
      </c>
      <c r="O3371" t="n">
        <v>0</v>
      </c>
      <c r="P3371" t="n">
        <v>0</v>
      </c>
      <c r="Q3371" t="n">
        <v>0</v>
      </c>
      <c r="R3371" s="2" t="inlineStr"/>
    </row>
    <row r="3372" ht="15" customHeight="1">
      <c r="A3372" t="inlineStr">
        <is>
          <t>A 43628-2023</t>
        </is>
      </c>
      <c r="B3372" s="1" t="n">
        <v>45184</v>
      </c>
      <c r="C3372" s="1" t="n">
        <v>45358</v>
      </c>
      <c r="D3372" t="inlineStr">
        <is>
          <t>HALLANDS LÄN</t>
        </is>
      </c>
      <c r="E3372" t="inlineStr">
        <is>
          <t>FALKENBERG</t>
        </is>
      </c>
      <c r="G3372" t="n">
        <v>2.1</v>
      </c>
      <c r="H3372" t="n">
        <v>0</v>
      </c>
      <c r="I3372" t="n">
        <v>0</v>
      </c>
      <c r="J3372" t="n">
        <v>0</v>
      </c>
      <c r="K3372" t="n">
        <v>0</v>
      </c>
      <c r="L3372" t="n">
        <v>0</v>
      </c>
      <c r="M3372" t="n">
        <v>0</v>
      </c>
      <c r="N3372" t="n">
        <v>0</v>
      </c>
      <c r="O3372" t="n">
        <v>0</v>
      </c>
      <c r="P3372" t="n">
        <v>0</v>
      </c>
      <c r="Q3372" t="n">
        <v>0</v>
      </c>
      <c r="R3372" s="2" t="inlineStr"/>
    </row>
    <row r="3373" ht="15" customHeight="1">
      <c r="A3373" t="inlineStr">
        <is>
          <t>A 43526-2023</t>
        </is>
      </c>
      <c r="B3373" s="1" t="n">
        <v>45184</v>
      </c>
      <c r="C3373" s="1" t="n">
        <v>45358</v>
      </c>
      <c r="D3373" t="inlineStr">
        <is>
          <t>HALLANDS LÄN</t>
        </is>
      </c>
      <c r="E3373" t="inlineStr">
        <is>
          <t>KUNGSBACKA</t>
        </is>
      </c>
      <c r="G3373" t="n">
        <v>1.2</v>
      </c>
      <c r="H3373" t="n">
        <v>0</v>
      </c>
      <c r="I3373" t="n">
        <v>0</v>
      </c>
      <c r="J3373" t="n">
        <v>0</v>
      </c>
      <c r="K3373" t="n">
        <v>0</v>
      </c>
      <c r="L3373" t="n">
        <v>0</v>
      </c>
      <c r="M3373" t="n">
        <v>0</v>
      </c>
      <c r="N3373" t="n">
        <v>0</v>
      </c>
      <c r="O3373" t="n">
        <v>0</v>
      </c>
      <c r="P3373" t="n">
        <v>0</v>
      </c>
      <c r="Q3373" t="n">
        <v>0</v>
      </c>
      <c r="R3373" s="2" t="inlineStr"/>
    </row>
    <row r="3374" ht="15" customHeight="1">
      <c r="A3374" t="inlineStr">
        <is>
          <t>A 44740-2023</t>
        </is>
      </c>
      <c r="B3374" s="1" t="n">
        <v>45184</v>
      </c>
      <c r="C3374" s="1" t="n">
        <v>45358</v>
      </c>
      <c r="D3374" t="inlineStr">
        <is>
          <t>HALLANDS LÄN</t>
        </is>
      </c>
      <c r="E3374" t="inlineStr">
        <is>
          <t>VARBERG</t>
        </is>
      </c>
      <c r="G3374" t="n">
        <v>6.7</v>
      </c>
      <c r="H3374" t="n">
        <v>0</v>
      </c>
      <c r="I3374" t="n">
        <v>0</v>
      </c>
      <c r="J3374" t="n">
        <v>0</v>
      </c>
      <c r="K3374" t="n">
        <v>0</v>
      </c>
      <c r="L3374" t="n">
        <v>0</v>
      </c>
      <c r="M3374" t="n">
        <v>0</v>
      </c>
      <c r="N3374" t="n">
        <v>0</v>
      </c>
      <c r="O3374" t="n">
        <v>0</v>
      </c>
      <c r="P3374" t="n">
        <v>0</v>
      </c>
      <c r="Q3374" t="n">
        <v>0</v>
      </c>
      <c r="R3374" s="2" t="inlineStr"/>
    </row>
    <row r="3375" ht="15" customHeight="1">
      <c r="A3375" t="inlineStr">
        <is>
          <t>A 43634-2023</t>
        </is>
      </c>
      <c r="B3375" s="1" t="n">
        <v>45186</v>
      </c>
      <c r="C3375" s="1" t="n">
        <v>45358</v>
      </c>
      <c r="D3375" t="inlineStr">
        <is>
          <t>HALLANDS LÄN</t>
        </is>
      </c>
      <c r="E3375" t="inlineStr">
        <is>
          <t>HYLTE</t>
        </is>
      </c>
      <c r="G3375" t="n">
        <v>1.7</v>
      </c>
      <c r="H3375" t="n">
        <v>0</v>
      </c>
      <c r="I3375" t="n">
        <v>0</v>
      </c>
      <c r="J3375" t="n">
        <v>0</v>
      </c>
      <c r="K3375" t="n">
        <v>0</v>
      </c>
      <c r="L3375" t="n">
        <v>0</v>
      </c>
      <c r="M3375" t="n">
        <v>0</v>
      </c>
      <c r="N3375" t="n">
        <v>0</v>
      </c>
      <c r="O3375" t="n">
        <v>0</v>
      </c>
      <c r="P3375" t="n">
        <v>0</v>
      </c>
      <c r="Q3375" t="n">
        <v>0</v>
      </c>
      <c r="R3375" s="2" t="inlineStr"/>
    </row>
    <row r="3376" ht="15" customHeight="1">
      <c r="A3376" t="inlineStr">
        <is>
          <t>A 43897-2023</t>
        </is>
      </c>
      <c r="B3376" s="1" t="n">
        <v>45187</v>
      </c>
      <c r="C3376" s="1" t="n">
        <v>45358</v>
      </c>
      <c r="D3376" t="inlineStr">
        <is>
          <t>HALLANDS LÄN</t>
        </is>
      </c>
      <c r="E3376" t="inlineStr">
        <is>
          <t>FALKENBERG</t>
        </is>
      </c>
      <c r="G3376" t="n">
        <v>1.8</v>
      </c>
      <c r="H3376" t="n">
        <v>0</v>
      </c>
      <c r="I3376" t="n">
        <v>0</v>
      </c>
      <c r="J3376" t="n">
        <v>0</v>
      </c>
      <c r="K3376" t="n">
        <v>0</v>
      </c>
      <c r="L3376" t="n">
        <v>0</v>
      </c>
      <c r="M3376" t="n">
        <v>0</v>
      </c>
      <c r="N3376" t="n">
        <v>0</v>
      </c>
      <c r="O3376" t="n">
        <v>0</v>
      </c>
      <c r="P3376" t="n">
        <v>0</v>
      </c>
      <c r="Q3376" t="n">
        <v>0</v>
      </c>
      <c r="R3376" s="2" t="inlineStr"/>
    </row>
    <row r="3377" ht="15" customHeight="1">
      <c r="A3377" t="inlineStr">
        <is>
          <t>A 43866-2023</t>
        </is>
      </c>
      <c r="B3377" s="1" t="n">
        <v>45187</v>
      </c>
      <c r="C3377" s="1" t="n">
        <v>45358</v>
      </c>
      <c r="D3377" t="inlineStr">
        <is>
          <t>HALLANDS LÄN</t>
        </is>
      </c>
      <c r="E3377" t="inlineStr">
        <is>
          <t>HALMSTAD</t>
        </is>
      </c>
      <c r="F3377" t="inlineStr">
        <is>
          <t>Kyrkan</t>
        </is>
      </c>
      <c r="G3377" t="n">
        <v>1.1</v>
      </c>
      <c r="H3377" t="n">
        <v>0</v>
      </c>
      <c r="I3377" t="n">
        <v>0</v>
      </c>
      <c r="J3377" t="n">
        <v>0</v>
      </c>
      <c r="K3377" t="n">
        <v>0</v>
      </c>
      <c r="L3377" t="n">
        <v>0</v>
      </c>
      <c r="M3377" t="n">
        <v>0</v>
      </c>
      <c r="N3377" t="n">
        <v>0</v>
      </c>
      <c r="O3377" t="n">
        <v>0</v>
      </c>
      <c r="P3377" t="n">
        <v>0</v>
      </c>
      <c r="Q3377" t="n">
        <v>0</v>
      </c>
      <c r="R3377" s="2" t="inlineStr"/>
    </row>
    <row r="3378" ht="15" customHeight="1">
      <c r="A3378" t="inlineStr">
        <is>
          <t>A 43883-2023</t>
        </is>
      </c>
      <c r="B3378" s="1" t="n">
        <v>45187</v>
      </c>
      <c r="C3378" s="1" t="n">
        <v>45358</v>
      </c>
      <c r="D3378" t="inlineStr">
        <is>
          <t>HALLANDS LÄN</t>
        </is>
      </c>
      <c r="E3378" t="inlineStr">
        <is>
          <t>FALKENBERG</t>
        </is>
      </c>
      <c r="G3378" t="n">
        <v>3.7</v>
      </c>
      <c r="H3378" t="n">
        <v>0</v>
      </c>
      <c r="I3378" t="n">
        <v>0</v>
      </c>
      <c r="J3378" t="n">
        <v>0</v>
      </c>
      <c r="K3378" t="n">
        <v>0</v>
      </c>
      <c r="L3378" t="n">
        <v>0</v>
      </c>
      <c r="M3378" t="n">
        <v>0</v>
      </c>
      <c r="N3378" t="n">
        <v>0</v>
      </c>
      <c r="O3378" t="n">
        <v>0</v>
      </c>
      <c r="P3378" t="n">
        <v>0</v>
      </c>
      <c r="Q3378" t="n">
        <v>0</v>
      </c>
      <c r="R3378" s="2" t="inlineStr"/>
    </row>
    <row r="3379" ht="15" customHeight="1">
      <c r="A3379" t="inlineStr">
        <is>
          <t>A 44024-2023</t>
        </is>
      </c>
      <c r="B3379" s="1" t="n">
        <v>45188</v>
      </c>
      <c r="C3379" s="1" t="n">
        <v>45358</v>
      </c>
      <c r="D3379" t="inlineStr">
        <is>
          <t>HALLANDS LÄN</t>
        </is>
      </c>
      <c r="E3379" t="inlineStr">
        <is>
          <t>HALMSTAD</t>
        </is>
      </c>
      <c r="G3379" t="n">
        <v>1.6</v>
      </c>
      <c r="H3379" t="n">
        <v>0</v>
      </c>
      <c r="I3379" t="n">
        <v>0</v>
      </c>
      <c r="J3379" t="n">
        <v>0</v>
      </c>
      <c r="K3379" t="n">
        <v>0</v>
      </c>
      <c r="L3379" t="n">
        <v>0</v>
      </c>
      <c r="M3379" t="n">
        <v>0</v>
      </c>
      <c r="N3379" t="n">
        <v>0</v>
      </c>
      <c r="O3379" t="n">
        <v>0</v>
      </c>
      <c r="P3379" t="n">
        <v>0</v>
      </c>
      <c r="Q3379" t="n">
        <v>0</v>
      </c>
      <c r="R3379" s="2" t="inlineStr"/>
    </row>
    <row r="3380" ht="15" customHeight="1">
      <c r="A3380" t="inlineStr">
        <is>
          <t>A 44260-2023</t>
        </is>
      </c>
      <c r="B3380" s="1" t="n">
        <v>45188</v>
      </c>
      <c r="C3380" s="1" t="n">
        <v>45358</v>
      </c>
      <c r="D3380" t="inlineStr">
        <is>
          <t>HALLANDS LÄN</t>
        </is>
      </c>
      <c r="E3380" t="inlineStr">
        <is>
          <t>LAHOLM</t>
        </is>
      </c>
      <c r="G3380" t="n">
        <v>0.8</v>
      </c>
      <c r="H3380" t="n">
        <v>0</v>
      </c>
      <c r="I3380" t="n">
        <v>0</v>
      </c>
      <c r="J3380" t="n">
        <v>0</v>
      </c>
      <c r="K3380" t="n">
        <v>0</v>
      </c>
      <c r="L3380" t="n">
        <v>0</v>
      </c>
      <c r="M3380" t="n">
        <v>0</v>
      </c>
      <c r="N3380" t="n">
        <v>0</v>
      </c>
      <c r="O3380" t="n">
        <v>0</v>
      </c>
      <c r="P3380" t="n">
        <v>0</v>
      </c>
      <c r="Q3380" t="n">
        <v>0</v>
      </c>
      <c r="R3380" s="2" t="inlineStr"/>
    </row>
    <row r="3381" ht="15" customHeight="1">
      <c r="A3381" t="inlineStr">
        <is>
          <t>A 44040-2023</t>
        </is>
      </c>
      <c r="B3381" s="1" t="n">
        <v>45188</v>
      </c>
      <c r="C3381" s="1" t="n">
        <v>45358</v>
      </c>
      <c r="D3381" t="inlineStr">
        <is>
          <t>HALLANDS LÄN</t>
        </is>
      </c>
      <c r="E3381" t="inlineStr">
        <is>
          <t>FALKENBERG</t>
        </is>
      </c>
      <c r="G3381" t="n">
        <v>1</v>
      </c>
      <c r="H3381" t="n">
        <v>0</v>
      </c>
      <c r="I3381" t="n">
        <v>0</v>
      </c>
      <c r="J3381" t="n">
        <v>0</v>
      </c>
      <c r="K3381" t="n">
        <v>0</v>
      </c>
      <c r="L3381" t="n">
        <v>0</v>
      </c>
      <c r="M3381" t="n">
        <v>0</v>
      </c>
      <c r="N3381" t="n">
        <v>0</v>
      </c>
      <c r="O3381" t="n">
        <v>0</v>
      </c>
      <c r="P3381" t="n">
        <v>0</v>
      </c>
      <c r="Q3381" t="n">
        <v>0</v>
      </c>
      <c r="R3381" s="2" t="inlineStr"/>
    </row>
    <row r="3382" ht="15" customHeight="1">
      <c r="A3382" t="inlineStr">
        <is>
          <t>A 44087-2023</t>
        </is>
      </c>
      <c r="B3382" s="1" t="n">
        <v>45188</v>
      </c>
      <c r="C3382" s="1" t="n">
        <v>45358</v>
      </c>
      <c r="D3382" t="inlineStr">
        <is>
          <t>HALLANDS LÄN</t>
        </is>
      </c>
      <c r="E3382" t="inlineStr">
        <is>
          <t>FALKENBERG</t>
        </is>
      </c>
      <c r="G3382" t="n">
        <v>1.1</v>
      </c>
      <c r="H3382" t="n">
        <v>0</v>
      </c>
      <c r="I3382" t="n">
        <v>0</v>
      </c>
      <c r="J3382" t="n">
        <v>0</v>
      </c>
      <c r="K3382" t="n">
        <v>0</v>
      </c>
      <c r="L3382" t="n">
        <v>0</v>
      </c>
      <c r="M3382" t="n">
        <v>0</v>
      </c>
      <c r="N3382" t="n">
        <v>0</v>
      </c>
      <c r="O3382" t="n">
        <v>0</v>
      </c>
      <c r="P3382" t="n">
        <v>0</v>
      </c>
      <c r="Q3382" t="n">
        <v>0</v>
      </c>
      <c r="R3382" s="2" t="inlineStr"/>
    </row>
    <row r="3383" ht="15" customHeight="1">
      <c r="A3383" t="inlineStr">
        <is>
          <t>A 44133-2023</t>
        </is>
      </c>
      <c r="B3383" s="1" t="n">
        <v>45188</v>
      </c>
      <c r="C3383" s="1" t="n">
        <v>45358</v>
      </c>
      <c r="D3383" t="inlineStr">
        <is>
          <t>HALLANDS LÄN</t>
        </is>
      </c>
      <c r="E3383" t="inlineStr">
        <is>
          <t>FALKENBERG</t>
        </is>
      </c>
      <c r="G3383" t="n">
        <v>5.1</v>
      </c>
      <c r="H3383" t="n">
        <v>0</v>
      </c>
      <c r="I3383" t="n">
        <v>0</v>
      </c>
      <c r="J3383" t="n">
        <v>0</v>
      </c>
      <c r="K3383" t="n">
        <v>0</v>
      </c>
      <c r="L3383" t="n">
        <v>0</v>
      </c>
      <c r="M3383" t="n">
        <v>0</v>
      </c>
      <c r="N3383" t="n">
        <v>0</v>
      </c>
      <c r="O3383" t="n">
        <v>0</v>
      </c>
      <c r="P3383" t="n">
        <v>0</v>
      </c>
      <c r="Q3383" t="n">
        <v>0</v>
      </c>
      <c r="R3383" s="2" t="inlineStr"/>
    </row>
    <row r="3384" ht="15" customHeight="1">
      <c r="A3384" t="inlineStr">
        <is>
          <t>A 44073-2023</t>
        </is>
      </c>
      <c r="B3384" s="1" t="n">
        <v>45188</v>
      </c>
      <c r="C3384" s="1" t="n">
        <v>45358</v>
      </c>
      <c r="D3384" t="inlineStr">
        <is>
          <t>HALLANDS LÄN</t>
        </is>
      </c>
      <c r="E3384" t="inlineStr">
        <is>
          <t>HALMSTAD</t>
        </is>
      </c>
      <c r="G3384" t="n">
        <v>2</v>
      </c>
      <c r="H3384" t="n">
        <v>0</v>
      </c>
      <c r="I3384" t="n">
        <v>0</v>
      </c>
      <c r="J3384" t="n">
        <v>0</v>
      </c>
      <c r="K3384" t="n">
        <v>0</v>
      </c>
      <c r="L3384" t="n">
        <v>0</v>
      </c>
      <c r="M3384" t="n">
        <v>0</v>
      </c>
      <c r="N3384" t="n">
        <v>0</v>
      </c>
      <c r="O3384" t="n">
        <v>0</v>
      </c>
      <c r="P3384" t="n">
        <v>0</v>
      </c>
      <c r="Q3384" t="n">
        <v>0</v>
      </c>
      <c r="R3384" s="2" t="inlineStr"/>
    </row>
    <row r="3385" ht="15" customHeight="1">
      <c r="A3385" t="inlineStr">
        <is>
          <t>A 44086-2023</t>
        </is>
      </c>
      <c r="B3385" s="1" t="n">
        <v>45188</v>
      </c>
      <c r="C3385" s="1" t="n">
        <v>45358</v>
      </c>
      <c r="D3385" t="inlineStr">
        <is>
          <t>HALLANDS LÄN</t>
        </is>
      </c>
      <c r="E3385" t="inlineStr">
        <is>
          <t>FALKENBERG</t>
        </is>
      </c>
      <c r="G3385" t="n">
        <v>2.1</v>
      </c>
      <c r="H3385" t="n">
        <v>0</v>
      </c>
      <c r="I3385" t="n">
        <v>0</v>
      </c>
      <c r="J3385" t="n">
        <v>0</v>
      </c>
      <c r="K3385" t="n">
        <v>0</v>
      </c>
      <c r="L3385" t="n">
        <v>0</v>
      </c>
      <c r="M3385" t="n">
        <v>0</v>
      </c>
      <c r="N3385" t="n">
        <v>0</v>
      </c>
      <c r="O3385" t="n">
        <v>0</v>
      </c>
      <c r="P3385" t="n">
        <v>0</v>
      </c>
      <c r="Q3385" t="n">
        <v>0</v>
      </c>
      <c r="R3385" s="2" t="inlineStr"/>
    </row>
    <row r="3386" ht="15" customHeight="1">
      <c r="A3386" t="inlineStr">
        <is>
          <t>A 44090-2023</t>
        </is>
      </c>
      <c r="B3386" s="1" t="n">
        <v>45188</v>
      </c>
      <c r="C3386" s="1" t="n">
        <v>45358</v>
      </c>
      <c r="D3386" t="inlineStr">
        <is>
          <t>HALLANDS LÄN</t>
        </is>
      </c>
      <c r="E3386" t="inlineStr">
        <is>
          <t>FALKENBERG</t>
        </is>
      </c>
      <c r="G3386" t="n">
        <v>0.5</v>
      </c>
      <c r="H3386" t="n">
        <v>0</v>
      </c>
      <c r="I3386" t="n">
        <v>0</v>
      </c>
      <c r="J3386" t="n">
        <v>0</v>
      </c>
      <c r="K3386" t="n">
        <v>0</v>
      </c>
      <c r="L3386" t="n">
        <v>0</v>
      </c>
      <c r="M3386" t="n">
        <v>0</v>
      </c>
      <c r="N3386" t="n">
        <v>0</v>
      </c>
      <c r="O3386" t="n">
        <v>0</v>
      </c>
      <c r="P3386" t="n">
        <v>0</v>
      </c>
      <c r="Q3386" t="n">
        <v>0</v>
      </c>
      <c r="R3386" s="2" t="inlineStr"/>
    </row>
    <row r="3387" ht="15" customHeight="1">
      <c r="A3387" t="inlineStr">
        <is>
          <t>A 44353-2023</t>
        </is>
      </c>
      <c r="B3387" s="1" t="n">
        <v>45188</v>
      </c>
      <c r="C3387" s="1" t="n">
        <v>45358</v>
      </c>
      <c r="D3387" t="inlineStr">
        <is>
          <t>HALLANDS LÄN</t>
        </is>
      </c>
      <c r="E3387" t="inlineStr">
        <is>
          <t>KUNGSBACKA</t>
        </is>
      </c>
      <c r="G3387" t="n">
        <v>4.8</v>
      </c>
      <c r="H3387" t="n">
        <v>0</v>
      </c>
      <c r="I3387" t="n">
        <v>0</v>
      </c>
      <c r="J3387" t="n">
        <v>0</v>
      </c>
      <c r="K3387" t="n">
        <v>0</v>
      </c>
      <c r="L3387" t="n">
        <v>0</v>
      </c>
      <c r="M3387" t="n">
        <v>0</v>
      </c>
      <c r="N3387" t="n">
        <v>0</v>
      </c>
      <c r="O3387" t="n">
        <v>0</v>
      </c>
      <c r="P3387" t="n">
        <v>0</v>
      </c>
      <c r="Q3387" t="n">
        <v>0</v>
      </c>
      <c r="R3387" s="2" t="inlineStr"/>
    </row>
    <row r="3388" ht="15" customHeight="1">
      <c r="A3388" t="inlineStr">
        <is>
          <t>A 44345-2023</t>
        </is>
      </c>
      <c r="B3388" s="1" t="n">
        <v>45188</v>
      </c>
      <c r="C3388" s="1" t="n">
        <v>45358</v>
      </c>
      <c r="D3388" t="inlineStr">
        <is>
          <t>HALLANDS LÄN</t>
        </is>
      </c>
      <c r="E3388" t="inlineStr">
        <is>
          <t>FALKENBERG</t>
        </is>
      </c>
      <c r="G3388" t="n">
        <v>2.6</v>
      </c>
      <c r="H3388" t="n">
        <v>0</v>
      </c>
      <c r="I3388" t="n">
        <v>0</v>
      </c>
      <c r="J3388" t="n">
        <v>0</v>
      </c>
      <c r="K3388" t="n">
        <v>0</v>
      </c>
      <c r="L3388" t="n">
        <v>0</v>
      </c>
      <c r="M3388" t="n">
        <v>0</v>
      </c>
      <c r="N3388" t="n">
        <v>0</v>
      </c>
      <c r="O3388" t="n">
        <v>0</v>
      </c>
      <c r="P3388" t="n">
        <v>0</v>
      </c>
      <c r="Q3388" t="n">
        <v>0</v>
      </c>
      <c r="R3388" s="2" t="inlineStr"/>
    </row>
    <row r="3389" ht="15" customHeight="1">
      <c r="A3389" t="inlineStr">
        <is>
          <t>A 44261-2023</t>
        </is>
      </c>
      <c r="B3389" s="1" t="n">
        <v>45188</v>
      </c>
      <c r="C3389" s="1" t="n">
        <v>45358</v>
      </c>
      <c r="D3389" t="inlineStr">
        <is>
          <t>HALLANDS LÄN</t>
        </is>
      </c>
      <c r="E3389" t="inlineStr">
        <is>
          <t>LAHOLM</t>
        </is>
      </c>
      <c r="G3389" t="n">
        <v>0.9</v>
      </c>
      <c r="H3389" t="n">
        <v>0</v>
      </c>
      <c r="I3389" t="n">
        <v>0</v>
      </c>
      <c r="J3389" t="n">
        <v>0</v>
      </c>
      <c r="K3389" t="n">
        <v>0</v>
      </c>
      <c r="L3389" t="n">
        <v>0</v>
      </c>
      <c r="M3389" t="n">
        <v>0</v>
      </c>
      <c r="N3389" t="n">
        <v>0</v>
      </c>
      <c r="O3389" t="n">
        <v>0</v>
      </c>
      <c r="P3389" t="n">
        <v>0</v>
      </c>
      <c r="Q3389" t="n">
        <v>0</v>
      </c>
      <c r="R3389" s="2" t="inlineStr"/>
    </row>
    <row r="3390" ht="15" customHeight="1">
      <c r="A3390" t="inlineStr">
        <is>
          <t>A 44528-2023</t>
        </is>
      </c>
      <c r="B3390" s="1" t="n">
        <v>45189</v>
      </c>
      <c r="C3390" s="1" t="n">
        <v>45358</v>
      </c>
      <c r="D3390" t="inlineStr">
        <is>
          <t>HALLANDS LÄN</t>
        </is>
      </c>
      <c r="E3390" t="inlineStr">
        <is>
          <t>KUNGSBACKA</t>
        </is>
      </c>
      <c r="G3390" t="n">
        <v>5.2</v>
      </c>
      <c r="H3390" t="n">
        <v>0</v>
      </c>
      <c r="I3390" t="n">
        <v>0</v>
      </c>
      <c r="J3390" t="n">
        <v>0</v>
      </c>
      <c r="K3390" t="n">
        <v>0</v>
      </c>
      <c r="L3390" t="n">
        <v>0</v>
      </c>
      <c r="M3390" t="n">
        <v>0</v>
      </c>
      <c r="N3390" t="n">
        <v>0</v>
      </c>
      <c r="O3390" t="n">
        <v>0</v>
      </c>
      <c r="P3390" t="n">
        <v>0</v>
      </c>
      <c r="Q3390" t="n">
        <v>0</v>
      </c>
      <c r="R3390" s="2" t="inlineStr"/>
    </row>
    <row r="3391" ht="15" customHeight="1">
      <c r="A3391" t="inlineStr">
        <is>
          <t>A 44532-2023</t>
        </is>
      </c>
      <c r="B3391" s="1" t="n">
        <v>45189</v>
      </c>
      <c r="C3391" s="1" t="n">
        <v>45358</v>
      </c>
      <c r="D3391" t="inlineStr">
        <is>
          <t>HALLANDS LÄN</t>
        </is>
      </c>
      <c r="E3391" t="inlineStr">
        <is>
          <t>FALKENBERG</t>
        </is>
      </c>
      <c r="G3391" t="n">
        <v>5.9</v>
      </c>
      <c r="H3391" t="n">
        <v>0</v>
      </c>
      <c r="I3391" t="n">
        <v>0</v>
      </c>
      <c r="J3391" t="n">
        <v>0</v>
      </c>
      <c r="K3391" t="n">
        <v>0</v>
      </c>
      <c r="L3391" t="n">
        <v>0</v>
      </c>
      <c r="M3391" t="n">
        <v>0</v>
      </c>
      <c r="N3391" t="n">
        <v>0</v>
      </c>
      <c r="O3391" t="n">
        <v>0</v>
      </c>
      <c r="P3391" t="n">
        <v>0</v>
      </c>
      <c r="Q3391" t="n">
        <v>0</v>
      </c>
      <c r="R3391" s="2" t="inlineStr"/>
    </row>
    <row r="3392" ht="15" customHeight="1">
      <c r="A3392" t="inlineStr">
        <is>
          <t>A 44537-2023</t>
        </is>
      </c>
      <c r="B3392" s="1" t="n">
        <v>45189</v>
      </c>
      <c r="C3392" s="1" t="n">
        <v>45358</v>
      </c>
      <c r="D3392" t="inlineStr">
        <is>
          <t>HALLANDS LÄN</t>
        </is>
      </c>
      <c r="E3392" t="inlineStr">
        <is>
          <t>FALKENBERG</t>
        </is>
      </c>
      <c r="G3392" t="n">
        <v>1</v>
      </c>
      <c r="H3392" t="n">
        <v>0</v>
      </c>
      <c r="I3392" t="n">
        <v>0</v>
      </c>
      <c r="J3392" t="n">
        <v>0</v>
      </c>
      <c r="K3392" t="n">
        <v>0</v>
      </c>
      <c r="L3392" t="n">
        <v>0</v>
      </c>
      <c r="M3392" t="n">
        <v>0</v>
      </c>
      <c r="N3392" t="n">
        <v>0</v>
      </c>
      <c r="O3392" t="n">
        <v>0</v>
      </c>
      <c r="P3392" t="n">
        <v>0</v>
      </c>
      <c r="Q3392" t="n">
        <v>0</v>
      </c>
      <c r="R3392" s="2" t="inlineStr"/>
    </row>
    <row r="3393" ht="15" customHeight="1">
      <c r="A3393" t="inlineStr">
        <is>
          <t>A 44666-2023</t>
        </is>
      </c>
      <c r="B3393" s="1" t="n">
        <v>45189</v>
      </c>
      <c r="C3393" s="1" t="n">
        <v>45358</v>
      </c>
      <c r="D3393" t="inlineStr">
        <is>
          <t>HALLANDS LÄN</t>
        </is>
      </c>
      <c r="E3393" t="inlineStr">
        <is>
          <t>KUNGSBACKA</t>
        </is>
      </c>
      <c r="G3393" t="n">
        <v>3.5</v>
      </c>
      <c r="H3393" t="n">
        <v>0</v>
      </c>
      <c r="I3393" t="n">
        <v>0</v>
      </c>
      <c r="J3393" t="n">
        <v>0</v>
      </c>
      <c r="K3393" t="n">
        <v>0</v>
      </c>
      <c r="L3393" t="n">
        <v>0</v>
      </c>
      <c r="M3393" t="n">
        <v>0</v>
      </c>
      <c r="N3393" t="n">
        <v>0</v>
      </c>
      <c r="O3393" t="n">
        <v>0</v>
      </c>
      <c r="P3393" t="n">
        <v>0</v>
      </c>
      <c r="Q3393" t="n">
        <v>0</v>
      </c>
      <c r="R3393" s="2" t="inlineStr"/>
    </row>
    <row r="3394" ht="15" customHeight="1">
      <c r="A3394" t="inlineStr">
        <is>
          <t>A 44734-2023</t>
        </is>
      </c>
      <c r="B3394" s="1" t="n">
        <v>45190</v>
      </c>
      <c r="C3394" s="1" t="n">
        <v>45358</v>
      </c>
      <c r="D3394" t="inlineStr">
        <is>
          <t>HALLANDS LÄN</t>
        </is>
      </c>
      <c r="E3394" t="inlineStr">
        <is>
          <t>HYLTE</t>
        </is>
      </c>
      <c r="G3394" t="n">
        <v>0.6</v>
      </c>
      <c r="H3394" t="n">
        <v>0</v>
      </c>
      <c r="I3394" t="n">
        <v>0</v>
      </c>
      <c r="J3394" t="n">
        <v>0</v>
      </c>
      <c r="K3394" t="n">
        <v>0</v>
      </c>
      <c r="L3394" t="n">
        <v>0</v>
      </c>
      <c r="M3394" t="n">
        <v>0</v>
      </c>
      <c r="N3394" t="n">
        <v>0</v>
      </c>
      <c r="O3394" t="n">
        <v>0</v>
      </c>
      <c r="P3394" t="n">
        <v>0</v>
      </c>
      <c r="Q3394" t="n">
        <v>0</v>
      </c>
      <c r="R3394" s="2" t="inlineStr"/>
    </row>
    <row r="3395" ht="15" customHeight="1">
      <c r="A3395" t="inlineStr">
        <is>
          <t>A 44866-2023</t>
        </is>
      </c>
      <c r="B3395" s="1" t="n">
        <v>45190</v>
      </c>
      <c r="C3395" s="1" t="n">
        <v>45358</v>
      </c>
      <c r="D3395" t="inlineStr">
        <is>
          <t>HALLANDS LÄN</t>
        </is>
      </c>
      <c r="E3395" t="inlineStr">
        <is>
          <t>HYLTE</t>
        </is>
      </c>
      <c r="G3395" t="n">
        <v>1.4</v>
      </c>
      <c r="H3395" t="n">
        <v>0</v>
      </c>
      <c r="I3395" t="n">
        <v>0</v>
      </c>
      <c r="J3395" t="n">
        <v>0</v>
      </c>
      <c r="K3395" t="n">
        <v>0</v>
      </c>
      <c r="L3395" t="n">
        <v>0</v>
      </c>
      <c r="M3395" t="n">
        <v>0</v>
      </c>
      <c r="N3395" t="n">
        <v>0</v>
      </c>
      <c r="O3395" t="n">
        <v>0</v>
      </c>
      <c r="P3395" t="n">
        <v>0</v>
      </c>
      <c r="Q3395" t="n">
        <v>0</v>
      </c>
      <c r="R3395" s="2" t="inlineStr"/>
    </row>
    <row r="3396" ht="15" customHeight="1">
      <c r="A3396" t="inlineStr">
        <is>
          <t>A 44954-2023</t>
        </is>
      </c>
      <c r="B3396" s="1" t="n">
        <v>45190</v>
      </c>
      <c r="C3396" s="1" t="n">
        <v>45358</v>
      </c>
      <c r="D3396" t="inlineStr">
        <is>
          <t>HALLANDS LÄN</t>
        </is>
      </c>
      <c r="E3396" t="inlineStr">
        <is>
          <t>FALKENBERG</t>
        </is>
      </c>
      <c r="G3396" t="n">
        <v>0.8</v>
      </c>
      <c r="H3396" t="n">
        <v>0</v>
      </c>
      <c r="I3396" t="n">
        <v>0</v>
      </c>
      <c r="J3396" t="n">
        <v>0</v>
      </c>
      <c r="K3396" t="n">
        <v>0</v>
      </c>
      <c r="L3396" t="n">
        <v>0</v>
      </c>
      <c r="M3396" t="n">
        <v>0</v>
      </c>
      <c r="N3396" t="n">
        <v>0</v>
      </c>
      <c r="O3396" t="n">
        <v>0</v>
      </c>
      <c r="P3396" t="n">
        <v>0</v>
      </c>
      <c r="Q3396" t="n">
        <v>0</v>
      </c>
      <c r="R3396" s="2" t="inlineStr"/>
    </row>
    <row r="3397" ht="15" customHeight="1">
      <c r="A3397" t="inlineStr">
        <is>
          <t>A 44931-2023</t>
        </is>
      </c>
      <c r="B3397" s="1" t="n">
        <v>45190</v>
      </c>
      <c r="C3397" s="1" t="n">
        <v>45358</v>
      </c>
      <c r="D3397" t="inlineStr">
        <is>
          <t>HALLANDS LÄN</t>
        </is>
      </c>
      <c r="E3397" t="inlineStr">
        <is>
          <t>KUNGSBACKA</t>
        </is>
      </c>
      <c r="G3397" t="n">
        <v>10</v>
      </c>
      <c r="H3397" t="n">
        <v>0</v>
      </c>
      <c r="I3397" t="n">
        <v>0</v>
      </c>
      <c r="J3397" t="n">
        <v>0</v>
      </c>
      <c r="K3397" t="n">
        <v>0</v>
      </c>
      <c r="L3397" t="n">
        <v>0</v>
      </c>
      <c r="M3397" t="n">
        <v>0</v>
      </c>
      <c r="N3397" t="n">
        <v>0</v>
      </c>
      <c r="O3397" t="n">
        <v>0</v>
      </c>
      <c r="P3397" t="n">
        <v>0</v>
      </c>
      <c r="Q3397" t="n">
        <v>0</v>
      </c>
      <c r="R3397" s="2" t="inlineStr"/>
    </row>
    <row r="3398" ht="15" customHeight="1">
      <c r="A3398" t="inlineStr">
        <is>
          <t>A 46150-2023</t>
        </is>
      </c>
      <c r="B3398" s="1" t="n">
        <v>45190</v>
      </c>
      <c r="C3398" s="1" t="n">
        <v>45358</v>
      </c>
      <c r="D3398" t="inlineStr">
        <is>
          <t>HALLANDS LÄN</t>
        </is>
      </c>
      <c r="E3398" t="inlineStr">
        <is>
          <t>HYLTE</t>
        </is>
      </c>
      <c r="F3398" t="inlineStr">
        <is>
          <t>Kommuner</t>
        </is>
      </c>
      <c r="G3398" t="n">
        <v>1.6</v>
      </c>
      <c r="H3398" t="n">
        <v>0</v>
      </c>
      <c r="I3398" t="n">
        <v>0</v>
      </c>
      <c r="J3398" t="n">
        <v>0</v>
      </c>
      <c r="K3398" t="n">
        <v>0</v>
      </c>
      <c r="L3398" t="n">
        <v>0</v>
      </c>
      <c r="M3398" t="n">
        <v>0</v>
      </c>
      <c r="N3398" t="n">
        <v>0</v>
      </c>
      <c r="O3398" t="n">
        <v>0</v>
      </c>
      <c r="P3398" t="n">
        <v>0</v>
      </c>
      <c r="Q3398" t="n">
        <v>0</v>
      </c>
      <c r="R3398" s="2" t="inlineStr"/>
    </row>
    <row r="3399" ht="15" customHeight="1">
      <c r="A3399" t="inlineStr">
        <is>
          <t>A 46148-2023</t>
        </is>
      </c>
      <c r="B3399" s="1" t="n">
        <v>45190</v>
      </c>
      <c r="C3399" s="1" t="n">
        <v>45358</v>
      </c>
      <c r="D3399" t="inlineStr">
        <is>
          <t>HALLANDS LÄN</t>
        </is>
      </c>
      <c r="E3399" t="inlineStr">
        <is>
          <t>HYLTE</t>
        </is>
      </c>
      <c r="F3399" t="inlineStr">
        <is>
          <t>Bergvik skog väst AB</t>
        </is>
      </c>
      <c r="G3399" t="n">
        <v>1.5</v>
      </c>
      <c r="H3399" t="n">
        <v>0</v>
      </c>
      <c r="I3399" t="n">
        <v>0</v>
      </c>
      <c r="J3399" t="n">
        <v>0</v>
      </c>
      <c r="K3399" t="n">
        <v>0</v>
      </c>
      <c r="L3399" t="n">
        <v>0</v>
      </c>
      <c r="M3399" t="n">
        <v>0</v>
      </c>
      <c r="N3399" t="n">
        <v>0</v>
      </c>
      <c r="O3399" t="n">
        <v>0</v>
      </c>
      <c r="P3399" t="n">
        <v>0</v>
      </c>
      <c r="Q3399" t="n">
        <v>0</v>
      </c>
      <c r="R3399" s="2" t="inlineStr"/>
    </row>
    <row r="3400" ht="15" customHeight="1">
      <c r="A3400" t="inlineStr">
        <is>
          <t>A 45209-2023</t>
        </is>
      </c>
      <c r="B3400" s="1" t="n">
        <v>45191</v>
      </c>
      <c r="C3400" s="1" t="n">
        <v>45358</v>
      </c>
      <c r="D3400" t="inlineStr">
        <is>
          <t>HALLANDS LÄN</t>
        </is>
      </c>
      <c r="E3400" t="inlineStr">
        <is>
          <t>LAHOLM</t>
        </is>
      </c>
      <c r="G3400" t="n">
        <v>0.6</v>
      </c>
      <c r="H3400" t="n">
        <v>0</v>
      </c>
      <c r="I3400" t="n">
        <v>0</v>
      </c>
      <c r="J3400" t="n">
        <v>0</v>
      </c>
      <c r="K3400" t="n">
        <v>0</v>
      </c>
      <c r="L3400" t="n">
        <v>0</v>
      </c>
      <c r="M3400" t="n">
        <v>0</v>
      </c>
      <c r="N3400" t="n">
        <v>0</v>
      </c>
      <c r="O3400" t="n">
        <v>0</v>
      </c>
      <c r="P3400" t="n">
        <v>0</v>
      </c>
      <c r="Q3400" t="n">
        <v>0</v>
      </c>
      <c r="R3400" s="2" t="inlineStr"/>
    </row>
    <row r="3401" ht="15" customHeight="1">
      <c r="A3401" t="inlineStr">
        <is>
          <t>A 45515-2023</t>
        </is>
      </c>
      <c r="B3401" s="1" t="n">
        <v>45194</v>
      </c>
      <c r="C3401" s="1" t="n">
        <v>45358</v>
      </c>
      <c r="D3401" t="inlineStr">
        <is>
          <t>HALLANDS LÄN</t>
        </is>
      </c>
      <c r="E3401" t="inlineStr">
        <is>
          <t>HYLTE</t>
        </is>
      </c>
      <c r="G3401" t="n">
        <v>2.8</v>
      </c>
      <c r="H3401" t="n">
        <v>0</v>
      </c>
      <c r="I3401" t="n">
        <v>0</v>
      </c>
      <c r="J3401" t="n">
        <v>0</v>
      </c>
      <c r="K3401" t="n">
        <v>0</v>
      </c>
      <c r="L3401" t="n">
        <v>0</v>
      </c>
      <c r="M3401" t="n">
        <v>0</v>
      </c>
      <c r="N3401" t="n">
        <v>0</v>
      </c>
      <c r="O3401" t="n">
        <v>0</v>
      </c>
      <c r="P3401" t="n">
        <v>0</v>
      </c>
      <c r="Q3401" t="n">
        <v>0</v>
      </c>
      <c r="R3401" s="2" t="inlineStr"/>
    </row>
    <row r="3402" ht="15" customHeight="1">
      <c r="A3402" t="inlineStr">
        <is>
          <t>A 45513-2023</t>
        </is>
      </c>
      <c r="B3402" s="1" t="n">
        <v>45194</v>
      </c>
      <c r="C3402" s="1" t="n">
        <v>45358</v>
      </c>
      <c r="D3402" t="inlineStr">
        <is>
          <t>HALLANDS LÄN</t>
        </is>
      </c>
      <c r="E3402" t="inlineStr">
        <is>
          <t>HYLTE</t>
        </is>
      </c>
      <c r="G3402" t="n">
        <v>1.6</v>
      </c>
      <c r="H3402" t="n">
        <v>0</v>
      </c>
      <c r="I3402" t="n">
        <v>0</v>
      </c>
      <c r="J3402" t="n">
        <v>0</v>
      </c>
      <c r="K3402" t="n">
        <v>0</v>
      </c>
      <c r="L3402" t="n">
        <v>0</v>
      </c>
      <c r="M3402" t="n">
        <v>0</v>
      </c>
      <c r="N3402" t="n">
        <v>0</v>
      </c>
      <c r="O3402" t="n">
        <v>0</v>
      </c>
      <c r="P3402" t="n">
        <v>0</v>
      </c>
      <c r="Q3402" t="n">
        <v>0</v>
      </c>
      <c r="R3402" s="2" t="inlineStr"/>
    </row>
    <row r="3403" ht="15" customHeight="1">
      <c r="A3403" t="inlineStr">
        <is>
          <t>A 45542-2023</t>
        </is>
      </c>
      <c r="B3403" s="1" t="n">
        <v>45194</v>
      </c>
      <c r="C3403" s="1" t="n">
        <v>45358</v>
      </c>
      <c r="D3403" t="inlineStr">
        <is>
          <t>HALLANDS LÄN</t>
        </is>
      </c>
      <c r="E3403" t="inlineStr">
        <is>
          <t>HALMSTAD</t>
        </is>
      </c>
      <c r="G3403" t="n">
        <v>1.5</v>
      </c>
      <c r="H3403" t="n">
        <v>0</v>
      </c>
      <c r="I3403" t="n">
        <v>0</v>
      </c>
      <c r="J3403" t="n">
        <v>0</v>
      </c>
      <c r="K3403" t="n">
        <v>0</v>
      </c>
      <c r="L3403" t="n">
        <v>0</v>
      </c>
      <c r="M3403" t="n">
        <v>0</v>
      </c>
      <c r="N3403" t="n">
        <v>0</v>
      </c>
      <c r="O3403" t="n">
        <v>0</v>
      </c>
      <c r="P3403" t="n">
        <v>0</v>
      </c>
      <c r="Q3403" t="n">
        <v>0</v>
      </c>
      <c r="R3403" s="2" t="inlineStr"/>
    </row>
    <row r="3404" ht="15" customHeight="1">
      <c r="A3404" t="inlineStr">
        <is>
          <t>A 45653-2023</t>
        </is>
      </c>
      <c r="B3404" s="1" t="n">
        <v>45194</v>
      </c>
      <c r="C3404" s="1" t="n">
        <v>45358</v>
      </c>
      <c r="D3404" t="inlineStr">
        <is>
          <t>HALLANDS LÄN</t>
        </is>
      </c>
      <c r="E3404" t="inlineStr">
        <is>
          <t>VARBERG</t>
        </is>
      </c>
      <c r="G3404" t="n">
        <v>1.4</v>
      </c>
      <c r="H3404" t="n">
        <v>0</v>
      </c>
      <c r="I3404" t="n">
        <v>0</v>
      </c>
      <c r="J3404" t="n">
        <v>0</v>
      </c>
      <c r="K3404" t="n">
        <v>0</v>
      </c>
      <c r="L3404" t="n">
        <v>0</v>
      </c>
      <c r="M3404" t="n">
        <v>0</v>
      </c>
      <c r="N3404" t="n">
        <v>0</v>
      </c>
      <c r="O3404" t="n">
        <v>0</v>
      </c>
      <c r="P3404" t="n">
        <v>0</v>
      </c>
      <c r="Q3404" t="n">
        <v>0</v>
      </c>
      <c r="R3404" s="2" t="inlineStr"/>
    </row>
    <row r="3405" ht="15" customHeight="1">
      <c r="A3405" t="inlineStr">
        <is>
          <t>A 45508-2023</t>
        </is>
      </c>
      <c r="B3405" s="1" t="n">
        <v>45194</v>
      </c>
      <c r="C3405" s="1" t="n">
        <v>45358</v>
      </c>
      <c r="D3405" t="inlineStr">
        <is>
          <t>HALLANDS LÄN</t>
        </is>
      </c>
      <c r="E3405" t="inlineStr">
        <is>
          <t>HALMSTAD</t>
        </is>
      </c>
      <c r="G3405" t="n">
        <v>4.6</v>
      </c>
      <c r="H3405" t="n">
        <v>0</v>
      </c>
      <c r="I3405" t="n">
        <v>0</v>
      </c>
      <c r="J3405" t="n">
        <v>0</v>
      </c>
      <c r="K3405" t="n">
        <v>0</v>
      </c>
      <c r="L3405" t="n">
        <v>0</v>
      </c>
      <c r="M3405" t="n">
        <v>0</v>
      </c>
      <c r="N3405" t="n">
        <v>0</v>
      </c>
      <c r="O3405" t="n">
        <v>0</v>
      </c>
      <c r="P3405" t="n">
        <v>0</v>
      </c>
      <c r="Q3405" t="n">
        <v>0</v>
      </c>
      <c r="R3405" s="2" t="inlineStr"/>
    </row>
    <row r="3406" ht="15" customHeight="1">
      <c r="A3406" t="inlineStr">
        <is>
          <t>A 45586-2023</t>
        </is>
      </c>
      <c r="B3406" s="1" t="n">
        <v>45194</v>
      </c>
      <c r="C3406" s="1" t="n">
        <v>45358</v>
      </c>
      <c r="D3406" t="inlineStr">
        <is>
          <t>HALLANDS LÄN</t>
        </is>
      </c>
      <c r="E3406" t="inlineStr">
        <is>
          <t>HALMSTAD</t>
        </is>
      </c>
      <c r="G3406" t="n">
        <v>1.5</v>
      </c>
      <c r="H3406" t="n">
        <v>0</v>
      </c>
      <c r="I3406" t="n">
        <v>0</v>
      </c>
      <c r="J3406" t="n">
        <v>0</v>
      </c>
      <c r="K3406" t="n">
        <v>0</v>
      </c>
      <c r="L3406" t="n">
        <v>0</v>
      </c>
      <c r="M3406" t="n">
        <v>0</v>
      </c>
      <c r="N3406" t="n">
        <v>0</v>
      </c>
      <c r="O3406" t="n">
        <v>0</v>
      </c>
      <c r="P3406" t="n">
        <v>0</v>
      </c>
      <c r="Q3406" t="n">
        <v>0</v>
      </c>
      <c r="R3406" s="2" t="inlineStr"/>
    </row>
    <row r="3407" ht="15" customHeight="1">
      <c r="A3407" t="inlineStr">
        <is>
          <t>A 45681-2023</t>
        </is>
      </c>
      <c r="B3407" s="1" t="n">
        <v>45195</v>
      </c>
      <c r="C3407" s="1" t="n">
        <v>45358</v>
      </c>
      <c r="D3407" t="inlineStr">
        <is>
          <t>HALLANDS LÄN</t>
        </is>
      </c>
      <c r="E3407" t="inlineStr">
        <is>
          <t>LAHOLM</t>
        </is>
      </c>
      <c r="G3407" t="n">
        <v>1.4</v>
      </c>
      <c r="H3407" t="n">
        <v>0</v>
      </c>
      <c r="I3407" t="n">
        <v>0</v>
      </c>
      <c r="J3407" t="n">
        <v>0</v>
      </c>
      <c r="K3407" t="n">
        <v>0</v>
      </c>
      <c r="L3407" t="n">
        <v>0</v>
      </c>
      <c r="M3407" t="n">
        <v>0</v>
      </c>
      <c r="N3407" t="n">
        <v>0</v>
      </c>
      <c r="O3407" t="n">
        <v>0</v>
      </c>
      <c r="P3407" t="n">
        <v>0</v>
      </c>
      <c r="Q3407" t="n">
        <v>0</v>
      </c>
      <c r="R3407" s="2" t="inlineStr"/>
    </row>
    <row r="3408" ht="15" customHeight="1">
      <c r="A3408" t="inlineStr">
        <is>
          <t>A 45829-2023</t>
        </is>
      </c>
      <c r="B3408" s="1" t="n">
        <v>45195</v>
      </c>
      <c r="C3408" s="1" t="n">
        <v>45358</v>
      </c>
      <c r="D3408" t="inlineStr">
        <is>
          <t>HALLANDS LÄN</t>
        </is>
      </c>
      <c r="E3408" t="inlineStr">
        <is>
          <t>FALKENBERG</t>
        </is>
      </c>
      <c r="G3408" t="n">
        <v>1.8</v>
      </c>
      <c r="H3408" t="n">
        <v>0</v>
      </c>
      <c r="I3408" t="n">
        <v>0</v>
      </c>
      <c r="J3408" t="n">
        <v>0</v>
      </c>
      <c r="K3408" t="n">
        <v>0</v>
      </c>
      <c r="L3408" t="n">
        <v>0</v>
      </c>
      <c r="M3408" t="n">
        <v>0</v>
      </c>
      <c r="N3408" t="n">
        <v>0</v>
      </c>
      <c r="O3408" t="n">
        <v>0</v>
      </c>
      <c r="P3408" t="n">
        <v>0</v>
      </c>
      <c r="Q3408" t="n">
        <v>0</v>
      </c>
      <c r="R3408" s="2" t="inlineStr"/>
    </row>
    <row r="3409" ht="15" customHeight="1">
      <c r="A3409" t="inlineStr">
        <is>
          <t>A 45858-2023</t>
        </is>
      </c>
      <c r="B3409" s="1" t="n">
        <v>45195</v>
      </c>
      <c r="C3409" s="1" t="n">
        <v>45358</v>
      </c>
      <c r="D3409" t="inlineStr">
        <is>
          <t>HALLANDS LÄN</t>
        </is>
      </c>
      <c r="E3409" t="inlineStr">
        <is>
          <t>LAHOLM</t>
        </is>
      </c>
      <c r="G3409" t="n">
        <v>0.9</v>
      </c>
      <c r="H3409" t="n">
        <v>0</v>
      </c>
      <c r="I3409" t="n">
        <v>0</v>
      </c>
      <c r="J3409" t="n">
        <v>0</v>
      </c>
      <c r="K3409" t="n">
        <v>0</v>
      </c>
      <c r="L3409" t="n">
        <v>0</v>
      </c>
      <c r="M3409" t="n">
        <v>0</v>
      </c>
      <c r="N3409" t="n">
        <v>0</v>
      </c>
      <c r="O3409" t="n">
        <v>0</v>
      </c>
      <c r="P3409" t="n">
        <v>0</v>
      </c>
      <c r="Q3409" t="n">
        <v>0</v>
      </c>
      <c r="R3409" s="2" t="inlineStr"/>
    </row>
    <row r="3410" ht="15" customHeight="1">
      <c r="A3410" t="inlineStr">
        <is>
          <t>A 45699-2023</t>
        </is>
      </c>
      <c r="B3410" s="1" t="n">
        <v>45195</v>
      </c>
      <c r="C3410" s="1" t="n">
        <v>45358</v>
      </c>
      <c r="D3410" t="inlineStr">
        <is>
          <t>HALLANDS LÄN</t>
        </is>
      </c>
      <c r="E3410" t="inlineStr">
        <is>
          <t>LAHOLM</t>
        </is>
      </c>
      <c r="G3410" t="n">
        <v>3.4</v>
      </c>
      <c r="H3410" t="n">
        <v>0</v>
      </c>
      <c r="I3410" t="n">
        <v>0</v>
      </c>
      <c r="J3410" t="n">
        <v>0</v>
      </c>
      <c r="K3410" t="n">
        <v>0</v>
      </c>
      <c r="L3410" t="n">
        <v>0</v>
      </c>
      <c r="M3410" t="n">
        <v>0</v>
      </c>
      <c r="N3410" t="n">
        <v>0</v>
      </c>
      <c r="O3410" t="n">
        <v>0</v>
      </c>
      <c r="P3410" t="n">
        <v>0</v>
      </c>
      <c r="Q3410" t="n">
        <v>0</v>
      </c>
      <c r="R3410" s="2" t="inlineStr"/>
    </row>
    <row r="3411" ht="15" customHeight="1">
      <c r="A3411" t="inlineStr">
        <is>
          <t>A 46655-2023</t>
        </is>
      </c>
      <c r="B3411" s="1" t="n">
        <v>45195</v>
      </c>
      <c r="C3411" s="1" t="n">
        <v>45358</v>
      </c>
      <c r="D3411" t="inlineStr">
        <is>
          <t>HALLANDS LÄN</t>
        </is>
      </c>
      <c r="E3411" t="inlineStr">
        <is>
          <t>LAHOLM</t>
        </is>
      </c>
      <c r="G3411" t="n">
        <v>3</v>
      </c>
      <c r="H3411" t="n">
        <v>0</v>
      </c>
      <c r="I3411" t="n">
        <v>0</v>
      </c>
      <c r="J3411" t="n">
        <v>0</v>
      </c>
      <c r="K3411" t="n">
        <v>0</v>
      </c>
      <c r="L3411" t="n">
        <v>0</v>
      </c>
      <c r="M3411" t="n">
        <v>0</v>
      </c>
      <c r="N3411" t="n">
        <v>0</v>
      </c>
      <c r="O3411" t="n">
        <v>0</v>
      </c>
      <c r="P3411" t="n">
        <v>0</v>
      </c>
      <c r="Q3411" t="n">
        <v>0</v>
      </c>
      <c r="R3411" s="2" t="inlineStr"/>
    </row>
    <row r="3412" ht="15" customHeight="1">
      <c r="A3412" t="inlineStr">
        <is>
          <t>A 45855-2023</t>
        </is>
      </c>
      <c r="B3412" s="1" t="n">
        <v>45195</v>
      </c>
      <c r="C3412" s="1" t="n">
        <v>45358</v>
      </c>
      <c r="D3412" t="inlineStr">
        <is>
          <t>HALLANDS LÄN</t>
        </is>
      </c>
      <c r="E3412" t="inlineStr">
        <is>
          <t>LAHOLM</t>
        </is>
      </c>
      <c r="G3412" t="n">
        <v>2.3</v>
      </c>
      <c r="H3412" t="n">
        <v>0</v>
      </c>
      <c r="I3412" t="n">
        <v>0</v>
      </c>
      <c r="J3412" t="n">
        <v>0</v>
      </c>
      <c r="K3412" t="n">
        <v>0</v>
      </c>
      <c r="L3412" t="n">
        <v>0</v>
      </c>
      <c r="M3412" t="n">
        <v>0</v>
      </c>
      <c r="N3412" t="n">
        <v>0</v>
      </c>
      <c r="O3412" t="n">
        <v>0</v>
      </c>
      <c r="P3412" t="n">
        <v>0</v>
      </c>
      <c r="Q3412" t="n">
        <v>0</v>
      </c>
      <c r="R3412" s="2" t="inlineStr"/>
    </row>
    <row r="3413" ht="15" customHeight="1">
      <c r="A3413" t="inlineStr">
        <is>
          <t>A 46643-2023</t>
        </is>
      </c>
      <c r="B3413" s="1" t="n">
        <v>45195</v>
      </c>
      <c r="C3413" s="1" t="n">
        <v>45358</v>
      </c>
      <c r="D3413" t="inlineStr">
        <is>
          <t>HALLANDS LÄN</t>
        </is>
      </c>
      <c r="E3413" t="inlineStr">
        <is>
          <t>LAHOLM</t>
        </is>
      </c>
      <c r="G3413" t="n">
        <v>2</v>
      </c>
      <c r="H3413" t="n">
        <v>0</v>
      </c>
      <c r="I3413" t="n">
        <v>0</v>
      </c>
      <c r="J3413" t="n">
        <v>0</v>
      </c>
      <c r="K3413" t="n">
        <v>0</v>
      </c>
      <c r="L3413" t="n">
        <v>0</v>
      </c>
      <c r="M3413" t="n">
        <v>0</v>
      </c>
      <c r="N3413" t="n">
        <v>0</v>
      </c>
      <c r="O3413" t="n">
        <v>0</v>
      </c>
      <c r="P3413" t="n">
        <v>0</v>
      </c>
      <c r="Q3413" t="n">
        <v>0</v>
      </c>
      <c r="R3413" s="2" t="inlineStr"/>
    </row>
    <row r="3414" ht="15" customHeight="1">
      <c r="A3414" t="inlineStr">
        <is>
          <t>A 46026-2023</t>
        </is>
      </c>
      <c r="B3414" s="1" t="n">
        <v>45196</v>
      </c>
      <c r="C3414" s="1" t="n">
        <v>45358</v>
      </c>
      <c r="D3414" t="inlineStr">
        <is>
          <t>HALLANDS LÄN</t>
        </is>
      </c>
      <c r="E3414" t="inlineStr">
        <is>
          <t>VARBERG</t>
        </is>
      </c>
      <c r="G3414" t="n">
        <v>0.9</v>
      </c>
      <c r="H3414" t="n">
        <v>0</v>
      </c>
      <c r="I3414" t="n">
        <v>0</v>
      </c>
      <c r="J3414" t="n">
        <v>0</v>
      </c>
      <c r="K3414" t="n">
        <v>0</v>
      </c>
      <c r="L3414" t="n">
        <v>0</v>
      </c>
      <c r="M3414" t="n">
        <v>0</v>
      </c>
      <c r="N3414" t="n">
        <v>0</v>
      </c>
      <c r="O3414" t="n">
        <v>0</v>
      </c>
      <c r="P3414" t="n">
        <v>0</v>
      </c>
      <c r="Q3414" t="n">
        <v>0</v>
      </c>
      <c r="R3414" s="2" t="inlineStr"/>
    </row>
    <row r="3415" ht="15" customHeight="1">
      <c r="A3415" t="inlineStr">
        <is>
          <t>A 46104-2023</t>
        </is>
      </c>
      <c r="B3415" s="1" t="n">
        <v>45196</v>
      </c>
      <c r="C3415" s="1" t="n">
        <v>45358</v>
      </c>
      <c r="D3415" t="inlineStr">
        <is>
          <t>HALLANDS LÄN</t>
        </is>
      </c>
      <c r="E3415" t="inlineStr">
        <is>
          <t>HALMSTAD</t>
        </is>
      </c>
      <c r="G3415" t="n">
        <v>2</v>
      </c>
      <c r="H3415" t="n">
        <v>0</v>
      </c>
      <c r="I3415" t="n">
        <v>0</v>
      </c>
      <c r="J3415" t="n">
        <v>0</v>
      </c>
      <c r="K3415" t="n">
        <v>0</v>
      </c>
      <c r="L3415" t="n">
        <v>0</v>
      </c>
      <c r="M3415" t="n">
        <v>0</v>
      </c>
      <c r="N3415" t="n">
        <v>0</v>
      </c>
      <c r="O3415" t="n">
        <v>0</v>
      </c>
      <c r="P3415" t="n">
        <v>0</v>
      </c>
      <c r="Q3415" t="n">
        <v>0</v>
      </c>
      <c r="R3415" s="2" t="inlineStr"/>
    </row>
    <row r="3416" ht="15" customHeight="1">
      <c r="A3416" t="inlineStr">
        <is>
          <t>A 46242-2023</t>
        </is>
      </c>
      <c r="B3416" s="1" t="n">
        <v>45196</v>
      </c>
      <c r="C3416" s="1" t="n">
        <v>45358</v>
      </c>
      <c r="D3416" t="inlineStr">
        <is>
          <t>HALLANDS LÄN</t>
        </is>
      </c>
      <c r="E3416" t="inlineStr">
        <is>
          <t>FALKENBERG</t>
        </is>
      </c>
      <c r="G3416" t="n">
        <v>1.8</v>
      </c>
      <c r="H3416" t="n">
        <v>0</v>
      </c>
      <c r="I3416" t="n">
        <v>0</v>
      </c>
      <c r="J3416" t="n">
        <v>0</v>
      </c>
      <c r="K3416" t="n">
        <v>0</v>
      </c>
      <c r="L3416" t="n">
        <v>0</v>
      </c>
      <c r="M3416" t="n">
        <v>0</v>
      </c>
      <c r="N3416" t="n">
        <v>0</v>
      </c>
      <c r="O3416" t="n">
        <v>0</v>
      </c>
      <c r="P3416" t="n">
        <v>0</v>
      </c>
      <c r="Q3416" t="n">
        <v>0</v>
      </c>
      <c r="R3416" s="2" t="inlineStr"/>
    </row>
    <row r="3417" ht="15" customHeight="1">
      <c r="A3417" t="inlineStr">
        <is>
          <t>A 46062-2023</t>
        </is>
      </c>
      <c r="B3417" s="1" t="n">
        <v>45196</v>
      </c>
      <c r="C3417" s="1" t="n">
        <v>45358</v>
      </c>
      <c r="D3417" t="inlineStr">
        <is>
          <t>HALLANDS LÄN</t>
        </is>
      </c>
      <c r="E3417" t="inlineStr">
        <is>
          <t>FALKENBERG</t>
        </is>
      </c>
      <c r="G3417" t="n">
        <v>2.6</v>
      </c>
      <c r="H3417" t="n">
        <v>0</v>
      </c>
      <c r="I3417" t="n">
        <v>0</v>
      </c>
      <c r="J3417" t="n">
        <v>0</v>
      </c>
      <c r="K3417" t="n">
        <v>0</v>
      </c>
      <c r="L3417" t="n">
        <v>0</v>
      </c>
      <c r="M3417" t="n">
        <v>0</v>
      </c>
      <c r="N3417" t="n">
        <v>0</v>
      </c>
      <c r="O3417" t="n">
        <v>0</v>
      </c>
      <c r="P3417" t="n">
        <v>0</v>
      </c>
      <c r="Q3417" t="n">
        <v>0</v>
      </c>
      <c r="R3417" s="2" t="inlineStr"/>
    </row>
    <row r="3418" ht="15" customHeight="1">
      <c r="A3418" t="inlineStr">
        <is>
          <t>A 46059-2023</t>
        </is>
      </c>
      <c r="B3418" s="1" t="n">
        <v>45196</v>
      </c>
      <c r="C3418" s="1" t="n">
        <v>45358</v>
      </c>
      <c r="D3418" t="inlineStr">
        <is>
          <t>HALLANDS LÄN</t>
        </is>
      </c>
      <c r="E3418" t="inlineStr">
        <is>
          <t>FALKENBERG</t>
        </is>
      </c>
      <c r="G3418" t="n">
        <v>1.7</v>
      </c>
      <c r="H3418" t="n">
        <v>0</v>
      </c>
      <c r="I3418" t="n">
        <v>0</v>
      </c>
      <c r="J3418" t="n">
        <v>0</v>
      </c>
      <c r="K3418" t="n">
        <v>0</v>
      </c>
      <c r="L3418" t="n">
        <v>0</v>
      </c>
      <c r="M3418" t="n">
        <v>0</v>
      </c>
      <c r="N3418" t="n">
        <v>0</v>
      </c>
      <c r="O3418" t="n">
        <v>0</v>
      </c>
      <c r="P3418" t="n">
        <v>0</v>
      </c>
      <c r="Q3418" t="n">
        <v>0</v>
      </c>
      <c r="R3418" s="2" t="inlineStr"/>
    </row>
    <row r="3419" ht="15" customHeight="1">
      <c r="A3419" t="inlineStr">
        <is>
          <t>A 46236-2023</t>
        </is>
      </c>
      <c r="B3419" s="1" t="n">
        <v>45196</v>
      </c>
      <c r="C3419" s="1" t="n">
        <v>45358</v>
      </c>
      <c r="D3419" t="inlineStr">
        <is>
          <t>HALLANDS LÄN</t>
        </is>
      </c>
      <c r="E3419" t="inlineStr">
        <is>
          <t>VARBERG</t>
        </is>
      </c>
      <c r="G3419" t="n">
        <v>8.300000000000001</v>
      </c>
      <c r="H3419" t="n">
        <v>0</v>
      </c>
      <c r="I3419" t="n">
        <v>0</v>
      </c>
      <c r="J3419" t="n">
        <v>0</v>
      </c>
      <c r="K3419" t="n">
        <v>0</v>
      </c>
      <c r="L3419" t="n">
        <v>0</v>
      </c>
      <c r="M3419" t="n">
        <v>0</v>
      </c>
      <c r="N3419" t="n">
        <v>0</v>
      </c>
      <c r="O3419" t="n">
        <v>0</v>
      </c>
      <c r="P3419" t="n">
        <v>0</v>
      </c>
      <c r="Q3419" t="n">
        <v>0</v>
      </c>
      <c r="R3419" s="2" t="inlineStr"/>
    </row>
    <row r="3420" ht="15" customHeight="1">
      <c r="A3420" t="inlineStr">
        <is>
          <t>A 46421-2023</t>
        </is>
      </c>
      <c r="B3420" s="1" t="n">
        <v>45197</v>
      </c>
      <c r="C3420" s="1" t="n">
        <v>45358</v>
      </c>
      <c r="D3420" t="inlineStr">
        <is>
          <t>HALLANDS LÄN</t>
        </is>
      </c>
      <c r="E3420" t="inlineStr">
        <is>
          <t>VARBERG</t>
        </is>
      </c>
      <c r="G3420" t="n">
        <v>2.3</v>
      </c>
      <c r="H3420" t="n">
        <v>0</v>
      </c>
      <c r="I3420" t="n">
        <v>0</v>
      </c>
      <c r="J3420" t="n">
        <v>0</v>
      </c>
      <c r="K3420" t="n">
        <v>0</v>
      </c>
      <c r="L3420" t="n">
        <v>0</v>
      </c>
      <c r="M3420" t="n">
        <v>0</v>
      </c>
      <c r="N3420" t="n">
        <v>0</v>
      </c>
      <c r="O3420" t="n">
        <v>0</v>
      </c>
      <c r="P3420" t="n">
        <v>0</v>
      </c>
      <c r="Q3420" t="n">
        <v>0</v>
      </c>
      <c r="R3420" s="2" t="inlineStr"/>
    </row>
    <row r="3421" ht="15" customHeight="1">
      <c r="A3421" t="inlineStr">
        <is>
          <t>A 46395-2023</t>
        </is>
      </c>
      <c r="B3421" s="1" t="n">
        <v>45197</v>
      </c>
      <c r="C3421" s="1" t="n">
        <v>45358</v>
      </c>
      <c r="D3421" t="inlineStr">
        <is>
          <t>HALLANDS LÄN</t>
        </is>
      </c>
      <c r="E3421" t="inlineStr">
        <is>
          <t>VARBERG</t>
        </is>
      </c>
      <c r="G3421" t="n">
        <v>2</v>
      </c>
      <c r="H3421" t="n">
        <v>0</v>
      </c>
      <c r="I3421" t="n">
        <v>0</v>
      </c>
      <c r="J3421" t="n">
        <v>0</v>
      </c>
      <c r="K3421" t="n">
        <v>0</v>
      </c>
      <c r="L3421" t="n">
        <v>0</v>
      </c>
      <c r="M3421" t="n">
        <v>0</v>
      </c>
      <c r="N3421" t="n">
        <v>0</v>
      </c>
      <c r="O3421" t="n">
        <v>0</v>
      </c>
      <c r="P3421" t="n">
        <v>0</v>
      </c>
      <c r="Q3421" t="n">
        <v>0</v>
      </c>
      <c r="R3421" s="2" t="inlineStr"/>
    </row>
    <row r="3422" ht="15" customHeight="1">
      <c r="A3422" t="inlineStr">
        <is>
          <t>A 46692-2023</t>
        </is>
      </c>
      <c r="B3422" s="1" t="n">
        <v>45198</v>
      </c>
      <c r="C3422" s="1" t="n">
        <v>45358</v>
      </c>
      <c r="D3422" t="inlineStr">
        <is>
          <t>HALLANDS LÄN</t>
        </is>
      </c>
      <c r="E3422" t="inlineStr">
        <is>
          <t>HYLTE</t>
        </is>
      </c>
      <c r="G3422" t="n">
        <v>0.7</v>
      </c>
      <c r="H3422" t="n">
        <v>0</v>
      </c>
      <c r="I3422" t="n">
        <v>0</v>
      </c>
      <c r="J3422" t="n">
        <v>0</v>
      </c>
      <c r="K3422" t="n">
        <v>0</v>
      </c>
      <c r="L3422" t="n">
        <v>0</v>
      </c>
      <c r="M3422" t="n">
        <v>0</v>
      </c>
      <c r="N3422" t="n">
        <v>0</v>
      </c>
      <c r="O3422" t="n">
        <v>0</v>
      </c>
      <c r="P3422" t="n">
        <v>0</v>
      </c>
      <c r="Q3422" t="n">
        <v>0</v>
      </c>
      <c r="R3422" s="2" t="inlineStr"/>
    </row>
    <row r="3423" ht="15" customHeight="1">
      <c r="A3423" t="inlineStr">
        <is>
          <t>A 46737-2023</t>
        </is>
      </c>
      <c r="B3423" s="1" t="n">
        <v>45198</v>
      </c>
      <c r="C3423" s="1" t="n">
        <v>45358</v>
      </c>
      <c r="D3423" t="inlineStr">
        <is>
          <t>HALLANDS LÄN</t>
        </is>
      </c>
      <c r="E3423" t="inlineStr">
        <is>
          <t>VARBERG</t>
        </is>
      </c>
      <c r="G3423" t="n">
        <v>1.7</v>
      </c>
      <c r="H3423" t="n">
        <v>0</v>
      </c>
      <c r="I3423" t="n">
        <v>0</v>
      </c>
      <c r="J3423" t="n">
        <v>0</v>
      </c>
      <c r="K3423" t="n">
        <v>0</v>
      </c>
      <c r="L3423" t="n">
        <v>0</v>
      </c>
      <c r="M3423" t="n">
        <v>0</v>
      </c>
      <c r="N3423" t="n">
        <v>0</v>
      </c>
      <c r="O3423" t="n">
        <v>0</v>
      </c>
      <c r="P3423" t="n">
        <v>0</v>
      </c>
      <c r="Q3423" t="n">
        <v>0</v>
      </c>
      <c r="R3423" s="2" t="inlineStr"/>
    </row>
    <row r="3424" ht="15" customHeight="1">
      <c r="A3424" t="inlineStr">
        <is>
          <t>A 46777-2023</t>
        </is>
      </c>
      <c r="B3424" s="1" t="n">
        <v>45198</v>
      </c>
      <c r="C3424" s="1" t="n">
        <v>45358</v>
      </c>
      <c r="D3424" t="inlineStr">
        <is>
          <t>HALLANDS LÄN</t>
        </is>
      </c>
      <c r="E3424" t="inlineStr">
        <is>
          <t>FALKENBERG</t>
        </is>
      </c>
      <c r="G3424" t="n">
        <v>1.8</v>
      </c>
      <c r="H3424" t="n">
        <v>0</v>
      </c>
      <c r="I3424" t="n">
        <v>0</v>
      </c>
      <c r="J3424" t="n">
        <v>0</v>
      </c>
      <c r="K3424" t="n">
        <v>0</v>
      </c>
      <c r="L3424" t="n">
        <v>0</v>
      </c>
      <c r="M3424" t="n">
        <v>0</v>
      </c>
      <c r="N3424" t="n">
        <v>0</v>
      </c>
      <c r="O3424" t="n">
        <v>0</v>
      </c>
      <c r="P3424" t="n">
        <v>0</v>
      </c>
      <c r="Q3424" t="n">
        <v>0</v>
      </c>
      <c r="R3424" s="2" t="inlineStr"/>
    </row>
    <row r="3425" ht="15" customHeight="1">
      <c r="A3425" t="inlineStr">
        <is>
          <t>A 46782-2023</t>
        </is>
      </c>
      <c r="B3425" s="1" t="n">
        <v>45198</v>
      </c>
      <c r="C3425" s="1" t="n">
        <v>45358</v>
      </c>
      <c r="D3425" t="inlineStr">
        <is>
          <t>HALLANDS LÄN</t>
        </is>
      </c>
      <c r="E3425" t="inlineStr">
        <is>
          <t>FALKENBERG</t>
        </is>
      </c>
      <c r="G3425" t="n">
        <v>2.1</v>
      </c>
      <c r="H3425" t="n">
        <v>0</v>
      </c>
      <c r="I3425" t="n">
        <v>0</v>
      </c>
      <c r="J3425" t="n">
        <v>0</v>
      </c>
      <c r="K3425" t="n">
        <v>0</v>
      </c>
      <c r="L3425" t="n">
        <v>0</v>
      </c>
      <c r="M3425" t="n">
        <v>0</v>
      </c>
      <c r="N3425" t="n">
        <v>0</v>
      </c>
      <c r="O3425" t="n">
        <v>0</v>
      </c>
      <c r="P3425" t="n">
        <v>0</v>
      </c>
      <c r="Q3425" t="n">
        <v>0</v>
      </c>
      <c r="R3425" s="2" t="inlineStr"/>
    </row>
    <row r="3426" ht="15" customHeight="1">
      <c r="A3426" t="inlineStr">
        <is>
          <t>A 46828-2023</t>
        </is>
      </c>
      <c r="B3426" s="1" t="n">
        <v>45199</v>
      </c>
      <c r="C3426" s="1" t="n">
        <v>45358</v>
      </c>
      <c r="D3426" t="inlineStr">
        <is>
          <t>HALLANDS LÄN</t>
        </is>
      </c>
      <c r="E3426" t="inlineStr">
        <is>
          <t>LAHOLM</t>
        </is>
      </c>
      <c r="G3426" t="n">
        <v>9.5</v>
      </c>
      <c r="H3426" t="n">
        <v>0</v>
      </c>
      <c r="I3426" t="n">
        <v>0</v>
      </c>
      <c r="J3426" t="n">
        <v>0</v>
      </c>
      <c r="K3426" t="n">
        <v>0</v>
      </c>
      <c r="L3426" t="n">
        <v>0</v>
      </c>
      <c r="M3426" t="n">
        <v>0</v>
      </c>
      <c r="N3426" t="n">
        <v>0</v>
      </c>
      <c r="O3426" t="n">
        <v>0</v>
      </c>
      <c r="P3426" t="n">
        <v>0</v>
      </c>
      <c r="Q3426" t="n">
        <v>0</v>
      </c>
      <c r="R3426" s="2" t="inlineStr"/>
    </row>
    <row r="3427" ht="15" customHeight="1">
      <c r="A3427" t="inlineStr">
        <is>
          <t>A 46827-2023</t>
        </is>
      </c>
      <c r="B3427" s="1" t="n">
        <v>45199</v>
      </c>
      <c r="C3427" s="1" t="n">
        <v>45358</v>
      </c>
      <c r="D3427" t="inlineStr">
        <is>
          <t>HALLANDS LÄN</t>
        </is>
      </c>
      <c r="E3427" t="inlineStr">
        <is>
          <t>LAHOLM</t>
        </is>
      </c>
      <c r="G3427" t="n">
        <v>1.2</v>
      </c>
      <c r="H3427" t="n">
        <v>0</v>
      </c>
      <c r="I3427" t="n">
        <v>0</v>
      </c>
      <c r="J3427" t="n">
        <v>0</v>
      </c>
      <c r="K3427" t="n">
        <v>0</v>
      </c>
      <c r="L3427" t="n">
        <v>0</v>
      </c>
      <c r="M3427" t="n">
        <v>0</v>
      </c>
      <c r="N3427" t="n">
        <v>0</v>
      </c>
      <c r="O3427" t="n">
        <v>0</v>
      </c>
      <c r="P3427" t="n">
        <v>0</v>
      </c>
      <c r="Q3427" t="n">
        <v>0</v>
      </c>
      <c r="R3427" s="2" t="inlineStr"/>
    </row>
    <row r="3428" ht="15" customHeight="1">
      <c r="A3428" t="inlineStr">
        <is>
          <t>A 46829-2023</t>
        </is>
      </c>
      <c r="B3428" s="1" t="n">
        <v>45199</v>
      </c>
      <c r="C3428" s="1" t="n">
        <v>45358</v>
      </c>
      <c r="D3428" t="inlineStr">
        <is>
          <t>HALLANDS LÄN</t>
        </is>
      </c>
      <c r="E3428" t="inlineStr">
        <is>
          <t>LAHOLM</t>
        </is>
      </c>
      <c r="G3428" t="n">
        <v>6.1</v>
      </c>
      <c r="H3428" t="n">
        <v>0</v>
      </c>
      <c r="I3428" t="n">
        <v>0</v>
      </c>
      <c r="J3428" t="n">
        <v>0</v>
      </c>
      <c r="K3428" t="n">
        <v>0</v>
      </c>
      <c r="L3428" t="n">
        <v>0</v>
      </c>
      <c r="M3428" t="n">
        <v>0</v>
      </c>
      <c r="N3428" t="n">
        <v>0</v>
      </c>
      <c r="O3428" t="n">
        <v>0</v>
      </c>
      <c r="P3428" t="n">
        <v>0</v>
      </c>
      <c r="Q3428" t="n">
        <v>0</v>
      </c>
      <c r="R3428" s="2" t="inlineStr"/>
    </row>
    <row r="3429" ht="15" customHeight="1">
      <c r="A3429" t="inlineStr">
        <is>
          <t>A 46845-2023</t>
        </is>
      </c>
      <c r="B3429" s="1" t="n">
        <v>45199</v>
      </c>
      <c r="C3429" s="1" t="n">
        <v>45358</v>
      </c>
      <c r="D3429" t="inlineStr">
        <is>
          <t>HALLANDS LÄN</t>
        </is>
      </c>
      <c r="E3429" t="inlineStr">
        <is>
          <t>HYLTE</t>
        </is>
      </c>
      <c r="G3429" t="n">
        <v>2.1</v>
      </c>
      <c r="H3429" t="n">
        <v>0</v>
      </c>
      <c r="I3429" t="n">
        <v>0</v>
      </c>
      <c r="J3429" t="n">
        <v>0</v>
      </c>
      <c r="K3429" t="n">
        <v>0</v>
      </c>
      <c r="L3429" t="n">
        <v>0</v>
      </c>
      <c r="M3429" t="n">
        <v>0</v>
      </c>
      <c r="N3429" t="n">
        <v>0</v>
      </c>
      <c r="O3429" t="n">
        <v>0</v>
      </c>
      <c r="P3429" t="n">
        <v>0</v>
      </c>
      <c r="Q3429" t="n">
        <v>0</v>
      </c>
      <c r="R3429" s="2" t="inlineStr"/>
    </row>
    <row r="3430" ht="15" customHeight="1">
      <c r="A3430" t="inlineStr">
        <is>
          <t>A 46846-2023</t>
        </is>
      </c>
      <c r="B3430" s="1" t="n">
        <v>45199</v>
      </c>
      <c r="C3430" s="1" t="n">
        <v>45358</v>
      </c>
      <c r="D3430" t="inlineStr">
        <is>
          <t>HALLANDS LÄN</t>
        </is>
      </c>
      <c r="E3430" t="inlineStr">
        <is>
          <t>HYLTE</t>
        </is>
      </c>
      <c r="G3430" t="n">
        <v>2.1</v>
      </c>
      <c r="H3430" t="n">
        <v>0</v>
      </c>
      <c r="I3430" t="n">
        <v>0</v>
      </c>
      <c r="J3430" t="n">
        <v>0</v>
      </c>
      <c r="K3430" t="n">
        <v>0</v>
      </c>
      <c r="L3430" t="n">
        <v>0</v>
      </c>
      <c r="M3430" t="n">
        <v>0</v>
      </c>
      <c r="N3430" t="n">
        <v>0</v>
      </c>
      <c r="O3430" t="n">
        <v>0</v>
      </c>
      <c r="P3430" t="n">
        <v>0</v>
      </c>
      <c r="Q3430" t="n">
        <v>0</v>
      </c>
      <c r="R3430" s="2" t="inlineStr"/>
    </row>
    <row r="3431" ht="15" customHeight="1">
      <c r="A3431" t="inlineStr">
        <is>
          <t>A 46877-2023</t>
        </is>
      </c>
      <c r="B3431" s="1" t="n">
        <v>45200</v>
      </c>
      <c r="C3431" s="1" t="n">
        <v>45358</v>
      </c>
      <c r="D3431" t="inlineStr">
        <is>
          <t>HALLANDS LÄN</t>
        </is>
      </c>
      <c r="E3431" t="inlineStr">
        <is>
          <t>VARBERG</t>
        </is>
      </c>
      <c r="G3431" t="n">
        <v>8.800000000000001</v>
      </c>
      <c r="H3431" t="n">
        <v>0</v>
      </c>
      <c r="I3431" t="n">
        <v>0</v>
      </c>
      <c r="J3431" t="n">
        <v>0</v>
      </c>
      <c r="K3431" t="n">
        <v>0</v>
      </c>
      <c r="L3431" t="n">
        <v>0</v>
      </c>
      <c r="M3431" t="n">
        <v>0</v>
      </c>
      <c r="N3431" t="n">
        <v>0</v>
      </c>
      <c r="O3431" t="n">
        <v>0</v>
      </c>
      <c r="P3431" t="n">
        <v>0</v>
      </c>
      <c r="Q3431" t="n">
        <v>0</v>
      </c>
      <c r="R3431" s="2" t="inlineStr"/>
    </row>
    <row r="3432" ht="15" customHeight="1">
      <c r="A3432" t="inlineStr">
        <is>
          <t>A 46924-2023</t>
        </is>
      </c>
      <c r="B3432" s="1" t="n">
        <v>45201</v>
      </c>
      <c r="C3432" s="1" t="n">
        <v>45358</v>
      </c>
      <c r="D3432" t="inlineStr">
        <is>
          <t>HALLANDS LÄN</t>
        </is>
      </c>
      <c r="E3432" t="inlineStr">
        <is>
          <t>FALKENBERG</t>
        </is>
      </c>
      <c r="F3432" t="inlineStr">
        <is>
          <t>Kyrkan</t>
        </is>
      </c>
      <c r="G3432" t="n">
        <v>4</v>
      </c>
      <c r="H3432" t="n">
        <v>0</v>
      </c>
      <c r="I3432" t="n">
        <v>0</v>
      </c>
      <c r="J3432" t="n">
        <v>0</v>
      </c>
      <c r="K3432" t="n">
        <v>0</v>
      </c>
      <c r="L3432" t="n">
        <v>0</v>
      </c>
      <c r="M3432" t="n">
        <v>0</v>
      </c>
      <c r="N3432" t="n">
        <v>0</v>
      </c>
      <c r="O3432" t="n">
        <v>0</v>
      </c>
      <c r="P3432" t="n">
        <v>0</v>
      </c>
      <c r="Q3432" t="n">
        <v>0</v>
      </c>
      <c r="R3432" s="2" t="inlineStr"/>
    </row>
    <row r="3433" ht="15" customHeight="1">
      <c r="A3433" t="inlineStr">
        <is>
          <t>A 47101-2023</t>
        </is>
      </c>
      <c r="B3433" s="1" t="n">
        <v>45201</v>
      </c>
      <c r="C3433" s="1" t="n">
        <v>45358</v>
      </c>
      <c r="D3433" t="inlineStr">
        <is>
          <t>HALLANDS LÄN</t>
        </is>
      </c>
      <c r="E3433" t="inlineStr">
        <is>
          <t>LAHOLM</t>
        </is>
      </c>
      <c r="G3433" t="n">
        <v>2.1</v>
      </c>
      <c r="H3433" t="n">
        <v>0</v>
      </c>
      <c r="I3433" t="n">
        <v>0</v>
      </c>
      <c r="J3433" t="n">
        <v>0</v>
      </c>
      <c r="K3433" t="n">
        <v>0</v>
      </c>
      <c r="L3433" t="n">
        <v>0</v>
      </c>
      <c r="M3433" t="n">
        <v>0</v>
      </c>
      <c r="N3433" t="n">
        <v>0</v>
      </c>
      <c r="O3433" t="n">
        <v>0</v>
      </c>
      <c r="P3433" t="n">
        <v>0</v>
      </c>
      <c r="Q3433" t="n">
        <v>0</v>
      </c>
      <c r="R3433" s="2" t="inlineStr"/>
    </row>
    <row r="3434" ht="15" customHeight="1">
      <c r="A3434" t="inlineStr">
        <is>
          <t>A 47395-2023</t>
        </is>
      </c>
      <c r="B3434" s="1" t="n">
        <v>45202</v>
      </c>
      <c r="C3434" s="1" t="n">
        <v>45358</v>
      </c>
      <c r="D3434" t="inlineStr">
        <is>
          <t>HALLANDS LÄN</t>
        </is>
      </c>
      <c r="E3434" t="inlineStr">
        <is>
          <t>KUNGSBACKA</t>
        </is>
      </c>
      <c r="G3434" t="n">
        <v>1.3</v>
      </c>
      <c r="H3434" t="n">
        <v>0</v>
      </c>
      <c r="I3434" t="n">
        <v>0</v>
      </c>
      <c r="J3434" t="n">
        <v>0</v>
      </c>
      <c r="K3434" t="n">
        <v>0</v>
      </c>
      <c r="L3434" t="n">
        <v>0</v>
      </c>
      <c r="M3434" t="n">
        <v>0</v>
      </c>
      <c r="N3434" t="n">
        <v>0</v>
      </c>
      <c r="O3434" t="n">
        <v>0</v>
      </c>
      <c r="P3434" t="n">
        <v>0</v>
      </c>
      <c r="Q3434" t="n">
        <v>0</v>
      </c>
      <c r="R3434" s="2" t="inlineStr"/>
    </row>
    <row r="3435" ht="15" customHeight="1">
      <c r="A3435" t="inlineStr">
        <is>
          <t>A 47393-2023</t>
        </is>
      </c>
      <c r="B3435" s="1" t="n">
        <v>45202</v>
      </c>
      <c r="C3435" s="1" t="n">
        <v>45358</v>
      </c>
      <c r="D3435" t="inlineStr">
        <is>
          <t>HALLANDS LÄN</t>
        </is>
      </c>
      <c r="E3435" t="inlineStr">
        <is>
          <t>KUNGSBACKA</t>
        </is>
      </c>
      <c r="G3435" t="n">
        <v>0.7</v>
      </c>
      <c r="H3435" t="n">
        <v>0</v>
      </c>
      <c r="I3435" t="n">
        <v>0</v>
      </c>
      <c r="J3435" t="n">
        <v>0</v>
      </c>
      <c r="K3435" t="n">
        <v>0</v>
      </c>
      <c r="L3435" t="n">
        <v>0</v>
      </c>
      <c r="M3435" t="n">
        <v>0</v>
      </c>
      <c r="N3435" t="n">
        <v>0</v>
      </c>
      <c r="O3435" t="n">
        <v>0</v>
      </c>
      <c r="P3435" t="n">
        <v>0</v>
      </c>
      <c r="Q3435" t="n">
        <v>0</v>
      </c>
      <c r="R3435" s="2" t="inlineStr"/>
    </row>
    <row r="3436" ht="15" customHeight="1">
      <c r="A3436" t="inlineStr">
        <is>
          <t>A 47423-2023</t>
        </is>
      </c>
      <c r="B3436" s="1" t="n">
        <v>45202</v>
      </c>
      <c r="C3436" s="1" t="n">
        <v>45358</v>
      </c>
      <c r="D3436" t="inlineStr">
        <is>
          <t>HALLANDS LÄN</t>
        </is>
      </c>
      <c r="E3436" t="inlineStr">
        <is>
          <t>FALKENBERG</t>
        </is>
      </c>
      <c r="G3436" t="n">
        <v>0.5</v>
      </c>
      <c r="H3436" t="n">
        <v>0</v>
      </c>
      <c r="I3436" t="n">
        <v>0</v>
      </c>
      <c r="J3436" t="n">
        <v>0</v>
      </c>
      <c r="K3436" t="n">
        <v>0</v>
      </c>
      <c r="L3436" t="n">
        <v>0</v>
      </c>
      <c r="M3436" t="n">
        <v>0</v>
      </c>
      <c r="N3436" t="n">
        <v>0</v>
      </c>
      <c r="O3436" t="n">
        <v>0</v>
      </c>
      <c r="P3436" t="n">
        <v>0</v>
      </c>
      <c r="Q3436" t="n">
        <v>0</v>
      </c>
      <c r="R3436" s="2" t="inlineStr"/>
    </row>
    <row r="3437" ht="15" customHeight="1">
      <c r="A3437" t="inlineStr">
        <is>
          <t>A 47422-2023</t>
        </is>
      </c>
      <c r="B3437" s="1" t="n">
        <v>45202</v>
      </c>
      <c r="C3437" s="1" t="n">
        <v>45358</v>
      </c>
      <c r="D3437" t="inlineStr">
        <is>
          <t>HALLANDS LÄN</t>
        </is>
      </c>
      <c r="E3437" t="inlineStr">
        <is>
          <t>FALKENBERG</t>
        </is>
      </c>
      <c r="G3437" t="n">
        <v>1</v>
      </c>
      <c r="H3437" t="n">
        <v>0</v>
      </c>
      <c r="I3437" t="n">
        <v>0</v>
      </c>
      <c r="J3437" t="n">
        <v>0</v>
      </c>
      <c r="K3437" t="n">
        <v>0</v>
      </c>
      <c r="L3437" t="n">
        <v>0</v>
      </c>
      <c r="M3437" t="n">
        <v>0</v>
      </c>
      <c r="N3437" t="n">
        <v>0</v>
      </c>
      <c r="O3437" t="n">
        <v>0</v>
      </c>
      <c r="P3437" t="n">
        <v>0</v>
      </c>
      <c r="Q3437" t="n">
        <v>0</v>
      </c>
      <c r="R3437" s="2" t="inlineStr"/>
    </row>
    <row r="3438" ht="15" customHeight="1">
      <c r="A3438" t="inlineStr">
        <is>
          <t>A 47362-2023</t>
        </is>
      </c>
      <c r="B3438" s="1" t="n">
        <v>45202</v>
      </c>
      <c r="C3438" s="1" t="n">
        <v>45358</v>
      </c>
      <c r="D3438" t="inlineStr">
        <is>
          <t>HALLANDS LÄN</t>
        </is>
      </c>
      <c r="E3438" t="inlineStr">
        <is>
          <t>KUNGSBACKA</t>
        </is>
      </c>
      <c r="G3438" t="n">
        <v>10.8</v>
      </c>
      <c r="H3438" t="n">
        <v>0</v>
      </c>
      <c r="I3438" t="n">
        <v>0</v>
      </c>
      <c r="J3438" t="n">
        <v>0</v>
      </c>
      <c r="K3438" t="n">
        <v>0</v>
      </c>
      <c r="L3438" t="n">
        <v>0</v>
      </c>
      <c r="M3438" t="n">
        <v>0</v>
      </c>
      <c r="N3438" t="n">
        <v>0</v>
      </c>
      <c r="O3438" t="n">
        <v>0</v>
      </c>
      <c r="P3438" t="n">
        <v>0</v>
      </c>
      <c r="Q3438" t="n">
        <v>0</v>
      </c>
      <c r="R3438" s="2" t="inlineStr"/>
    </row>
    <row r="3439" ht="15" customHeight="1">
      <c r="A3439" t="inlineStr">
        <is>
          <t>A 47412-2023</t>
        </is>
      </c>
      <c r="B3439" s="1" t="n">
        <v>45202</v>
      </c>
      <c r="C3439" s="1" t="n">
        <v>45358</v>
      </c>
      <c r="D3439" t="inlineStr">
        <is>
          <t>HALLANDS LÄN</t>
        </is>
      </c>
      <c r="E3439" t="inlineStr">
        <is>
          <t>FALKENBERG</t>
        </is>
      </c>
      <c r="G3439" t="n">
        <v>2.6</v>
      </c>
      <c r="H3439" t="n">
        <v>0</v>
      </c>
      <c r="I3439" t="n">
        <v>0</v>
      </c>
      <c r="J3439" t="n">
        <v>0</v>
      </c>
      <c r="K3439" t="n">
        <v>0</v>
      </c>
      <c r="L3439" t="n">
        <v>0</v>
      </c>
      <c r="M3439" t="n">
        <v>0</v>
      </c>
      <c r="N3439" t="n">
        <v>0</v>
      </c>
      <c r="O3439" t="n">
        <v>0</v>
      </c>
      <c r="P3439" t="n">
        <v>0</v>
      </c>
      <c r="Q3439" t="n">
        <v>0</v>
      </c>
      <c r="R3439" s="2" t="inlineStr"/>
    </row>
    <row r="3440" ht="15" customHeight="1">
      <c r="A3440" t="inlineStr">
        <is>
          <t>A 47463-2023</t>
        </is>
      </c>
      <c r="B3440" s="1" t="n">
        <v>45202</v>
      </c>
      <c r="C3440" s="1" t="n">
        <v>45358</v>
      </c>
      <c r="D3440" t="inlineStr">
        <is>
          <t>HALLANDS LÄN</t>
        </is>
      </c>
      <c r="E3440" t="inlineStr">
        <is>
          <t>HALMSTAD</t>
        </is>
      </c>
      <c r="F3440" t="inlineStr">
        <is>
          <t>Kyrkan</t>
        </is>
      </c>
      <c r="G3440" t="n">
        <v>7.7</v>
      </c>
      <c r="H3440" t="n">
        <v>0</v>
      </c>
      <c r="I3440" t="n">
        <v>0</v>
      </c>
      <c r="J3440" t="n">
        <v>0</v>
      </c>
      <c r="K3440" t="n">
        <v>0</v>
      </c>
      <c r="L3440" t="n">
        <v>0</v>
      </c>
      <c r="M3440" t="n">
        <v>0</v>
      </c>
      <c r="N3440" t="n">
        <v>0</v>
      </c>
      <c r="O3440" t="n">
        <v>0</v>
      </c>
      <c r="P3440" t="n">
        <v>0</v>
      </c>
      <c r="Q3440" t="n">
        <v>0</v>
      </c>
      <c r="R3440" s="2" t="inlineStr"/>
    </row>
    <row r="3441" ht="15" customHeight="1">
      <c r="A3441" t="inlineStr">
        <is>
          <t>A 47589-2023</t>
        </is>
      </c>
      <c r="B3441" s="1" t="n">
        <v>45203</v>
      </c>
      <c r="C3441" s="1" t="n">
        <v>45358</v>
      </c>
      <c r="D3441" t="inlineStr">
        <is>
          <t>HALLANDS LÄN</t>
        </is>
      </c>
      <c r="E3441" t="inlineStr">
        <is>
          <t>FALKENBERG</t>
        </is>
      </c>
      <c r="G3441" t="n">
        <v>0.6</v>
      </c>
      <c r="H3441" t="n">
        <v>0</v>
      </c>
      <c r="I3441" t="n">
        <v>0</v>
      </c>
      <c r="J3441" t="n">
        <v>0</v>
      </c>
      <c r="K3441" t="n">
        <v>0</v>
      </c>
      <c r="L3441" t="n">
        <v>0</v>
      </c>
      <c r="M3441" t="n">
        <v>0</v>
      </c>
      <c r="N3441" t="n">
        <v>0</v>
      </c>
      <c r="O3441" t="n">
        <v>0</v>
      </c>
      <c r="P3441" t="n">
        <v>0</v>
      </c>
      <c r="Q3441" t="n">
        <v>0</v>
      </c>
      <c r="R3441" s="2" t="inlineStr"/>
    </row>
    <row r="3442" ht="15" customHeight="1">
      <c r="A3442" t="inlineStr">
        <is>
          <t>A 47668-2023</t>
        </is>
      </c>
      <c r="B3442" s="1" t="n">
        <v>45203</v>
      </c>
      <c r="C3442" s="1" t="n">
        <v>45358</v>
      </c>
      <c r="D3442" t="inlineStr">
        <is>
          <t>HALLANDS LÄN</t>
        </is>
      </c>
      <c r="E3442" t="inlineStr">
        <is>
          <t>HALMSTAD</t>
        </is>
      </c>
      <c r="G3442" t="n">
        <v>0.5</v>
      </c>
      <c r="H3442" t="n">
        <v>0</v>
      </c>
      <c r="I3442" t="n">
        <v>0</v>
      </c>
      <c r="J3442" t="n">
        <v>0</v>
      </c>
      <c r="K3442" t="n">
        <v>0</v>
      </c>
      <c r="L3442" t="n">
        <v>0</v>
      </c>
      <c r="M3442" t="n">
        <v>0</v>
      </c>
      <c r="N3442" t="n">
        <v>0</v>
      </c>
      <c r="O3442" t="n">
        <v>0</v>
      </c>
      <c r="P3442" t="n">
        <v>0</v>
      </c>
      <c r="Q3442" t="n">
        <v>0</v>
      </c>
      <c r="R3442" s="2" t="inlineStr"/>
    </row>
    <row r="3443" ht="15" customHeight="1">
      <c r="A3443" t="inlineStr">
        <is>
          <t>A 47671-2023</t>
        </is>
      </c>
      <c r="B3443" s="1" t="n">
        <v>45203</v>
      </c>
      <c r="C3443" s="1" t="n">
        <v>45358</v>
      </c>
      <c r="D3443" t="inlineStr">
        <is>
          <t>HALLANDS LÄN</t>
        </is>
      </c>
      <c r="E3443" t="inlineStr">
        <is>
          <t>HALMSTAD</t>
        </is>
      </c>
      <c r="G3443" t="n">
        <v>1.2</v>
      </c>
      <c r="H3443" t="n">
        <v>0</v>
      </c>
      <c r="I3443" t="n">
        <v>0</v>
      </c>
      <c r="J3443" t="n">
        <v>0</v>
      </c>
      <c r="K3443" t="n">
        <v>0</v>
      </c>
      <c r="L3443" t="n">
        <v>0</v>
      </c>
      <c r="M3443" t="n">
        <v>0</v>
      </c>
      <c r="N3443" t="n">
        <v>0</v>
      </c>
      <c r="O3443" t="n">
        <v>0</v>
      </c>
      <c r="P3443" t="n">
        <v>0</v>
      </c>
      <c r="Q3443" t="n">
        <v>0</v>
      </c>
      <c r="R3443" s="2" t="inlineStr"/>
    </row>
    <row r="3444" ht="15" customHeight="1">
      <c r="A3444" t="inlineStr">
        <is>
          <t>A 47749-2023</t>
        </is>
      </c>
      <c r="B3444" s="1" t="n">
        <v>45203</v>
      </c>
      <c r="C3444" s="1" t="n">
        <v>45358</v>
      </c>
      <c r="D3444" t="inlineStr">
        <is>
          <t>HALLANDS LÄN</t>
        </is>
      </c>
      <c r="E3444" t="inlineStr">
        <is>
          <t>FALKENBERG</t>
        </is>
      </c>
      <c r="G3444" t="n">
        <v>4.4</v>
      </c>
      <c r="H3444" t="n">
        <v>0</v>
      </c>
      <c r="I3444" t="n">
        <v>0</v>
      </c>
      <c r="J3444" t="n">
        <v>0</v>
      </c>
      <c r="K3444" t="n">
        <v>0</v>
      </c>
      <c r="L3444" t="n">
        <v>0</v>
      </c>
      <c r="M3444" t="n">
        <v>0</v>
      </c>
      <c r="N3444" t="n">
        <v>0</v>
      </c>
      <c r="O3444" t="n">
        <v>0</v>
      </c>
      <c r="P3444" t="n">
        <v>0</v>
      </c>
      <c r="Q3444" t="n">
        <v>0</v>
      </c>
      <c r="R3444" s="2" t="inlineStr"/>
    </row>
    <row r="3445" ht="15" customHeight="1">
      <c r="A3445" t="inlineStr">
        <is>
          <t>A 47622-2023</t>
        </is>
      </c>
      <c r="B3445" s="1" t="n">
        <v>45203</v>
      </c>
      <c r="C3445" s="1" t="n">
        <v>45358</v>
      </c>
      <c r="D3445" t="inlineStr">
        <is>
          <t>HALLANDS LÄN</t>
        </is>
      </c>
      <c r="E3445" t="inlineStr">
        <is>
          <t>HYLTE</t>
        </is>
      </c>
      <c r="G3445" t="n">
        <v>1.3</v>
      </c>
      <c r="H3445" t="n">
        <v>0</v>
      </c>
      <c r="I3445" t="n">
        <v>0</v>
      </c>
      <c r="J3445" t="n">
        <v>0</v>
      </c>
      <c r="K3445" t="n">
        <v>0</v>
      </c>
      <c r="L3445" t="n">
        <v>0</v>
      </c>
      <c r="M3445" t="n">
        <v>0</v>
      </c>
      <c r="N3445" t="n">
        <v>0</v>
      </c>
      <c r="O3445" t="n">
        <v>0</v>
      </c>
      <c r="P3445" t="n">
        <v>0</v>
      </c>
      <c r="Q3445" t="n">
        <v>0</v>
      </c>
      <c r="R3445" s="2" t="inlineStr"/>
    </row>
    <row r="3446" ht="15" customHeight="1">
      <c r="A3446" t="inlineStr">
        <is>
          <t>A 47662-2023</t>
        </is>
      </c>
      <c r="B3446" s="1" t="n">
        <v>45203</v>
      </c>
      <c r="C3446" s="1" t="n">
        <v>45358</v>
      </c>
      <c r="D3446" t="inlineStr">
        <is>
          <t>HALLANDS LÄN</t>
        </is>
      </c>
      <c r="E3446" t="inlineStr">
        <is>
          <t>FALKENBERG</t>
        </is>
      </c>
      <c r="F3446" t="inlineStr">
        <is>
          <t>Bergvik skog väst AB</t>
        </is>
      </c>
      <c r="G3446" t="n">
        <v>10.4</v>
      </c>
      <c r="H3446" t="n">
        <v>0</v>
      </c>
      <c r="I3446" t="n">
        <v>0</v>
      </c>
      <c r="J3446" t="n">
        <v>0</v>
      </c>
      <c r="K3446" t="n">
        <v>0</v>
      </c>
      <c r="L3446" t="n">
        <v>0</v>
      </c>
      <c r="M3446" t="n">
        <v>0</v>
      </c>
      <c r="N3446" t="n">
        <v>0</v>
      </c>
      <c r="O3446" t="n">
        <v>0</v>
      </c>
      <c r="P3446" t="n">
        <v>0</v>
      </c>
      <c r="Q3446" t="n">
        <v>0</v>
      </c>
      <c r="R3446" s="2" t="inlineStr"/>
    </row>
    <row r="3447" ht="15" customHeight="1">
      <c r="A3447" t="inlineStr">
        <is>
          <t>A 47771-2023</t>
        </is>
      </c>
      <c r="B3447" s="1" t="n">
        <v>45203</v>
      </c>
      <c r="C3447" s="1" t="n">
        <v>45358</v>
      </c>
      <c r="D3447" t="inlineStr">
        <is>
          <t>HALLANDS LÄN</t>
        </is>
      </c>
      <c r="E3447" t="inlineStr">
        <is>
          <t>HALMSTAD</t>
        </is>
      </c>
      <c r="G3447" t="n">
        <v>1.8</v>
      </c>
      <c r="H3447" t="n">
        <v>0</v>
      </c>
      <c r="I3447" t="n">
        <v>0</v>
      </c>
      <c r="J3447" t="n">
        <v>0</v>
      </c>
      <c r="K3447" t="n">
        <v>0</v>
      </c>
      <c r="L3447" t="n">
        <v>0</v>
      </c>
      <c r="M3447" t="n">
        <v>0</v>
      </c>
      <c r="N3447" t="n">
        <v>0</v>
      </c>
      <c r="O3447" t="n">
        <v>0</v>
      </c>
      <c r="P3447" t="n">
        <v>0</v>
      </c>
      <c r="Q3447" t="n">
        <v>0</v>
      </c>
      <c r="R3447" s="2" t="inlineStr"/>
    </row>
    <row r="3448" ht="15" customHeight="1">
      <c r="A3448" t="inlineStr">
        <is>
          <t>A 47832-2023</t>
        </is>
      </c>
      <c r="B3448" s="1" t="n">
        <v>45204</v>
      </c>
      <c r="C3448" s="1" t="n">
        <v>45358</v>
      </c>
      <c r="D3448" t="inlineStr">
        <is>
          <t>HALLANDS LÄN</t>
        </is>
      </c>
      <c r="E3448" t="inlineStr">
        <is>
          <t>KUNGSBACKA</t>
        </is>
      </c>
      <c r="G3448" t="n">
        <v>2.9</v>
      </c>
      <c r="H3448" t="n">
        <v>0</v>
      </c>
      <c r="I3448" t="n">
        <v>0</v>
      </c>
      <c r="J3448" t="n">
        <v>0</v>
      </c>
      <c r="K3448" t="n">
        <v>0</v>
      </c>
      <c r="L3448" t="n">
        <v>0</v>
      </c>
      <c r="M3448" t="n">
        <v>0</v>
      </c>
      <c r="N3448" t="n">
        <v>0</v>
      </c>
      <c r="O3448" t="n">
        <v>0</v>
      </c>
      <c r="P3448" t="n">
        <v>0</v>
      </c>
      <c r="Q3448" t="n">
        <v>0</v>
      </c>
      <c r="R3448" s="2" t="inlineStr"/>
    </row>
    <row r="3449" ht="15" customHeight="1">
      <c r="A3449" t="inlineStr">
        <is>
          <t>A 47996-2023</t>
        </is>
      </c>
      <c r="B3449" s="1" t="n">
        <v>45204</v>
      </c>
      <c r="C3449" s="1" t="n">
        <v>45358</v>
      </c>
      <c r="D3449" t="inlineStr">
        <is>
          <t>HALLANDS LÄN</t>
        </is>
      </c>
      <c r="E3449" t="inlineStr">
        <is>
          <t>HYLTE</t>
        </is>
      </c>
      <c r="G3449" t="n">
        <v>0.5</v>
      </c>
      <c r="H3449" t="n">
        <v>0</v>
      </c>
      <c r="I3449" t="n">
        <v>0</v>
      </c>
      <c r="J3449" t="n">
        <v>0</v>
      </c>
      <c r="K3449" t="n">
        <v>0</v>
      </c>
      <c r="L3449" t="n">
        <v>0</v>
      </c>
      <c r="M3449" t="n">
        <v>0</v>
      </c>
      <c r="N3449" t="n">
        <v>0</v>
      </c>
      <c r="O3449" t="n">
        <v>0</v>
      </c>
      <c r="P3449" t="n">
        <v>0</v>
      </c>
      <c r="Q3449" t="n">
        <v>0</v>
      </c>
      <c r="R3449" s="2" t="inlineStr"/>
    </row>
    <row r="3450" ht="15" customHeight="1">
      <c r="A3450" t="inlineStr">
        <is>
          <t>A 47994-2023</t>
        </is>
      </c>
      <c r="B3450" s="1" t="n">
        <v>45204</v>
      </c>
      <c r="C3450" s="1" t="n">
        <v>45358</v>
      </c>
      <c r="D3450" t="inlineStr">
        <is>
          <t>HALLANDS LÄN</t>
        </is>
      </c>
      <c r="E3450" t="inlineStr">
        <is>
          <t>HYLTE</t>
        </is>
      </c>
      <c r="G3450" t="n">
        <v>1.2</v>
      </c>
      <c r="H3450" t="n">
        <v>0</v>
      </c>
      <c r="I3450" t="n">
        <v>0</v>
      </c>
      <c r="J3450" t="n">
        <v>0</v>
      </c>
      <c r="K3450" t="n">
        <v>0</v>
      </c>
      <c r="L3450" t="n">
        <v>0</v>
      </c>
      <c r="M3450" t="n">
        <v>0</v>
      </c>
      <c r="N3450" t="n">
        <v>0</v>
      </c>
      <c r="O3450" t="n">
        <v>0</v>
      </c>
      <c r="P3450" t="n">
        <v>0</v>
      </c>
      <c r="Q3450" t="n">
        <v>0</v>
      </c>
      <c r="R3450" s="2" t="inlineStr"/>
    </row>
    <row r="3451" ht="15" customHeight="1">
      <c r="A3451" t="inlineStr">
        <is>
          <t>A 47998-2023</t>
        </is>
      </c>
      <c r="B3451" s="1" t="n">
        <v>45204</v>
      </c>
      <c r="C3451" s="1" t="n">
        <v>45358</v>
      </c>
      <c r="D3451" t="inlineStr">
        <is>
          <t>HALLANDS LÄN</t>
        </is>
      </c>
      <c r="E3451" t="inlineStr">
        <is>
          <t>HYLTE</t>
        </is>
      </c>
      <c r="G3451" t="n">
        <v>1</v>
      </c>
      <c r="H3451" t="n">
        <v>0</v>
      </c>
      <c r="I3451" t="n">
        <v>0</v>
      </c>
      <c r="J3451" t="n">
        <v>0</v>
      </c>
      <c r="K3451" t="n">
        <v>0</v>
      </c>
      <c r="L3451" t="n">
        <v>0</v>
      </c>
      <c r="M3451" t="n">
        <v>0</v>
      </c>
      <c r="N3451" t="n">
        <v>0</v>
      </c>
      <c r="O3451" t="n">
        <v>0</v>
      </c>
      <c r="P3451" t="n">
        <v>0</v>
      </c>
      <c r="Q3451" t="n">
        <v>0</v>
      </c>
      <c r="R3451" s="2" t="inlineStr"/>
    </row>
    <row r="3452" ht="15" customHeight="1">
      <c r="A3452" t="inlineStr">
        <is>
          <t>A 48002-2023</t>
        </is>
      </c>
      <c r="B3452" s="1" t="n">
        <v>45204</v>
      </c>
      <c r="C3452" s="1" t="n">
        <v>45358</v>
      </c>
      <c r="D3452" t="inlineStr">
        <is>
          <t>HALLANDS LÄN</t>
        </is>
      </c>
      <c r="E3452" t="inlineStr">
        <is>
          <t>HALMSTAD</t>
        </is>
      </c>
      <c r="G3452" t="n">
        <v>10.9</v>
      </c>
      <c r="H3452" t="n">
        <v>0</v>
      </c>
      <c r="I3452" t="n">
        <v>0</v>
      </c>
      <c r="J3452" t="n">
        <v>0</v>
      </c>
      <c r="K3452" t="n">
        <v>0</v>
      </c>
      <c r="L3452" t="n">
        <v>0</v>
      </c>
      <c r="M3452" t="n">
        <v>0</v>
      </c>
      <c r="N3452" t="n">
        <v>0</v>
      </c>
      <c r="O3452" t="n">
        <v>0</v>
      </c>
      <c r="P3452" t="n">
        <v>0</v>
      </c>
      <c r="Q3452" t="n">
        <v>0</v>
      </c>
      <c r="R3452" s="2" t="inlineStr"/>
    </row>
    <row r="3453" ht="15" customHeight="1">
      <c r="A3453" t="inlineStr">
        <is>
          <t>A 47997-2023</t>
        </is>
      </c>
      <c r="B3453" s="1" t="n">
        <v>45204</v>
      </c>
      <c r="C3453" s="1" t="n">
        <v>45358</v>
      </c>
      <c r="D3453" t="inlineStr">
        <is>
          <t>HALLANDS LÄN</t>
        </is>
      </c>
      <c r="E3453" t="inlineStr">
        <is>
          <t>HALMSTAD</t>
        </is>
      </c>
      <c r="G3453" t="n">
        <v>4.5</v>
      </c>
      <c r="H3453" t="n">
        <v>0</v>
      </c>
      <c r="I3453" t="n">
        <v>0</v>
      </c>
      <c r="J3453" t="n">
        <v>0</v>
      </c>
      <c r="K3453" t="n">
        <v>0</v>
      </c>
      <c r="L3453" t="n">
        <v>0</v>
      </c>
      <c r="M3453" t="n">
        <v>0</v>
      </c>
      <c r="N3453" t="n">
        <v>0</v>
      </c>
      <c r="O3453" t="n">
        <v>0</v>
      </c>
      <c r="P3453" t="n">
        <v>0</v>
      </c>
      <c r="Q3453" t="n">
        <v>0</v>
      </c>
      <c r="R3453" s="2" t="inlineStr"/>
    </row>
    <row r="3454" ht="15" customHeight="1">
      <c r="A3454" t="inlineStr">
        <is>
          <t>A 48044-2023</t>
        </is>
      </c>
      <c r="B3454" s="1" t="n">
        <v>45204</v>
      </c>
      <c r="C3454" s="1" t="n">
        <v>45358</v>
      </c>
      <c r="D3454" t="inlineStr">
        <is>
          <t>HALLANDS LÄN</t>
        </is>
      </c>
      <c r="E3454" t="inlineStr">
        <is>
          <t>HYLTE</t>
        </is>
      </c>
      <c r="G3454" t="n">
        <v>0.6</v>
      </c>
      <c r="H3454" t="n">
        <v>0</v>
      </c>
      <c r="I3454" t="n">
        <v>0</v>
      </c>
      <c r="J3454" t="n">
        <v>0</v>
      </c>
      <c r="K3454" t="n">
        <v>0</v>
      </c>
      <c r="L3454" t="n">
        <v>0</v>
      </c>
      <c r="M3454" t="n">
        <v>0</v>
      </c>
      <c r="N3454" t="n">
        <v>0</v>
      </c>
      <c r="O3454" t="n">
        <v>0</v>
      </c>
      <c r="P3454" t="n">
        <v>0</v>
      </c>
      <c r="Q3454" t="n">
        <v>0</v>
      </c>
      <c r="R3454" s="2" t="inlineStr"/>
    </row>
    <row r="3455" ht="15" customHeight="1">
      <c r="A3455" t="inlineStr">
        <is>
          <t>A 48907-2023</t>
        </is>
      </c>
      <c r="B3455" s="1" t="n">
        <v>45204</v>
      </c>
      <c r="C3455" s="1" t="n">
        <v>45358</v>
      </c>
      <c r="D3455" t="inlineStr">
        <is>
          <t>HALLANDS LÄN</t>
        </is>
      </c>
      <c r="E3455" t="inlineStr">
        <is>
          <t>HALMSTAD</t>
        </is>
      </c>
      <c r="G3455" t="n">
        <v>2.5</v>
      </c>
      <c r="H3455" t="n">
        <v>0</v>
      </c>
      <c r="I3455" t="n">
        <v>0</v>
      </c>
      <c r="J3455" t="n">
        <v>0</v>
      </c>
      <c r="K3455" t="n">
        <v>0</v>
      </c>
      <c r="L3455" t="n">
        <v>0</v>
      </c>
      <c r="M3455" t="n">
        <v>0</v>
      </c>
      <c r="N3455" t="n">
        <v>0</v>
      </c>
      <c r="O3455" t="n">
        <v>0</v>
      </c>
      <c r="P3455" t="n">
        <v>0</v>
      </c>
      <c r="Q3455" t="n">
        <v>0</v>
      </c>
      <c r="R3455" s="2" t="inlineStr"/>
    </row>
    <row r="3456" ht="15" customHeight="1">
      <c r="A3456" t="inlineStr">
        <is>
          <t>A 48120-2023</t>
        </is>
      </c>
      <c r="B3456" s="1" t="n">
        <v>45205</v>
      </c>
      <c r="C3456" s="1" t="n">
        <v>45358</v>
      </c>
      <c r="D3456" t="inlineStr">
        <is>
          <t>HALLANDS LÄN</t>
        </is>
      </c>
      <c r="E3456" t="inlineStr">
        <is>
          <t>FALKENBERG</t>
        </is>
      </c>
      <c r="G3456" t="n">
        <v>3</v>
      </c>
      <c r="H3456" t="n">
        <v>0</v>
      </c>
      <c r="I3456" t="n">
        <v>0</v>
      </c>
      <c r="J3456" t="n">
        <v>0</v>
      </c>
      <c r="K3456" t="n">
        <v>0</v>
      </c>
      <c r="L3456" t="n">
        <v>0</v>
      </c>
      <c r="M3456" t="n">
        <v>0</v>
      </c>
      <c r="N3456" t="n">
        <v>0</v>
      </c>
      <c r="O3456" t="n">
        <v>0</v>
      </c>
      <c r="P3456" t="n">
        <v>0</v>
      </c>
      <c r="Q3456" t="n">
        <v>0</v>
      </c>
      <c r="R3456" s="2" t="inlineStr"/>
    </row>
    <row r="3457" ht="15" customHeight="1">
      <c r="A3457" t="inlineStr">
        <is>
          <t>A 48221-2023</t>
        </is>
      </c>
      <c r="B3457" s="1" t="n">
        <v>45205</v>
      </c>
      <c r="C3457" s="1" t="n">
        <v>45358</v>
      </c>
      <c r="D3457" t="inlineStr">
        <is>
          <t>HALLANDS LÄN</t>
        </is>
      </c>
      <c r="E3457" t="inlineStr">
        <is>
          <t>FALKENBERG</t>
        </is>
      </c>
      <c r="G3457" t="n">
        <v>1</v>
      </c>
      <c r="H3457" t="n">
        <v>0</v>
      </c>
      <c r="I3457" t="n">
        <v>0</v>
      </c>
      <c r="J3457" t="n">
        <v>0</v>
      </c>
      <c r="K3457" t="n">
        <v>0</v>
      </c>
      <c r="L3457" t="n">
        <v>0</v>
      </c>
      <c r="M3457" t="n">
        <v>0</v>
      </c>
      <c r="N3457" t="n">
        <v>0</v>
      </c>
      <c r="O3457" t="n">
        <v>0</v>
      </c>
      <c r="P3457" t="n">
        <v>0</v>
      </c>
      <c r="Q3457" t="n">
        <v>0</v>
      </c>
      <c r="R3457" s="2" t="inlineStr"/>
    </row>
    <row r="3458" ht="15" customHeight="1">
      <c r="A3458" t="inlineStr">
        <is>
          <t>A 48295-2023</t>
        </is>
      </c>
      <c r="B3458" s="1" t="n">
        <v>45205</v>
      </c>
      <c r="C3458" s="1" t="n">
        <v>45358</v>
      </c>
      <c r="D3458" t="inlineStr">
        <is>
          <t>HALLANDS LÄN</t>
        </is>
      </c>
      <c r="E3458" t="inlineStr">
        <is>
          <t>LAHOLM</t>
        </is>
      </c>
      <c r="G3458" t="n">
        <v>4.9</v>
      </c>
      <c r="H3458" t="n">
        <v>0</v>
      </c>
      <c r="I3458" t="n">
        <v>0</v>
      </c>
      <c r="J3458" t="n">
        <v>0</v>
      </c>
      <c r="K3458" t="n">
        <v>0</v>
      </c>
      <c r="L3458" t="n">
        <v>0</v>
      </c>
      <c r="M3458" t="n">
        <v>0</v>
      </c>
      <c r="N3458" t="n">
        <v>0</v>
      </c>
      <c r="O3458" t="n">
        <v>0</v>
      </c>
      <c r="P3458" t="n">
        <v>0</v>
      </c>
      <c r="Q3458" t="n">
        <v>0</v>
      </c>
      <c r="R3458" s="2" t="inlineStr"/>
    </row>
    <row r="3459" ht="15" customHeight="1">
      <c r="A3459" t="inlineStr">
        <is>
          <t>A 48222-2023</t>
        </is>
      </c>
      <c r="B3459" s="1" t="n">
        <v>45205</v>
      </c>
      <c r="C3459" s="1" t="n">
        <v>45358</v>
      </c>
      <c r="D3459" t="inlineStr">
        <is>
          <t>HALLANDS LÄN</t>
        </is>
      </c>
      <c r="E3459" t="inlineStr">
        <is>
          <t>FALKENBERG</t>
        </is>
      </c>
      <c r="G3459" t="n">
        <v>0.5</v>
      </c>
      <c r="H3459" t="n">
        <v>0</v>
      </c>
      <c r="I3459" t="n">
        <v>0</v>
      </c>
      <c r="J3459" t="n">
        <v>0</v>
      </c>
      <c r="K3459" t="n">
        <v>0</v>
      </c>
      <c r="L3459" t="n">
        <v>0</v>
      </c>
      <c r="M3459" t="n">
        <v>0</v>
      </c>
      <c r="N3459" t="n">
        <v>0</v>
      </c>
      <c r="O3459" t="n">
        <v>0</v>
      </c>
      <c r="P3459" t="n">
        <v>0</v>
      </c>
      <c r="Q3459" t="n">
        <v>0</v>
      </c>
      <c r="R3459" s="2" t="inlineStr"/>
    </row>
    <row r="3460" ht="15" customHeight="1">
      <c r="A3460" t="inlineStr">
        <is>
          <t>A 48329-2023</t>
        </is>
      </c>
      <c r="B3460" s="1" t="n">
        <v>45205</v>
      </c>
      <c r="C3460" s="1" t="n">
        <v>45358</v>
      </c>
      <c r="D3460" t="inlineStr">
        <is>
          <t>HALLANDS LÄN</t>
        </is>
      </c>
      <c r="E3460" t="inlineStr">
        <is>
          <t>FALKENBERG</t>
        </is>
      </c>
      <c r="G3460" t="n">
        <v>1.4</v>
      </c>
      <c r="H3460" t="n">
        <v>0</v>
      </c>
      <c r="I3460" t="n">
        <v>0</v>
      </c>
      <c r="J3460" t="n">
        <v>0</v>
      </c>
      <c r="K3460" t="n">
        <v>0</v>
      </c>
      <c r="L3460" t="n">
        <v>0</v>
      </c>
      <c r="M3460" t="n">
        <v>0</v>
      </c>
      <c r="N3460" t="n">
        <v>0</v>
      </c>
      <c r="O3460" t="n">
        <v>0</v>
      </c>
      <c r="P3460" t="n">
        <v>0</v>
      </c>
      <c r="Q3460" t="n">
        <v>0</v>
      </c>
      <c r="R3460" s="2" t="inlineStr"/>
    </row>
    <row r="3461" ht="15" customHeight="1">
      <c r="A3461" t="inlineStr">
        <is>
          <t>A 48406-2023</t>
        </is>
      </c>
      <c r="B3461" s="1" t="n">
        <v>45205</v>
      </c>
      <c r="C3461" s="1" t="n">
        <v>45358</v>
      </c>
      <c r="D3461" t="inlineStr">
        <is>
          <t>HALLANDS LÄN</t>
        </is>
      </c>
      <c r="E3461" t="inlineStr">
        <is>
          <t>KUNGSBACKA</t>
        </is>
      </c>
      <c r="G3461" t="n">
        <v>1.4</v>
      </c>
      <c r="H3461" t="n">
        <v>0</v>
      </c>
      <c r="I3461" t="n">
        <v>0</v>
      </c>
      <c r="J3461" t="n">
        <v>0</v>
      </c>
      <c r="K3461" t="n">
        <v>0</v>
      </c>
      <c r="L3461" t="n">
        <v>0</v>
      </c>
      <c r="M3461" t="n">
        <v>0</v>
      </c>
      <c r="N3461" t="n">
        <v>0</v>
      </c>
      <c r="O3461" t="n">
        <v>0</v>
      </c>
      <c r="P3461" t="n">
        <v>0</v>
      </c>
      <c r="Q3461" t="n">
        <v>0</v>
      </c>
      <c r="R3461" s="2" t="inlineStr"/>
    </row>
    <row r="3462" ht="15" customHeight="1">
      <c r="A3462" t="inlineStr">
        <is>
          <t>A 48375-2023</t>
        </is>
      </c>
      <c r="B3462" s="1" t="n">
        <v>45205</v>
      </c>
      <c r="C3462" s="1" t="n">
        <v>45358</v>
      </c>
      <c r="D3462" t="inlineStr">
        <is>
          <t>HALLANDS LÄN</t>
        </is>
      </c>
      <c r="E3462" t="inlineStr">
        <is>
          <t>HYLTE</t>
        </is>
      </c>
      <c r="G3462" t="n">
        <v>1.3</v>
      </c>
      <c r="H3462" t="n">
        <v>0</v>
      </c>
      <c r="I3462" t="n">
        <v>0</v>
      </c>
      <c r="J3462" t="n">
        <v>0</v>
      </c>
      <c r="K3462" t="n">
        <v>0</v>
      </c>
      <c r="L3462" t="n">
        <v>0</v>
      </c>
      <c r="M3462" t="n">
        <v>0</v>
      </c>
      <c r="N3462" t="n">
        <v>0</v>
      </c>
      <c r="O3462" t="n">
        <v>0</v>
      </c>
      <c r="P3462" t="n">
        <v>0</v>
      </c>
      <c r="Q3462" t="n">
        <v>0</v>
      </c>
      <c r="R3462" s="2" t="inlineStr"/>
    </row>
    <row r="3463" ht="15" customHeight="1">
      <c r="A3463" t="inlineStr">
        <is>
          <t>A 48378-2023</t>
        </is>
      </c>
      <c r="B3463" s="1" t="n">
        <v>45205</v>
      </c>
      <c r="C3463" s="1" t="n">
        <v>45358</v>
      </c>
      <c r="D3463" t="inlineStr">
        <is>
          <t>HALLANDS LÄN</t>
        </is>
      </c>
      <c r="E3463" t="inlineStr">
        <is>
          <t>HYLTE</t>
        </is>
      </c>
      <c r="G3463" t="n">
        <v>1.4</v>
      </c>
      <c r="H3463" t="n">
        <v>0</v>
      </c>
      <c r="I3463" t="n">
        <v>0</v>
      </c>
      <c r="J3463" t="n">
        <v>0</v>
      </c>
      <c r="K3463" t="n">
        <v>0</v>
      </c>
      <c r="L3463" t="n">
        <v>0</v>
      </c>
      <c r="M3463" t="n">
        <v>0</v>
      </c>
      <c r="N3463" t="n">
        <v>0</v>
      </c>
      <c r="O3463" t="n">
        <v>0</v>
      </c>
      <c r="P3463" t="n">
        <v>0</v>
      </c>
      <c r="Q3463" t="n">
        <v>0</v>
      </c>
      <c r="R3463" s="2" t="inlineStr"/>
    </row>
    <row r="3464" ht="15" customHeight="1">
      <c r="A3464" t="inlineStr">
        <is>
          <t>A 48445-2023</t>
        </is>
      </c>
      <c r="B3464" s="1" t="n">
        <v>45206</v>
      </c>
      <c r="C3464" s="1" t="n">
        <v>45358</v>
      </c>
      <c r="D3464" t="inlineStr">
        <is>
          <t>HALLANDS LÄN</t>
        </is>
      </c>
      <c r="E3464" t="inlineStr">
        <is>
          <t>LAHOLM</t>
        </is>
      </c>
      <c r="G3464" t="n">
        <v>14.3</v>
      </c>
      <c r="H3464" t="n">
        <v>0</v>
      </c>
      <c r="I3464" t="n">
        <v>0</v>
      </c>
      <c r="J3464" t="n">
        <v>0</v>
      </c>
      <c r="K3464" t="n">
        <v>0</v>
      </c>
      <c r="L3464" t="n">
        <v>0</v>
      </c>
      <c r="M3464" t="n">
        <v>0</v>
      </c>
      <c r="N3464" t="n">
        <v>0</v>
      </c>
      <c r="O3464" t="n">
        <v>0</v>
      </c>
      <c r="P3464" t="n">
        <v>0</v>
      </c>
      <c r="Q3464" t="n">
        <v>0</v>
      </c>
      <c r="R3464" s="2" t="inlineStr"/>
    </row>
    <row r="3465" ht="15" customHeight="1">
      <c r="A3465" t="inlineStr">
        <is>
          <t>A 48446-2023</t>
        </is>
      </c>
      <c r="B3465" s="1" t="n">
        <v>45206</v>
      </c>
      <c r="C3465" s="1" t="n">
        <v>45358</v>
      </c>
      <c r="D3465" t="inlineStr">
        <is>
          <t>HALLANDS LÄN</t>
        </is>
      </c>
      <c r="E3465" t="inlineStr">
        <is>
          <t>LAHOLM</t>
        </is>
      </c>
      <c r="G3465" t="n">
        <v>6.5</v>
      </c>
      <c r="H3465" t="n">
        <v>0</v>
      </c>
      <c r="I3465" t="n">
        <v>0</v>
      </c>
      <c r="J3465" t="n">
        <v>0</v>
      </c>
      <c r="K3465" t="n">
        <v>0</v>
      </c>
      <c r="L3465" t="n">
        <v>0</v>
      </c>
      <c r="M3465" t="n">
        <v>0</v>
      </c>
      <c r="N3465" t="n">
        <v>0</v>
      </c>
      <c r="O3465" t="n">
        <v>0</v>
      </c>
      <c r="P3465" t="n">
        <v>0</v>
      </c>
      <c r="Q3465" t="n">
        <v>0</v>
      </c>
      <c r="R3465" s="2" t="inlineStr"/>
    </row>
    <row r="3466" ht="15" customHeight="1">
      <c r="A3466" t="inlineStr">
        <is>
          <t>A 48638-2023</t>
        </is>
      </c>
      <c r="B3466" s="1" t="n">
        <v>45208</v>
      </c>
      <c r="C3466" s="1" t="n">
        <v>45358</v>
      </c>
      <c r="D3466" t="inlineStr">
        <is>
          <t>HALLANDS LÄN</t>
        </is>
      </c>
      <c r="E3466" t="inlineStr">
        <is>
          <t>HALMSTAD</t>
        </is>
      </c>
      <c r="G3466" t="n">
        <v>1</v>
      </c>
      <c r="H3466" t="n">
        <v>0</v>
      </c>
      <c r="I3466" t="n">
        <v>0</v>
      </c>
      <c r="J3466" t="n">
        <v>0</v>
      </c>
      <c r="K3466" t="n">
        <v>0</v>
      </c>
      <c r="L3466" t="n">
        <v>0</v>
      </c>
      <c r="M3466" t="n">
        <v>0</v>
      </c>
      <c r="N3466" t="n">
        <v>0</v>
      </c>
      <c r="O3466" t="n">
        <v>0</v>
      </c>
      <c r="P3466" t="n">
        <v>0</v>
      </c>
      <c r="Q3466" t="n">
        <v>0</v>
      </c>
      <c r="R3466" s="2" t="inlineStr"/>
    </row>
    <row r="3467" ht="15" customHeight="1">
      <c r="A3467" t="inlineStr">
        <is>
          <t>A 48682-2023</t>
        </is>
      </c>
      <c r="B3467" s="1" t="n">
        <v>45208</v>
      </c>
      <c r="C3467" s="1" t="n">
        <v>45358</v>
      </c>
      <c r="D3467" t="inlineStr">
        <is>
          <t>HALLANDS LÄN</t>
        </is>
      </c>
      <c r="E3467" t="inlineStr">
        <is>
          <t>LAHOLM</t>
        </is>
      </c>
      <c r="G3467" t="n">
        <v>2.4</v>
      </c>
      <c r="H3467" t="n">
        <v>0</v>
      </c>
      <c r="I3467" t="n">
        <v>0</v>
      </c>
      <c r="J3467" t="n">
        <v>0</v>
      </c>
      <c r="K3467" t="n">
        <v>0</v>
      </c>
      <c r="L3467" t="n">
        <v>0</v>
      </c>
      <c r="M3467" t="n">
        <v>0</v>
      </c>
      <c r="N3467" t="n">
        <v>0</v>
      </c>
      <c r="O3467" t="n">
        <v>0</v>
      </c>
      <c r="P3467" t="n">
        <v>0</v>
      </c>
      <c r="Q3467" t="n">
        <v>0</v>
      </c>
      <c r="R3467" s="2" t="inlineStr"/>
    </row>
    <row r="3468" ht="15" customHeight="1">
      <c r="A3468" t="inlineStr">
        <is>
          <t>A 48679-2023</t>
        </is>
      </c>
      <c r="B3468" s="1" t="n">
        <v>45208</v>
      </c>
      <c r="C3468" s="1" t="n">
        <v>45358</v>
      </c>
      <c r="D3468" t="inlineStr">
        <is>
          <t>HALLANDS LÄN</t>
        </is>
      </c>
      <c r="E3468" t="inlineStr">
        <is>
          <t>VARBERG</t>
        </is>
      </c>
      <c r="G3468" t="n">
        <v>1.7</v>
      </c>
      <c r="H3468" t="n">
        <v>0</v>
      </c>
      <c r="I3468" t="n">
        <v>0</v>
      </c>
      <c r="J3468" t="n">
        <v>0</v>
      </c>
      <c r="K3468" t="n">
        <v>0</v>
      </c>
      <c r="L3468" t="n">
        <v>0</v>
      </c>
      <c r="M3468" t="n">
        <v>0</v>
      </c>
      <c r="N3468" t="n">
        <v>0</v>
      </c>
      <c r="O3468" t="n">
        <v>0</v>
      </c>
      <c r="P3468" t="n">
        <v>0</v>
      </c>
      <c r="Q3468" t="n">
        <v>0</v>
      </c>
      <c r="R3468" s="2" t="inlineStr"/>
    </row>
    <row r="3469" ht="15" customHeight="1">
      <c r="A3469" t="inlineStr">
        <is>
          <t>A 48754-2023</t>
        </is>
      </c>
      <c r="B3469" s="1" t="n">
        <v>45208</v>
      </c>
      <c r="C3469" s="1" t="n">
        <v>45358</v>
      </c>
      <c r="D3469" t="inlineStr">
        <is>
          <t>HALLANDS LÄN</t>
        </is>
      </c>
      <c r="E3469" t="inlineStr">
        <is>
          <t>KUNGSBACKA</t>
        </is>
      </c>
      <c r="G3469" t="n">
        <v>1.6</v>
      </c>
      <c r="H3469" t="n">
        <v>0</v>
      </c>
      <c r="I3469" t="n">
        <v>0</v>
      </c>
      <c r="J3469" t="n">
        <v>0</v>
      </c>
      <c r="K3469" t="n">
        <v>0</v>
      </c>
      <c r="L3469" t="n">
        <v>0</v>
      </c>
      <c r="M3469" t="n">
        <v>0</v>
      </c>
      <c r="N3469" t="n">
        <v>0</v>
      </c>
      <c r="O3469" t="n">
        <v>0</v>
      </c>
      <c r="P3469" t="n">
        <v>0</v>
      </c>
      <c r="Q3469" t="n">
        <v>0</v>
      </c>
      <c r="R3469" s="2" t="inlineStr"/>
    </row>
    <row r="3470" ht="15" customHeight="1">
      <c r="A3470" t="inlineStr">
        <is>
          <t>A 48734-2023</t>
        </is>
      </c>
      <c r="B3470" s="1" t="n">
        <v>45208</v>
      </c>
      <c r="C3470" s="1" t="n">
        <v>45358</v>
      </c>
      <c r="D3470" t="inlineStr">
        <is>
          <t>HALLANDS LÄN</t>
        </is>
      </c>
      <c r="E3470" t="inlineStr">
        <is>
          <t>HYLTE</t>
        </is>
      </c>
      <c r="G3470" t="n">
        <v>2.6</v>
      </c>
      <c r="H3470" t="n">
        <v>0</v>
      </c>
      <c r="I3470" t="n">
        <v>0</v>
      </c>
      <c r="J3470" t="n">
        <v>0</v>
      </c>
      <c r="K3470" t="n">
        <v>0</v>
      </c>
      <c r="L3470" t="n">
        <v>0</v>
      </c>
      <c r="M3470" t="n">
        <v>0</v>
      </c>
      <c r="N3470" t="n">
        <v>0</v>
      </c>
      <c r="O3470" t="n">
        <v>0</v>
      </c>
      <c r="P3470" t="n">
        <v>0</v>
      </c>
      <c r="Q3470" t="n">
        <v>0</v>
      </c>
      <c r="R3470" s="2" t="inlineStr"/>
    </row>
    <row r="3471" ht="15" customHeight="1">
      <c r="A3471" t="inlineStr">
        <is>
          <t>A 48859-2023</t>
        </is>
      </c>
      <c r="B3471" s="1" t="n">
        <v>45209</v>
      </c>
      <c r="C3471" s="1" t="n">
        <v>45358</v>
      </c>
      <c r="D3471" t="inlineStr">
        <is>
          <t>HALLANDS LÄN</t>
        </is>
      </c>
      <c r="E3471" t="inlineStr">
        <is>
          <t>HALMSTAD</t>
        </is>
      </c>
      <c r="G3471" t="n">
        <v>1</v>
      </c>
      <c r="H3471" t="n">
        <v>0</v>
      </c>
      <c r="I3471" t="n">
        <v>0</v>
      </c>
      <c r="J3471" t="n">
        <v>0</v>
      </c>
      <c r="K3471" t="n">
        <v>0</v>
      </c>
      <c r="L3471" t="n">
        <v>0</v>
      </c>
      <c r="M3471" t="n">
        <v>0</v>
      </c>
      <c r="N3471" t="n">
        <v>0</v>
      </c>
      <c r="O3471" t="n">
        <v>0</v>
      </c>
      <c r="P3471" t="n">
        <v>0</v>
      </c>
      <c r="Q3471" t="n">
        <v>0</v>
      </c>
      <c r="R3471" s="2" t="inlineStr"/>
    </row>
    <row r="3472" ht="15" customHeight="1">
      <c r="A3472" t="inlineStr">
        <is>
          <t>A 48865-2023</t>
        </is>
      </c>
      <c r="B3472" s="1" t="n">
        <v>45209</v>
      </c>
      <c r="C3472" s="1" t="n">
        <v>45358</v>
      </c>
      <c r="D3472" t="inlineStr">
        <is>
          <t>HALLANDS LÄN</t>
        </is>
      </c>
      <c r="E3472" t="inlineStr">
        <is>
          <t>LAHOLM</t>
        </is>
      </c>
      <c r="G3472" t="n">
        <v>0.8</v>
      </c>
      <c r="H3472" t="n">
        <v>0</v>
      </c>
      <c r="I3472" t="n">
        <v>0</v>
      </c>
      <c r="J3472" t="n">
        <v>0</v>
      </c>
      <c r="K3472" t="n">
        <v>0</v>
      </c>
      <c r="L3472" t="n">
        <v>0</v>
      </c>
      <c r="M3472" t="n">
        <v>0</v>
      </c>
      <c r="N3472" t="n">
        <v>0</v>
      </c>
      <c r="O3472" t="n">
        <v>0</v>
      </c>
      <c r="P3472" t="n">
        <v>0</v>
      </c>
      <c r="Q3472" t="n">
        <v>0</v>
      </c>
      <c r="R3472" s="2" t="inlineStr"/>
    </row>
    <row r="3473" ht="15" customHeight="1">
      <c r="A3473" t="inlineStr">
        <is>
          <t>A 48873-2023</t>
        </is>
      </c>
      <c r="B3473" s="1" t="n">
        <v>45209</v>
      </c>
      <c r="C3473" s="1" t="n">
        <v>45358</v>
      </c>
      <c r="D3473" t="inlineStr">
        <is>
          <t>HALLANDS LÄN</t>
        </is>
      </c>
      <c r="E3473" t="inlineStr">
        <is>
          <t>LAHOLM</t>
        </is>
      </c>
      <c r="G3473" t="n">
        <v>1.6</v>
      </c>
      <c r="H3473" t="n">
        <v>0</v>
      </c>
      <c r="I3473" t="n">
        <v>0</v>
      </c>
      <c r="J3473" t="n">
        <v>0</v>
      </c>
      <c r="K3473" t="n">
        <v>0</v>
      </c>
      <c r="L3473" t="n">
        <v>0</v>
      </c>
      <c r="M3473" t="n">
        <v>0</v>
      </c>
      <c r="N3473" t="n">
        <v>0</v>
      </c>
      <c r="O3473" t="n">
        <v>0</v>
      </c>
      <c r="P3473" t="n">
        <v>0</v>
      </c>
      <c r="Q3473" t="n">
        <v>0</v>
      </c>
      <c r="R3473" s="2" t="inlineStr"/>
    </row>
    <row r="3474" ht="15" customHeight="1">
      <c r="A3474" t="inlineStr">
        <is>
          <t>A 48972-2023</t>
        </is>
      </c>
      <c r="B3474" s="1" t="n">
        <v>45209</v>
      </c>
      <c r="C3474" s="1" t="n">
        <v>45358</v>
      </c>
      <c r="D3474" t="inlineStr">
        <is>
          <t>HALLANDS LÄN</t>
        </is>
      </c>
      <c r="E3474" t="inlineStr">
        <is>
          <t>LAHOLM</t>
        </is>
      </c>
      <c r="G3474" t="n">
        <v>1.2</v>
      </c>
      <c r="H3474" t="n">
        <v>0</v>
      </c>
      <c r="I3474" t="n">
        <v>0</v>
      </c>
      <c r="J3474" t="n">
        <v>0</v>
      </c>
      <c r="K3474" t="n">
        <v>0</v>
      </c>
      <c r="L3474" t="n">
        <v>0</v>
      </c>
      <c r="M3474" t="n">
        <v>0</v>
      </c>
      <c r="N3474" t="n">
        <v>0</v>
      </c>
      <c r="O3474" t="n">
        <v>0</v>
      </c>
      <c r="P3474" t="n">
        <v>0</v>
      </c>
      <c r="Q3474" t="n">
        <v>0</v>
      </c>
      <c r="R3474" s="2" t="inlineStr"/>
    </row>
    <row r="3475" ht="15" customHeight="1">
      <c r="A3475" t="inlineStr">
        <is>
          <t>A 48934-2023</t>
        </is>
      </c>
      <c r="B3475" s="1" t="n">
        <v>45209</v>
      </c>
      <c r="C3475" s="1" t="n">
        <v>45358</v>
      </c>
      <c r="D3475" t="inlineStr">
        <is>
          <t>HALLANDS LÄN</t>
        </is>
      </c>
      <c r="E3475" t="inlineStr">
        <is>
          <t>FALKENBERG</t>
        </is>
      </c>
      <c r="G3475" t="n">
        <v>1</v>
      </c>
      <c r="H3475" t="n">
        <v>0</v>
      </c>
      <c r="I3475" t="n">
        <v>0</v>
      </c>
      <c r="J3475" t="n">
        <v>0</v>
      </c>
      <c r="K3475" t="n">
        <v>0</v>
      </c>
      <c r="L3475" t="n">
        <v>0</v>
      </c>
      <c r="M3475" t="n">
        <v>0</v>
      </c>
      <c r="N3475" t="n">
        <v>0</v>
      </c>
      <c r="O3475" t="n">
        <v>0</v>
      </c>
      <c r="P3475" t="n">
        <v>0</v>
      </c>
      <c r="Q3475" t="n">
        <v>0</v>
      </c>
      <c r="R3475" s="2" t="inlineStr"/>
    </row>
    <row r="3476" ht="15" customHeight="1">
      <c r="A3476" t="inlineStr">
        <is>
          <t>A 48862-2023</t>
        </is>
      </c>
      <c r="B3476" s="1" t="n">
        <v>45209</v>
      </c>
      <c r="C3476" s="1" t="n">
        <v>45358</v>
      </c>
      <c r="D3476" t="inlineStr">
        <is>
          <t>HALLANDS LÄN</t>
        </is>
      </c>
      <c r="E3476" t="inlineStr">
        <is>
          <t>HALMSTAD</t>
        </is>
      </c>
      <c r="G3476" t="n">
        <v>0.6</v>
      </c>
      <c r="H3476" t="n">
        <v>0</v>
      </c>
      <c r="I3476" t="n">
        <v>0</v>
      </c>
      <c r="J3476" t="n">
        <v>0</v>
      </c>
      <c r="K3476" t="n">
        <v>0</v>
      </c>
      <c r="L3476" t="n">
        <v>0</v>
      </c>
      <c r="M3476" t="n">
        <v>0</v>
      </c>
      <c r="N3476" t="n">
        <v>0</v>
      </c>
      <c r="O3476" t="n">
        <v>0</v>
      </c>
      <c r="P3476" t="n">
        <v>0</v>
      </c>
      <c r="Q3476" t="n">
        <v>0</v>
      </c>
      <c r="R3476" s="2" t="inlineStr"/>
    </row>
    <row r="3477" ht="15" customHeight="1">
      <c r="A3477" t="inlineStr">
        <is>
          <t>A 49182-2023</t>
        </is>
      </c>
      <c r="B3477" s="1" t="n">
        <v>45210</v>
      </c>
      <c r="C3477" s="1" t="n">
        <v>45358</v>
      </c>
      <c r="D3477" t="inlineStr">
        <is>
          <t>HALLANDS LÄN</t>
        </is>
      </c>
      <c r="E3477" t="inlineStr">
        <is>
          <t>VARBERG</t>
        </is>
      </c>
      <c r="G3477" t="n">
        <v>5.6</v>
      </c>
      <c r="H3477" t="n">
        <v>0</v>
      </c>
      <c r="I3477" t="n">
        <v>0</v>
      </c>
      <c r="J3477" t="n">
        <v>0</v>
      </c>
      <c r="K3477" t="n">
        <v>0</v>
      </c>
      <c r="L3477" t="n">
        <v>0</v>
      </c>
      <c r="M3477" t="n">
        <v>0</v>
      </c>
      <c r="N3477" t="n">
        <v>0</v>
      </c>
      <c r="O3477" t="n">
        <v>0</v>
      </c>
      <c r="P3477" t="n">
        <v>0</v>
      </c>
      <c r="Q3477" t="n">
        <v>0</v>
      </c>
      <c r="R3477" s="2" t="inlineStr"/>
    </row>
    <row r="3478" ht="15" customHeight="1">
      <c r="A3478" t="inlineStr">
        <is>
          <t>A 50595-2023</t>
        </is>
      </c>
      <c r="B3478" s="1" t="n">
        <v>45210</v>
      </c>
      <c r="C3478" s="1" t="n">
        <v>45358</v>
      </c>
      <c r="D3478" t="inlineStr">
        <is>
          <t>HALLANDS LÄN</t>
        </is>
      </c>
      <c r="E3478" t="inlineStr">
        <is>
          <t>HALMSTAD</t>
        </is>
      </c>
      <c r="G3478" t="n">
        <v>1.8</v>
      </c>
      <c r="H3478" t="n">
        <v>0</v>
      </c>
      <c r="I3478" t="n">
        <v>0</v>
      </c>
      <c r="J3478" t="n">
        <v>0</v>
      </c>
      <c r="K3478" t="n">
        <v>0</v>
      </c>
      <c r="L3478" t="n">
        <v>0</v>
      </c>
      <c r="M3478" t="n">
        <v>0</v>
      </c>
      <c r="N3478" t="n">
        <v>0</v>
      </c>
      <c r="O3478" t="n">
        <v>0</v>
      </c>
      <c r="P3478" t="n">
        <v>0</v>
      </c>
      <c r="Q3478" t="n">
        <v>0</v>
      </c>
      <c r="R3478" s="2" t="inlineStr"/>
    </row>
    <row r="3479" ht="15" customHeight="1">
      <c r="A3479" t="inlineStr">
        <is>
          <t>A 49393-2023</t>
        </is>
      </c>
      <c r="B3479" s="1" t="n">
        <v>45211</v>
      </c>
      <c r="C3479" s="1" t="n">
        <v>45358</v>
      </c>
      <c r="D3479" t="inlineStr">
        <is>
          <t>HALLANDS LÄN</t>
        </is>
      </c>
      <c r="E3479" t="inlineStr">
        <is>
          <t>HYLTE</t>
        </is>
      </c>
      <c r="G3479" t="n">
        <v>0.7</v>
      </c>
      <c r="H3479" t="n">
        <v>0</v>
      </c>
      <c r="I3479" t="n">
        <v>0</v>
      </c>
      <c r="J3479" t="n">
        <v>0</v>
      </c>
      <c r="K3479" t="n">
        <v>0</v>
      </c>
      <c r="L3479" t="n">
        <v>0</v>
      </c>
      <c r="M3479" t="n">
        <v>0</v>
      </c>
      <c r="N3479" t="n">
        <v>0</v>
      </c>
      <c r="O3479" t="n">
        <v>0</v>
      </c>
      <c r="P3479" t="n">
        <v>0</v>
      </c>
      <c r="Q3479" t="n">
        <v>0</v>
      </c>
      <c r="R3479" s="2" t="inlineStr"/>
    </row>
    <row r="3480" ht="15" customHeight="1">
      <c r="A3480" t="inlineStr">
        <is>
          <t>A 49400-2023</t>
        </is>
      </c>
      <c r="B3480" s="1" t="n">
        <v>45211</v>
      </c>
      <c r="C3480" s="1" t="n">
        <v>45358</v>
      </c>
      <c r="D3480" t="inlineStr">
        <is>
          <t>HALLANDS LÄN</t>
        </is>
      </c>
      <c r="E3480" t="inlineStr">
        <is>
          <t>HYLTE</t>
        </is>
      </c>
      <c r="G3480" t="n">
        <v>4.4</v>
      </c>
      <c r="H3480" t="n">
        <v>0</v>
      </c>
      <c r="I3480" t="n">
        <v>0</v>
      </c>
      <c r="J3480" t="n">
        <v>0</v>
      </c>
      <c r="K3480" t="n">
        <v>0</v>
      </c>
      <c r="L3480" t="n">
        <v>0</v>
      </c>
      <c r="M3480" t="n">
        <v>0</v>
      </c>
      <c r="N3480" t="n">
        <v>0</v>
      </c>
      <c r="O3480" t="n">
        <v>0</v>
      </c>
      <c r="P3480" t="n">
        <v>0</v>
      </c>
      <c r="Q3480" t="n">
        <v>0</v>
      </c>
      <c r="R3480" s="2" t="inlineStr"/>
    </row>
    <row r="3481" ht="15" customHeight="1">
      <c r="A3481" t="inlineStr">
        <is>
          <t>A 49569-2023</t>
        </is>
      </c>
      <c r="B3481" s="1" t="n">
        <v>45211</v>
      </c>
      <c r="C3481" s="1" t="n">
        <v>45358</v>
      </c>
      <c r="D3481" t="inlineStr">
        <is>
          <t>HALLANDS LÄN</t>
        </is>
      </c>
      <c r="E3481" t="inlineStr">
        <is>
          <t>LAHOLM</t>
        </is>
      </c>
      <c r="G3481" t="n">
        <v>0.5</v>
      </c>
      <c r="H3481" t="n">
        <v>0</v>
      </c>
      <c r="I3481" t="n">
        <v>0</v>
      </c>
      <c r="J3481" t="n">
        <v>0</v>
      </c>
      <c r="K3481" t="n">
        <v>0</v>
      </c>
      <c r="L3481" t="n">
        <v>0</v>
      </c>
      <c r="M3481" t="n">
        <v>0</v>
      </c>
      <c r="N3481" t="n">
        <v>0</v>
      </c>
      <c r="O3481" t="n">
        <v>0</v>
      </c>
      <c r="P3481" t="n">
        <v>0</v>
      </c>
      <c r="Q3481" t="n">
        <v>0</v>
      </c>
      <c r="R3481" s="2" t="inlineStr"/>
    </row>
    <row r="3482" ht="15" customHeight="1">
      <c r="A3482" t="inlineStr">
        <is>
          <t>A 49549-2023</t>
        </is>
      </c>
      <c r="B3482" s="1" t="n">
        <v>45211</v>
      </c>
      <c r="C3482" s="1" t="n">
        <v>45358</v>
      </c>
      <c r="D3482" t="inlineStr">
        <is>
          <t>HALLANDS LÄN</t>
        </is>
      </c>
      <c r="E3482" t="inlineStr">
        <is>
          <t>LAHOLM</t>
        </is>
      </c>
      <c r="G3482" t="n">
        <v>3.2</v>
      </c>
      <c r="H3482" t="n">
        <v>0</v>
      </c>
      <c r="I3482" t="n">
        <v>0</v>
      </c>
      <c r="J3482" t="n">
        <v>0</v>
      </c>
      <c r="K3482" t="n">
        <v>0</v>
      </c>
      <c r="L3482" t="n">
        <v>0</v>
      </c>
      <c r="M3482" t="n">
        <v>0</v>
      </c>
      <c r="N3482" t="n">
        <v>0</v>
      </c>
      <c r="O3482" t="n">
        <v>0</v>
      </c>
      <c r="P3482" t="n">
        <v>0</v>
      </c>
      <c r="Q3482" t="n">
        <v>0</v>
      </c>
      <c r="R3482" s="2" t="inlineStr"/>
    </row>
    <row r="3483" ht="15" customHeight="1">
      <c r="A3483" t="inlineStr">
        <is>
          <t>A 49610-2023</t>
        </is>
      </c>
      <c r="B3483" s="1" t="n">
        <v>45211</v>
      </c>
      <c r="C3483" s="1" t="n">
        <v>45358</v>
      </c>
      <c r="D3483" t="inlineStr">
        <is>
          <t>HALLANDS LÄN</t>
        </is>
      </c>
      <c r="E3483" t="inlineStr">
        <is>
          <t>FALKENBERG</t>
        </is>
      </c>
      <c r="G3483" t="n">
        <v>1.6</v>
      </c>
      <c r="H3483" t="n">
        <v>0</v>
      </c>
      <c r="I3483" t="n">
        <v>0</v>
      </c>
      <c r="J3483" t="n">
        <v>0</v>
      </c>
      <c r="K3483" t="n">
        <v>0</v>
      </c>
      <c r="L3483" t="n">
        <v>0</v>
      </c>
      <c r="M3483" t="n">
        <v>0</v>
      </c>
      <c r="N3483" t="n">
        <v>0</v>
      </c>
      <c r="O3483" t="n">
        <v>0</v>
      </c>
      <c r="P3483" t="n">
        <v>0</v>
      </c>
      <c r="Q3483" t="n">
        <v>0</v>
      </c>
      <c r="R3483" s="2" t="inlineStr"/>
    </row>
    <row r="3484" ht="15" customHeight="1">
      <c r="A3484" t="inlineStr">
        <is>
          <t>A 49600-2023</t>
        </is>
      </c>
      <c r="B3484" s="1" t="n">
        <v>45211</v>
      </c>
      <c r="C3484" s="1" t="n">
        <v>45358</v>
      </c>
      <c r="D3484" t="inlineStr">
        <is>
          <t>HALLANDS LÄN</t>
        </is>
      </c>
      <c r="E3484" t="inlineStr">
        <is>
          <t>FALKENBERG</t>
        </is>
      </c>
      <c r="G3484" t="n">
        <v>3.4</v>
      </c>
      <c r="H3484" t="n">
        <v>0</v>
      </c>
      <c r="I3484" t="n">
        <v>0</v>
      </c>
      <c r="J3484" t="n">
        <v>0</v>
      </c>
      <c r="K3484" t="n">
        <v>0</v>
      </c>
      <c r="L3484" t="n">
        <v>0</v>
      </c>
      <c r="M3484" t="n">
        <v>0</v>
      </c>
      <c r="N3484" t="n">
        <v>0</v>
      </c>
      <c r="O3484" t="n">
        <v>0</v>
      </c>
      <c r="P3484" t="n">
        <v>0</v>
      </c>
      <c r="Q3484" t="n">
        <v>0</v>
      </c>
      <c r="R3484" s="2" t="inlineStr"/>
    </row>
    <row r="3485" ht="15" customHeight="1">
      <c r="A3485" t="inlineStr">
        <is>
          <t>A 49609-2023</t>
        </is>
      </c>
      <c r="B3485" s="1" t="n">
        <v>45211</v>
      </c>
      <c r="C3485" s="1" t="n">
        <v>45358</v>
      </c>
      <c r="D3485" t="inlineStr">
        <is>
          <t>HALLANDS LÄN</t>
        </is>
      </c>
      <c r="E3485" t="inlineStr">
        <is>
          <t>FALKENBERG</t>
        </is>
      </c>
      <c r="G3485" t="n">
        <v>0</v>
      </c>
      <c r="H3485" t="n">
        <v>0</v>
      </c>
      <c r="I3485" t="n">
        <v>0</v>
      </c>
      <c r="J3485" t="n">
        <v>0</v>
      </c>
      <c r="K3485" t="n">
        <v>0</v>
      </c>
      <c r="L3485" t="n">
        <v>0</v>
      </c>
      <c r="M3485" t="n">
        <v>0</v>
      </c>
      <c r="N3485" t="n">
        <v>0</v>
      </c>
      <c r="O3485" t="n">
        <v>0</v>
      </c>
      <c r="P3485" t="n">
        <v>0</v>
      </c>
      <c r="Q3485" t="n">
        <v>0</v>
      </c>
      <c r="R3485" s="2" t="inlineStr"/>
    </row>
    <row r="3486" ht="15" customHeight="1">
      <c r="A3486" t="inlineStr">
        <is>
          <t>A 49608-2023</t>
        </is>
      </c>
      <c r="B3486" s="1" t="n">
        <v>45211</v>
      </c>
      <c r="C3486" s="1" t="n">
        <v>45358</v>
      </c>
      <c r="D3486" t="inlineStr">
        <is>
          <t>HALLANDS LÄN</t>
        </is>
      </c>
      <c r="E3486" t="inlineStr">
        <is>
          <t>FALKENBERG</t>
        </is>
      </c>
      <c r="G3486" t="n">
        <v>0.9</v>
      </c>
      <c r="H3486" t="n">
        <v>0</v>
      </c>
      <c r="I3486" t="n">
        <v>0</v>
      </c>
      <c r="J3486" t="n">
        <v>0</v>
      </c>
      <c r="K3486" t="n">
        <v>0</v>
      </c>
      <c r="L3486" t="n">
        <v>0</v>
      </c>
      <c r="M3486" t="n">
        <v>0</v>
      </c>
      <c r="N3486" t="n">
        <v>0</v>
      </c>
      <c r="O3486" t="n">
        <v>0</v>
      </c>
      <c r="P3486" t="n">
        <v>0</v>
      </c>
      <c r="Q3486" t="n">
        <v>0</v>
      </c>
      <c r="R3486" s="2" t="inlineStr"/>
    </row>
    <row r="3487" ht="15" customHeight="1">
      <c r="A3487" t="inlineStr">
        <is>
          <t>A 49760-2023</t>
        </is>
      </c>
      <c r="B3487" s="1" t="n">
        <v>45212</v>
      </c>
      <c r="C3487" s="1" t="n">
        <v>45358</v>
      </c>
      <c r="D3487" t="inlineStr">
        <is>
          <t>HALLANDS LÄN</t>
        </is>
      </c>
      <c r="E3487" t="inlineStr">
        <is>
          <t>FALKENBERG</t>
        </is>
      </c>
      <c r="G3487" t="n">
        <v>3.6</v>
      </c>
      <c r="H3487" t="n">
        <v>0</v>
      </c>
      <c r="I3487" t="n">
        <v>0</v>
      </c>
      <c r="J3487" t="n">
        <v>0</v>
      </c>
      <c r="K3487" t="n">
        <v>0</v>
      </c>
      <c r="L3487" t="n">
        <v>0</v>
      </c>
      <c r="M3487" t="n">
        <v>0</v>
      </c>
      <c r="N3487" t="n">
        <v>0</v>
      </c>
      <c r="O3487" t="n">
        <v>0</v>
      </c>
      <c r="P3487" t="n">
        <v>0</v>
      </c>
      <c r="Q3487" t="n">
        <v>0</v>
      </c>
      <c r="R3487" s="2" t="inlineStr"/>
    </row>
    <row r="3488" ht="15" customHeight="1">
      <c r="A3488" t="inlineStr">
        <is>
          <t>A 49731-2023</t>
        </is>
      </c>
      <c r="B3488" s="1" t="n">
        <v>45212</v>
      </c>
      <c r="C3488" s="1" t="n">
        <v>45358</v>
      </c>
      <c r="D3488" t="inlineStr">
        <is>
          <t>HALLANDS LÄN</t>
        </is>
      </c>
      <c r="E3488" t="inlineStr">
        <is>
          <t>HYLTE</t>
        </is>
      </c>
      <c r="G3488" t="n">
        <v>3.2</v>
      </c>
      <c r="H3488" t="n">
        <v>0</v>
      </c>
      <c r="I3488" t="n">
        <v>0</v>
      </c>
      <c r="J3488" t="n">
        <v>0</v>
      </c>
      <c r="K3488" t="n">
        <v>0</v>
      </c>
      <c r="L3488" t="n">
        <v>0</v>
      </c>
      <c r="M3488" t="n">
        <v>0</v>
      </c>
      <c r="N3488" t="n">
        <v>0</v>
      </c>
      <c r="O3488" t="n">
        <v>0</v>
      </c>
      <c r="P3488" t="n">
        <v>0</v>
      </c>
      <c r="Q3488" t="n">
        <v>0</v>
      </c>
      <c r="R3488" s="2" t="inlineStr"/>
    </row>
    <row r="3489" ht="15" customHeight="1">
      <c r="A3489" t="inlineStr">
        <is>
          <t>A 49764-2023</t>
        </is>
      </c>
      <c r="B3489" s="1" t="n">
        <v>45212</v>
      </c>
      <c r="C3489" s="1" t="n">
        <v>45358</v>
      </c>
      <c r="D3489" t="inlineStr">
        <is>
          <t>HALLANDS LÄN</t>
        </is>
      </c>
      <c r="E3489" t="inlineStr">
        <is>
          <t>FALKENBERG</t>
        </is>
      </c>
      <c r="G3489" t="n">
        <v>4.5</v>
      </c>
      <c r="H3489" t="n">
        <v>0</v>
      </c>
      <c r="I3489" t="n">
        <v>0</v>
      </c>
      <c r="J3489" t="n">
        <v>0</v>
      </c>
      <c r="K3489" t="n">
        <v>0</v>
      </c>
      <c r="L3489" t="n">
        <v>0</v>
      </c>
      <c r="M3489" t="n">
        <v>0</v>
      </c>
      <c r="N3489" t="n">
        <v>0</v>
      </c>
      <c r="O3489" t="n">
        <v>0</v>
      </c>
      <c r="P3489" t="n">
        <v>0</v>
      </c>
      <c r="Q3489" t="n">
        <v>0</v>
      </c>
      <c r="R3489" s="2" t="inlineStr"/>
    </row>
    <row r="3490" ht="15" customHeight="1">
      <c r="A3490" t="inlineStr">
        <is>
          <t>A 50133-2023</t>
        </is>
      </c>
      <c r="B3490" s="1" t="n">
        <v>45215</v>
      </c>
      <c r="C3490" s="1" t="n">
        <v>45358</v>
      </c>
      <c r="D3490" t="inlineStr">
        <is>
          <t>HALLANDS LÄN</t>
        </is>
      </c>
      <c r="E3490" t="inlineStr">
        <is>
          <t>FALKENBERG</t>
        </is>
      </c>
      <c r="G3490" t="n">
        <v>1.4</v>
      </c>
      <c r="H3490" t="n">
        <v>0</v>
      </c>
      <c r="I3490" t="n">
        <v>0</v>
      </c>
      <c r="J3490" t="n">
        <v>0</v>
      </c>
      <c r="K3490" t="n">
        <v>0</v>
      </c>
      <c r="L3490" t="n">
        <v>0</v>
      </c>
      <c r="M3490" t="n">
        <v>0</v>
      </c>
      <c r="N3490" t="n">
        <v>0</v>
      </c>
      <c r="O3490" t="n">
        <v>0</v>
      </c>
      <c r="P3490" t="n">
        <v>0</v>
      </c>
      <c r="Q3490" t="n">
        <v>0</v>
      </c>
      <c r="R3490" s="2" t="inlineStr"/>
    </row>
    <row r="3491" ht="15" customHeight="1">
      <c r="A3491" t="inlineStr">
        <is>
          <t>A 50100-2023</t>
        </is>
      </c>
      <c r="B3491" s="1" t="n">
        <v>45215</v>
      </c>
      <c r="C3491" s="1" t="n">
        <v>45358</v>
      </c>
      <c r="D3491" t="inlineStr">
        <is>
          <t>HALLANDS LÄN</t>
        </is>
      </c>
      <c r="E3491" t="inlineStr">
        <is>
          <t>LAHOLM</t>
        </is>
      </c>
      <c r="G3491" t="n">
        <v>0.8</v>
      </c>
      <c r="H3491" t="n">
        <v>0</v>
      </c>
      <c r="I3491" t="n">
        <v>0</v>
      </c>
      <c r="J3491" t="n">
        <v>0</v>
      </c>
      <c r="K3491" t="n">
        <v>0</v>
      </c>
      <c r="L3491" t="n">
        <v>0</v>
      </c>
      <c r="M3491" t="n">
        <v>0</v>
      </c>
      <c r="N3491" t="n">
        <v>0</v>
      </c>
      <c r="O3491" t="n">
        <v>0</v>
      </c>
      <c r="P3491" t="n">
        <v>0</v>
      </c>
      <c r="Q3491" t="n">
        <v>0</v>
      </c>
      <c r="R3491" s="2" t="inlineStr"/>
    </row>
    <row r="3492" ht="15" customHeight="1">
      <c r="A3492" t="inlineStr">
        <is>
          <t>A 50113-2023</t>
        </is>
      </c>
      <c r="B3492" s="1" t="n">
        <v>45215</v>
      </c>
      <c r="C3492" s="1" t="n">
        <v>45358</v>
      </c>
      <c r="D3492" t="inlineStr">
        <is>
          <t>HALLANDS LÄN</t>
        </is>
      </c>
      <c r="E3492" t="inlineStr">
        <is>
          <t>HALMSTAD</t>
        </is>
      </c>
      <c r="G3492" t="n">
        <v>1.9</v>
      </c>
      <c r="H3492" t="n">
        <v>0</v>
      </c>
      <c r="I3492" t="n">
        <v>0</v>
      </c>
      <c r="J3492" t="n">
        <v>0</v>
      </c>
      <c r="K3492" t="n">
        <v>0</v>
      </c>
      <c r="L3492" t="n">
        <v>0</v>
      </c>
      <c r="M3492" t="n">
        <v>0</v>
      </c>
      <c r="N3492" t="n">
        <v>0</v>
      </c>
      <c r="O3492" t="n">
        <v>0</v>
      </c>
      <c r="P3492" t="n">
        <v>0</v>
      </c>
      <c r="Q3492" t="n">
        <v>0</v>
      </c>
      <c r="R3492" s="2" t="inlineStr"/>
    </row>
    <row r="3493" ht="15" customHeight="1">
      <c r="A3493" t="inlineStr">
        <is>
          <t>A 50099-2023</t>
        </is>
      </c>
      <c r="B3493" s="1" t="n">
        <v>45215</v>
      </c>
      <c r="C3493" s="1" t="n">
        <v>45358</v>
      </c>
      <c r="D3493" t="inlineStr">
        <is>
          <t>HALLANDS LÄN</t>
        </is>
      </c>
      <c r="E3493" t="inlineStr">
        <is>
          <t>LAHOLM</t>
        </is>
      </c>
      <c r="G3493" t="n">
        <v>0.7</v>
      </c>
      <c r="H3493" t="n">
        <v>0</v>
      </c>
      <c r="I3493" t="n">
        <v>0</v>
      </c>
      <c r="J3493" t="n">
        <v>0</v>
      </c>
      <c r="K3493" t="n">
        <v>0</v>
      </c>
      <c r="L3493" t="n">
        <v>0</v>
      </c>
      <c r="M3493" t="n">
        <v>0</v>
      </c>
      <c r="N3493" t="n">
        <v>0</v>
      </c>
      <c r="O3493" t="n">
        <v>0</v>
      </c>
      <c r="P3493" t="n">
        <v>0</v>
      </c>
      <c r="Q3493" t="n">
        <v>0</v>
      </c>
      <c r="R3493" s="2" t="inlineStr"/>
    </row>
    <row r="3494" ht="15" customHeight="1">
      <c r="A3494" t="inlineStr">
        <is>
          <t>A 50466-2023</t>
        </is>
      </c>
      <c r="B3494" s="1" t="n">
        <v>45216</v>
      </c>
      <c r="C3494" s="1" t="n">
        <v>45358</v>
      </c>
      <c r="D3494" t="inlineStr">
        <is>
          <t>HALLANDS LÄN</t>
        </is>
      </c>
      <c r="E3494" t="inlineStr">
        <is>
          <t>VARBERG</t>
        </is>
      </c>
      <c r="G3494" t="n">
        <v>0.7</v>
      </c>
      <c r="H3494" t="n">
        <v>0</v>
      </c>
      <c r="I3494" t="n">
        <v>0</v>
      </c>
      <c r="J3494" t="n">
        <v>0</v>
      </c>
      <c r="K3494" t="n">
        <v>0</v>
      </c>
      <c r="L3494" t="n">
        <v>0</v>
      </c>
      <c r="M3494" t="n">
        <v>0</v>
      </c>
      <c r="N3494" t="n">
        <v>0</v>
      </c>
      <c r="O3494" t="n">
        <v>0</v>
      </c>
      <c r="P3494" t="n">
        <v>0</v>
      </c>
      <c r="Q3494" t="n">
        <v>0</v>
      </c>
      <c r="R3494" s="2" t="inlineStr"/>
    </row>
    <row r="3495" ht="15" customHeight="1">
      <c r="A3495" t="inlineStr">
        <is>
          <t>A 50448-2023</t>
        </is>
      </c>
      <c r="B3495" s="1" t="n">
        <v>45216</v>
      </c>
      <c r="C3495" s="1" t="n">
        <v>45358</v>
      </c>
      <c r="D3495" t="inlineStr">
        <is>
          <t>HALLANDS LÄN</t>
        </is>
      </c>
      <c r="E3495" t="inlineStr">
        <is>
          <t>LAHOLM</t>
        </is>
      </c>
      <c r="G3495" t="n">
        <v>1.4</v>
      </c>
      <c r="H3495" t="n">
        <v>0</v>
      </c>
      <c r="I3495" t="n">
        <v>0</v>
      </c>
      <c r="J3495" t="n">
        <v>0</v>
      </c>
      <c r="K3495" t="n">
        <v>0</v>
      </c>
      <c r="L3495" t="n">
        <v>0</v>
      </c>
      <c r="M3495" t="n">
        <v>0</v>
      </c>
      <c r="N3495" t="n">
        <v>0</v>
      </c>
      <c r="O3495" t="n">
        <v>0</v>
      </c>
      <c r="P3495" t="n">
        <v>0</v>
      </c>
      <c r="Q3495" t="n">
        <v>0</v>
      </c>
      <c r="R3495" s="2" t="inlineStr"/>
    </row>
    <row r="3496" ht="15" customHeight="1">
      <c r="A3496" t="inlineStr">
        <is>
          <t>A 50387-2023</t>
        </is>
      </c>
      <c r="B3496" s="1" t="n">
        <v>45216</v>
      </c>
      <c r="C3496" s="1" t="n">
        <v>45358</v>
      </c>
      <c r="D3496" t="inlineStr">
        <is>
          <t>HALLANDS LÄN</t>
        </is>
      </c>
      <c r="E3496" t="inlineStr">
        <is>
          <t>HALMSTAD</t>
        </is>
      </c>
      <c r="G3496" t="n">
        <v>0.6</v>
      </c>
      <c r="H3496" t="n">
        <v>0</v>
      </c>
      <c r="I3496" t="n">
        <v>0</v>
      </c>
      <c r="J3496" t="n">
        <v>0</v>
      </c>
      <c r="K3496" t="n">
        <v>0</v>
      </c>
      <c r="L3496" t="n">
        <v>0</v>
      </c>
      <c r="M3496" t="n">
        <v>0</v>
      </c>
      <c r="N3496" t="n">
        <v>0</v>
      </c>
      <c r="O3496" t="n">
        <v>0</v>
      </c>
      <c r="P3496" t="n">
        <v>0</v>
      </c>
      <c r="Q3496" t="n">
        <v>0</v>
      </c>
      <c r="R3496" s="2" t="inlineStr"/>
    </row>
    <row r="3497" ht="15" customHeight="1">
      <c r="A3497" t="inlineStr">
        <is>
          <t>A 50682-2023</t>
        </is>
      </c>
      <c r="B3497" s="1" t="n">
        <v>45217</v>
      </c>
      <c r="C3497" s="1" t="n">
        <v>45358</v>
      </c>
      <c r="D3497" t="inlineStr">
        <is>
          <t>HALLANDS LÄN</t>
        </is>
      </c>
      <c r="E3497" t="inlineStr">
        <is>
          <t>VARBERG</t>
        </is>
      </c>
      <c r="G3497" t="n">
        <v>1.7</v>
      </c>
      <c r="H3497" t="n">
        <v>0</v>
      </c>
      <c r="I3497" t="n">
        <v>0</v>
      </c>
      <c r="J3497" t="n">
        <v>0</v>
      </c>
      <c r="K3497" t="n">
        <v>0</v>
      </c>
      <c r="L3497" t="n">
        <v>0</v>
      </c>
      <c r="M3497" t="n">
        <v>0</v>
      </c>
      <c r="N3497" t="n">
        <v>0</v>
      </c>
      <c r="O3497" t="n">
        <v>0</v>
      </c>
      <c r="P3497" t="n">
        <v>0</v>
      </c>
      <c r="Q3497" t="n">
        <v>0</v>
      </c>
      <c r="R3497" s="2" t="inlineStr"/>
    </row>
    <row r="3498" ht="15" customHeight="1">
      <c r="A3498" t="inlineStr">
        <is>
          <t>A 50593-2023</t>
        </is>
      </c>
      <c r="B3498" s="1" t="n">
        <v>45217</v>
      </c>
      <c r="C3498" s="1" t="n">
        <v>45358</v>
      </c>
      <c r="D3498" t="inlineStr">
        <is>
          <t>HALLANDS LÄN</t>
        </is>
      </c>
      <c r="E3498" t="inlineStr">
        <is>
          <t>HALMSTAD</t>
        </is>
      </c>
      <c r="G3498" t="n">
        <v>0.3</v>
      </c>
      <c r="H3498" t="n">
        <v>0</v>
      </c>
      <c r="I3498" t="n">
        <v>0</v>
      </c>
      <c r="J3498" t="n">
        <v>0</v>
      </c>
      <c r="K3498" t="n">
        <v>0</v>
      </c>
      <c r="L3498" t="n">
        <v>0</v>
      </c>
      <c r="M3498" t="n">
        <v>0</v>
      </c>
      <c r="N3498" t="n">
        <v>0</v>
      </c>
      <c r="O3498" t="n">
        <v>0</v>
      </c>
      <c r="P3498" t="n">
        <v>0</v>
      </c>
      <c r="Q3498" t="n">
        <v>0</v>
      </c>
      <c r="R3498" s="2" t="inlineStr"/>
    </row>
    <row r="3499" ht="15" customHeight="1">
      <c r="A3499" t="inlineStr">
        <is>
          <t>A 50603-2023</t>
        </is>
      </c>
      <c r="B3499" s="1" t="n">
        <v>45217</v>
      </c>
      <c r="C3499" s="1" t="n">
        <v>45358</v>
      </c>
      <c r="D3499" t="inlineStr">
        <is>
          <t>HALLANDS LÄN</t>
        </is>
      </c>
      <c r="E3499" t="inlineStr">
        <is>
          <t>HALMSTAD</t>
        </is>
      </c>
      <c r="G3499" t="n">
        <v>1.4</v>
      </c>
      <c r="H3499" t="n">
        <v>0</v>
      </c>
      <c r="I3499" t="n">
        <v>0</v>
      </c>
      <c r="J3499" t="n">
        <v>0</v>
      </c>
      <c r="K3499" t="n">
        <v>0</v>
      </c>
      <c r="L3499" t="n">
        <v>0</v>
      </c>
      <c r="M3499" t="n">
        <v>0</v>
      </c>
      <c r="N3499" t="n">
        <v>0</v>
      </c>
      <c r="O3499" t="n">
        <v>0</v>
      </c>
      <c r="P3499" t="n">
        <v>0</v>
      </c>
      <c r="Q3499" t="n">
        <v>0</v>
      </c>
      <c r="R3499" s="2" t="inlineStr"/>
    </row>
    <row r="3500" ht="15" customHeight="1">
      <c r="A3500" t="inlineStr">
        <is>
          <t>A 50681-2023</t>
        </is>
      </c>
      <c r="B3500" s="1" t="n">
        <v>45217</v>
      </c>
      <c r="C3500" s="1" t="n">
        <v>45358</v>
      </c>
      <c r="D3500" t="inlineStr">
        <is>
          <t>HALLANDS LÄN</t>
        </is>
      </c>
      <c r="E3500" t="inlineStr">
        <is>
          <t>VARBERG</t>
        </is>
      </c>
      <c r="G3500" t="n">
        <v>1.7</v>
      </c>
      <c r="H3500" t="n">
        <v>0</v>
      </c>
      <c r="I3500" t="n">
        <v>0</v>
      </c>
      <c r="J3500" t="n">
        <v>0</v>
      </c>
      <c r="K3500" t="n">
        <v>0</v>
      </c>
      <c r="L3500" t="n">
        <v>0</v>
      </c>
      <c r="M3500" t="n">
        <v>0</v>
      </c>
      <c r="N3500" t="n">
        <v>0</v>
      </c>
      <c r="O3500" t="n">
        <v>0</v>
      </c>
      <c r="P3500" t="n">
        <v>0</v>
      </c>
      <c r="Q3500" t="n">
        <v>0</v>
      </c>
      <c r="R3500" s="2" t="inlineStr"/>
    </row>
    <row r="3501" ht="15" customHeight="1">
      <c r="A3501" t="inlineStr">
        <is>
          <t>A 50791-2023</t>
        </is>
      </c>
      <c r="B3501" s="1" t="n">
        <v>45217</v>
      </c>
      <c r="C3501" s="1" t="n">
        <v>45358</v>
      </c>
      <c r="D3501" t="inlineStr">
        <is>
          <t>HALLANDS LÄN</t>
        </is>
      </c>
      <c r="E3501" t="inlineStr">
        <is>
          <t>HALMSTAD</t>
        </is>
      </c>
      <c r="G3501" t="n">
        <v>0.8</v>
      </c>
      <c r="H3501" t="n">
        <v>0</v>
      </c>
      <c r="I3501" t="n">
        <v>0</v>
      </c>
      <c r="J3501" t="n">
        <v>0</v>
      </c>
      <c r="K3501" t="n">
        <v>0</v>
      </c>
      <c r="L3501" t="n">
        <v>0</v>
      </c>
      <c r="M3501" t="n">
        <v>0</v>
      </c>
      <c r="N3501" t="n">
        <v>0</v>
      </c>
      <c r="O3501" t="n">
        <v>0</v>
      </c>
      <c r="P3501" t="n">
        <v>0</v>
      </c>
      <c r="Q3501" t="n">
        <v>0</v>
      </c>
      <c r="R3501" s="2" t="inlineStr"/>
    </row>
    <row r="3502" ht="15" customHeight="1">
      <c r="A3502" t="inlineStr">
        <is>
          <t>A 50883-2023</t>
        </is>
      </c>
      <c r="B3502" s="1" t="n">
        <v>45218</v>
      </c>
      <c r="C3502" s="1" t="n">
        <v>45358</v>
      </c>
      <c r="D3502" t="inlineStr">
        <is>
          <t>HALLANDS LÄN</t>
        </is>
      </c>
      <c r="E3502" t="inlineStr">
        <is>
          <t>HYLTE</t>
        </is>
      </c>
      <c r="G3502" t="n">
        <v>3.1</v>
      </c>
      <c r="H3502" t="n">
        <v>0</v>
      </c>
      <c r="I3502" t="n">
        <v>0</v>
      </c>
      <c r="J3502" t="n">
        <v>0</v>
      </c>
      <c r="K3502" t="n">
        <v>0</v>
      </c>
      <c r="L3502" t="n">
        <v>0</v>
      </c>
      <c r="M3502" t="n">
        <v>0</v>
      </c>
      <c r="N3502" t="n">
        <v>0</v>
      </c>
      <c r="O3502" t="n">
        <v>0</v>
      </c>
      <c r="P3502" t="n">
        <v>0</v>
      </c>
      <c r="Q3502" t="n">
        <v>0</v>
      </c>
      <c r="R3502" s="2" t="inlineStr"/>
    </row>
    <row r="3503" ht="15" customHeight="1">
      <c r="A3503" t="inlineStr">
        <is>
          <t>A 51036-2023</t>
        </is>
      </c>
      <c r="B3503" s="1" t="n">
        <v>45218</v>
      </c>
      <c r="C3503" s="1" t="n">
        <v>45358</v>
      </c>
      <c r="D3503" t="inlineStr">
        <is>
          <t>HALLANDS LÄN</t>
        </is>
      </c>
      <c r="E3503" t="inlineStr">
        <is>
          <t>VARBERG</t>
        </is>
      </c>
      <c r="G3503" t="n">
        <v>3.5</v>
      </c>
      <c r="H3503" t="n">
        <v>0</v>
      </c>
      <c r="I3503" t="n">
        <v>0</v>
      </c>
      <c r="J3503" t="n">
        <v>0</v>
      </c>
      <c r="K3503" t="n">
        <v>0</v>
      </c>
      <c r="L3503" t="n">
        <v>0</v>
      </c>
      <c r="M3503" t="n">
        <v>0</v>
      </c>
      <c r="N3503" t="n">
        <v>0</v>
      </c>
      <c r="O3503" t="n">
        <v>0</v>
      </c>
      <c r="P3503" t="n">
        <v>0</v>
      </c>
      <c r="Q3503" t="n">
        <v>0</v>
      </c>
      <c r="R3503" s="2" t="inlineStr"/>
    </row>
    <row r="3504" ht="15" customHeight="1">
      <c r="A3504" t="inlineStr">
        <is>
          <t>A 51141-2023</t>
        </is>
      </c>
      <c r="B3504" s="1" t="n">
        <v>45219</v>
      </c>
      <c r="C3504" s="1" t="n">
        <v>45358</v>
      </c>
      <c r="D3504" t="inlineStr">
        <is>
          <t>HALLANDS LÄN</t>
        </is>
      </c>
      <c r="E3504" t="inlineStr">
        <is>
          <t>LAHOLM</t>
        </is>
      </c>
      <c r="G3504" t="n">
        <v>0.8</v>
      </c>
      <c r="H3504" t="n">
        <v>0</v>
      </c>
      <c r="I3504" t="n">
        <v>0</v>
      </c>
      <c r="J3504" t="n">
        <v>0</v>
      </c>
      <c r="K3504" t="n">
        <v>0</v>
      </c>
      <c r="L3504" t="n">
        <v>0</v>
      </c>
      <c r="M3504" t="n">
        <v>0</v>
      </c>
      <c r="N3504" t="n">
        <v>0</v>
      </c>
      <c r="O3504" t="n">
        <v>0</v>
      </c>
      <c r="P3504" t="n">
        <v>0</v>
      </c>
      <c r="Q3504" t="n">
        <v>0</v>
      </c>
      <c r="R3504" s="2" t="inlineStr"/>
    </row>
    <row r="3505" ht="15" customHeight="1">
      <c r="A3505" t="inlineStr">
        <is>
          <t>A 51398-2023</t>
        </is>
      </c>
      <c r="B3505" s="1" t="n">
        <v>45219</v>
      </c>
      <c r="C3505" s="1" t="n">
        <v>45358</v>
      </c>
      <c r="D3505" t="inlineStr">
        <is>
          <t>HALLANDS LÄN</t>
        </is>
      </c>
      <c r="E3505" t="inlineStr">
        <is>
          <t>FALKENBERG</t>
        </is>
      </c>
      <c r="G3505" t="n">
        <v>2.9</v>
      </c>
      <c r="H3505" t="n">
        <v>0</v>
      </c>
      <c r="I3505" t="n">
        <v>0</v>
      </c>
      <c r="J3505" t="n">
        <v>0</v>
      </c>
      <c r="K3505" t="n">
        <v>0</v>
      </c>
      <c r="L3505" t="n">
        <v>0</v>
      </c>
      <c r="M3505" t="n">
        <v>0</v>
      </c>
      <c r="N3505" t="n">
        <v>0</v>
      </c>
      <c r="O3505" t="n">
        <v>0</v>
      </c>
      <c r="P3505" t="n">
        <v>0</v>
      </c>
      <c r="Q3505" t="n">
        <v>0</v>
      </c>
      <c r="R3505" s="2" t="inlineStr"/>
    </row>
    <row r="3506" ht="15" customHeight="1">
      <c r="A3506" t="inlineStr">
        <is>
          <t>A 51139-2023</t>
        </is>
      </c>
      <c r="B3506" s="1" t="n">
        <v>45219</v>
      </c>
      <c r="C3506" s="1" t="n">
        <v>45358</v>
      </c>
      <c r="D3506" t="inlineStr">
        <is>
          <t>HALLANDS LÄN</t>
        </is>
      </c>
      <c r="E3506" t="inlineStr">
        <is>
          <t>LAHOLM</t>
        </is>
      </c>
      <c r="G3506" t="n">
        <v>4</v>
      </c>
      <c r="H3506" t="n">
        <v>0</v>
      </c>
      <c r="I3506" t="n">
        <v>0</v>
      </c>
      <c r="J3506" t="n">
        <v>0</v>
      </c>
      <c r="K3506" t="n">
        <v>0</v>
      </c>
      <c r="L3506" t="n">
        <v>0</v>
      </c>
      <c r="M3506" t="n">
        <v>0</v>
      </c>
      <c r="N3506" t="n">
        <v>0</v>
      </c>
      <c r="O3506" t="n">
        <v>0</v>
      </c>
      <c r="P3506" t="n">
        <v>0</v>
      </c>
      <c r="Q3506" t="n">
        <v>0</v>
      </c>
      <c r="R3506" s="2" t="inlineStr"/>
    </row>
    <row r="3507" ht="15" customHeight="1">
      <c r="A3507" t="inlineStr">
        <is>
          <t>A 51420-2023</t>
        </is>
      </c>
      <c r="B3507" s="1" t="n">
        <v>45219</v>
      </c>
      <c r="C3507" s="1" t="n">
        <v>45358</v>
      </c>
      <c r="D3507" t="inlineStr">
        <is>
          <t>HALLANDS LÄN</t>
        </is>
      </c>
      <c r="E3507" t="inlineStr">
        <is>
          <t>FALKENBERG</t>
        </is>
      </c>
      <c r="G3507" t="n">
        <v>2.3</v>
      </c>
      <c r="H3507" t="n">
        <v>0</v>
      </c>
      <c r="I3507" t="n">
        <v>0</v>
      </c>
      <c r="J3507" t="n">
        <v>0</v>
      </c>
      <c r="K3507" t="n">
        <v>0</v>
      </c>
      <c r="L3507" t="n">
        <v>0</v>
      </c>
      <c r="M3507" t="n">
        <v>0</v>
      </c>
      <c r="N3507" t="n">
        <v>0</v>
      </c>
      <c r="O3507" t="n">
        <v>0</v>
      </c>
      <c r="P3507" t="n">
        <v>0</v>
      </c>
      <c r="Q3507" t="n">
        <v>0</v>
      </c>
      <c r="R3507" s="2" t="inlineStr"/>
    </row>
    <row r="3508" ht="15" customHeight="1">
      <c r="A3508" t="inlineStr">
        <is>
          <t>A 51403-2023</t>
        </is>
      </c>
      <c r="B3508" s="1" t="n">
        <v>45219</v>
      </c>
      <c r="C3508" s="1" t="n">
        <v>45358</v>
      </c>
      <c r="D3508" t="inlineStr">
        <is>
          <t>HALLANDS LÄN</t>
        </is>
      </c>
      <c r="E3508" t="inlineStr">
        <is>
          <t>FALKENBERG</t>
        </is>
      </c>
      <c r="G3508" t="n">
        <v>1.1</v>
      </c>
      <c r="H3508" t="n">
        <v>0</v>
      </c>
      <c r="I3508" t="n">
        <v>0</v>
      </c>
      <c r="J3508" t="n">
        <v>0</v>
      </c>
      <c r="K3508" t="n">
        <v>0</v>
      </c>
      <c r="L3508" t="n">
        <v>0</v>
      </c>
      <c r="M3508" t="n">
        <v>0</v>
      </c>
      <c r="N3508" t="n">
        <v>0</v>
      </c>
      <c r="O3508" t="n">
        <v>0</v>
      </c>
      <c r="P3508" t="n">
        <v>0</v>
      </c>
      <c r="Q3508" t="n">
        <v>0</v>
      </c>
      <c r="R3508" s="2" t="inlineStr"/>
    </row>
    <row r="3509" ht="15" customHeight="1">
      <c r="A3509" t="inlineStr">
        <is>
          <t>A 51138-2023</t>
        </is>
      </c>
      <c r="B3509" s="1" t="n">
        <v>45219</v>
      </c>
      <c r="C3509" s="1" t="n">
        <v>45358</v>
      </c>
      <c r="D3509" t="inlineStr">
        <is>
          <t>HALLANDS LÄN</t>
        </is>
      </c>
      <c r="E3509" t="inlineStr">
        <is>
          <t>LAHOLM</t>
        </is>
      </c>
      <c r="G3509" t="n">
        <v>1</v>
      </c>
      <c r="H3509" t="n">
        <v>0</v>
      </c>
      <c r="I3509" t="n">
        <v>0</v>
      </c>
      <c r="J3509" t="n">
        <v>0</v>
      </c>
      <c r="K3509" t="n">
        <v>0</v>
      </c>
      <c r="L3509" t="n">
        <v>0</v>
      </c>
      <c r="M3509" t="n">
        <v>0</v>
      </c>
      <c r="N3509" t="n">
        <v>0</v>
      </c>
      <c r="O3509" t="n">
        <v>0</v>
      </c>
      <c r="P3509" t="n">
        <v>0</v>
      </c>
      <c r="Q3509" t="n">
        <v>0</v>
      </c>
      <c r="R3509" s="2" t="inlineStr"/>
    </row>
    <row r="3510" ht="15" customHeight="1">
      <c r="A3510" t="inlineStr">
        <is>
          <t>A 51134-2023</t>
        </is>
      </c>
      <c r="B3510" s="1" t="n">
        <v>45219</v>
      </c>
      <c r="C3510" s="1" t="n">
        <v>45358</v>
      </c>
      <c r="D3510" t="inlineStr">
        <is>
          <t>HALLANDS LÄN</t>
        </is>
      </c>
      <c r="E3510" t="inlineStr">
        <is>
          <t>LAHOLM</t>
        </is>
      </c>
      <c r="G3510" t="n">
        <v>1.6</v>
      </c>
      <c r="H3510" t="n">
        <v>0</v>
      </c>
      <c r="I3510" t="n">
        <v>0</v>
      </c>
      <c r="J3510" t="n">
        <v>0</v>
      </c>
      <c r="K3510" t="n">
        <v>0</v>
      </c>
      <c r="L3510" t="n">
        <v>0</v>
      </c>
      <c r="M3510" t="n">
        <v>0</v>
      </c>
      <c r="N3510" t="n">
        <v>0</v>
      </c>
      <c r="O3510" t="n">
        <v>0</v>
      </c>
      <c r="P3510" t="n">
        <v>0</v>
      </c>
      <c r="Q3510" t="n">
        <v>0</v>
      </c>
      <c r="R3510" s="2" t="inlineStr"/>
    </row>
    <row r="3511" ht="15" customHeight="1">
      <c r="A3511" t="inlineStr">
        <is>
          <t>A 51266-2023</t>
        </is>
      </c>
      <c r="B3511" s="1" t="n">
        <v>45219</v>
      </c>
      <c r="C3511" s="1" t="n">
        <v>45358</v>
      </c>
      <c r="D3511" t="inlineStr">
        <is>
          <t>HALLANDS LÄN</t>
        </is>
      </c>
      <c r="E3511" t="inlineStr">
        <is>
          <t>VARBERG</t>
        </is>
      </c>
      <c r="G3511" t="n">
        <v>6.2</v>
      </c>
      <c r="H3511" t="n">
        <v>0</v>
      </c>
      <c r="I3511" t="n">
        <v>0</v>
      </c>
      <c r="J3511" t="n">
        <v>0</v>
      </c>
      <c r="K3511" t="n">
        <v>0</v>
      </c>
      <c r="L3511" t="n">
        <v>0</v>
      </c>
      <c r="M3511" t="n">
        <v>0</v>
      </c>
      <c r="N3511" t="n">
        <v>0</v>
      </c>
      <c r="O3511" t="n">
        <v>0</v>
      </c>
      <c r="P3511" t="n">
        <v>0</v>
      </c>
      <c r="Q3511" t="n">
        <v>0</v>
      </c>
      <c r="R3511" s="2" t="inlineStr"/>
    </row>
    <row r="3512" ht="15" customHeight="1">
      <c r="A3512" t="inlineStr">
        <is>
          <t>A 51316-2023</t>
        </is>
      </c>
      <c r="B3512" s="1" t="n">
        <v>45219</v>
      </c>
      <c r="C3512" s="1" t="n">
        <v>45358</v>
      </c>
      <c r="D3512" t="inlineStr">
        <is>
          <t>HALLANDS LÄN</t>
        </is>
      </c>
      <c r="E3512" t="inlineStr">
        <is>
          <t>KUNGSBACKA</t>
        </is>
      </c>
      <c r="G3512" t="n">
        <v>1.2</v>
      </c>
      <c r="H3512" t="n">
        <v>0</v>
      </c>
      <c r="I3512" t="n">
        <v>0</v>
      </c>
      <c r="J3512" t="n">
        <v>0</v>
      </c>
      <c r="K3512" t="n">
        <v>0</v>
      </c>
      <c r="L3512" t="n">
        <v>0</v>
      </c>
      <c r="M3512" t="n">
        <v>0</v>
      </c>
      <c r="N3512" t="n">
        <v>0</v>
      </c>
      <c r="O3512" t="n">
        <v>0</v>
      </c>
      <c r="P3512" t="n">
        <v>0</v>
      </c>
      <c r="Q3512" t="n">
        <v>0</v>
      </c>
      <c r="R3512" s="2" t="inlineStr"/>
    </row>
    <row r="3513" ht="15" customHeight="1">
      <c r="A3513" t="inlineStr">
        <is>
          <t>A 51391-2023</t>
        </is>
      </c>
      <c r="B3513" s="1" t="n">
        <v>45219</v>
      </c>
      <c r="C3513" s="1" t="n">
        <v>45358</v>
      </c>
      <c r="D3513" t="inlineStr">
        <is>
          <t>HALLANDS LÄN</t>
        </is>
      </c>
      <c r="E3513" t="inlineStr">
        <is>
          <t>FALKENBERG</t>
        </is>
      </c>
      <c r="G3513" t="n">
        <v>3.1</v>
      </c>
      <c r="H3513" t="n">
        <v>0</v>
      </c>
      <c r="I3513" t="n">
        <v>0</v>
      </c>
      <c r="J3513" t="n">
        <v>0</v>
      </c>
      <c r="K3513" t="n">
        <v>0</v>
      </c>
      <c r="L3513" t="n">
        <v>0</v>
      </c>
      <c r="M3513" t="n">
        <v>0</v>
      </c>
      <c r="N3513" t="n">
        <v>0</v>
      </c>
      <c r="O3513" t="n">
        <v>0</v>
      </c>
      <c r="P3513" t="n">
        <v>0</v>
      </c>
      <c r="Q3513" t="n">
        <v>0</v>
      </c>
      <c r="R3513" s="2" t="inlineStr"/>
    </row>
    <row r="3514" ht="15" customHeight="1">
      <c r="A3514" t="inlineStr">
        <is>
          <t>A 51131-2023</t>
        </is>
      </c>
      <c r="B3514" s="1" t="n">
        <v>45219</v>
      </c>
      <c r="C3514" s="1" t="n">
        <v>45358</v>
      </c>
      <c r="D3514" t="inlineStr">
        <is>
          <t>HALLANDS LÄN</t>
        </is>
      </c>
      <c r="E3514" t="inlineStr">
        <is>
          <t>LAHOLM</t>
        </is>
      </c>
      <c r="G3514" t="n">
        <v>3.6</v>
      </c>
      <c r="H3514" t="n">
        <v>0</v>
      </c>
      <c r="I3514" t="n">
        <v>0</v>
      </c>
      <c r="J3514" t="n">
        <v>0</v>
      </c>
      <c r="K3514" t="n">
        <v>0</v>
      </c>
      <c r="L3514" t="n">
        <v>0</v>
      </c>
      <c r="M3514" t="n">
        <v>0</v>
      </c>
      <c r="N3514" t="n">
        <v>0</v>
      </c>
      <c r="O3514" t="n">
        <v>0</v>
      </c>
      <c r="P3514" t="n">
        <v>0</v>
      </c>
      <c r="Q3514" t="n">
        <v>0</v>
      </c>
      <c r="R3514" s="2" t="inlineStr"/>
    </row>
    <row r="3515" ht="15" customHeight="1">
      <c r="A3515" t="inlineStr">
        <is>
          <t>A 51400-2023</t>
        </is>
      </c>
      <c r="B3515" s="1" t="n">
        <v>45219</v>
      </c>
      <c r="C3515" s="1" t="n">
        <v>45358</v>
      </c>
      <c r="D3515" t="inlineStr">
        <is>
          <t>HALLANDS LÄN</t>
        </is>
      </c>
      <c r="E3515" t="inlineStr">
        <is>
          <t>FALKENBERG</t>
        </is>
      </c>
      <c r="G3515" t="n">
        <v>1.1</v>
      </c>
      <c r="H3515" t="n">
        <v>0</v>
      </c>
      <c r="I3515" t="n">
        <v>0</v>
      </c>
      <c r="J3515" t="n">
        <v>0</v>
      </c>
      <c r="K3515" t="n">
        <v>0</v>
      </c>
      <c r="L3515" t="n">
        <v>0</v>
      </c>
      <c r="M3515" t="n">
        <v>0</v>
      </c>
      <c r="N3515" t="n">
        <v>0</v>
      </c>
      <c r="O3515" t="n">
        <v>0</v>
      </c>
      <c r="P3515" t="n">
        <v>0</v>
      </c>
      <c r="Q3515" t="n">
        <v>0</v>
      </c>
      <c r="R3515" s="2" t="inlineStr"/>
    </row>
    <row r="3516" ht="15" customHeight="1">
      <c r="A3516" t="inlineStr">
        <is>
          <t>A 51445-2023</t>
        </is>
      </c>
      <c r="B3516" s="1" t="n">
        <v>45220</v>
      </c>
      <c r="C3516" s="1" t="n">
        <v>45358</v>
      </c>
      <c r="D3516" t="inlineStr">
        <is>
          <t>HALLANDS LÄN</t>
        </is>
      </c>
      <c r="E3516" t="inlineStr">
        <is>
          <t>HALMSTAD</t>
        </is>
      </c>
      <c r="G3516" t="n">
        <v>4.9</v>
      </c>
      <c r="H3516" t="n">
        <v>0</v>
      </c>
      <c r="I3516" t="n">
        <v>0</v>
      </c>
      <c r="J3516" t="n">
        <v>0</v>
      </c>
      <c r="K3516" t="n">
        <v>0</v>
      </c>
      <c r="L3516" t="n">
        <v>0</v>
      </c>
      <c r="M3516" t="n">
        <v>0</v>
      </c>
      <c r="N3516" t="n">
        <v>0</v>
      </c>
      <c r="O3516" t="n">
        <v>0</v>
      </c>
      <c r="P3516" t="n">
        <v>0</v>
      </c>
      <c r="Q3516" t="n">
        <v>0</v>
      </c>
      <c r="R3516" s="2" t="inlineStr"/>
    </row>
    <row r="3517" ht="15" customHeight="1">
      <c r="A3517" t="inlineStr">
        <is>
          <t>A 51497-2023</t>
        </is>
      </c>
      <c r="B3517" s="1" t="n">
        <v>45222</v>
      </c>
      <c r="C3517" s="1" t="n">
        <v>45358</v>
      </c>
      <c r="D3517" t="inlineStr">
        <is>
          <t>HALLANDS LÄN</t>
        </is>
      </c>
      <c r="E3517" t="inlineStr">
        <is>
          <t>HYLTE</t>
        </is>
      </c>
      <c r="G3517" t="n">
        <v>0.8</v>
      </c>
      <c r="H3517" t="n">
        <v>0</v>
      </c>
      <c r="I3517" t="n">
        <v>0</v>
      </c>
      <c r="J3517" t="n">
        <v>0</v>
      </c>
      <c r="K3517" t="n">
        <v>0</v>
      </c>
      <c r="L3517" t="n">
        <v>0</v>
      </c>
      <c r="M3517" t="n">
        <v>0</v>
      </c>
      <c r="N3517" t="n">
        <v>0</v>
      </c>
      <c r="O3517" t="n">
        <v>0</v>
      </c>
      <c r="P3517" t="n">
        <v>0</v>
      </c>
      <c r="Q3517" t="n">
        <v>0</v>
      </c>
      <c r="R3517" s="2" t="inlineStr"/>
    </row>
    <row r="3518" ht="15" customHeight="1">
      <c r="A3518" t="inlineStr">
        <is>
          <t>A 51549-2023</t>
        </is>
      </c>
      <c r="B3518" s="1" t="n">
        <v>45222</v>
      </c>
      <c r="C3518" s="1" t="n">
        <v>45358</v>
      </c>
      <c r="D3518" t="inlineStr">
        <is>
          <t>HALLANDS LÄN</t>
        </is>
      </c>
      <c r="E3518" t="inlineStr">
        <is>
          <t>LAHOLM</t>
        </is>
      </c>
      <c r="G3518" t="n">
        <v>1.1</v>
      </c>
      <c r="H3518" t="n">
        <v>0</v>
      </c>
      <c r="I3518" t="n">
        <v>0</v>
      </c>
      <c r="J3518" t="n">
        <v>0</v>
      </c>
      <c r="K3518" t="n">
        <v>0</v>
      </c>
      <c r="L3518" t="n">
        <v>0</v>
      </c>
      <c r="M3518" t="n">
        <v>0</v>
      </c>
      <c r="N3518" t="n">
        <v>0</v>
      </c>
      <c r="O3518" t="n">
        <v>0</v>
      </c>
      <c r="P3518" t="n">
        <v>0</v>
      </c>
      <c r="Q3518" t="n">
        <v>0</v>
      </c>
      <c r="R3518" s="2" t="inlineStr"/>
    </row>
    <row r="3519" ht="15" customHeight="1">
      <c r="A3519" t="inlineStr">
        <is>
          <t>A 51535-2023</t>
        </is>
      </c>
      <c r="B3519" s="1" t="n">
        <v>45222</v>
      </c>
      <c r="C3519" s="1" t="n">
        <v>45358</v>
      </c>
      <c r="D3519" t="inlineStr">
        <is>
          <t>HALLANDS LÄN</t>
        </is>
      </c>
      <c r="E3519" t="inlineStr">
        <is>
          <t>VARBERG</t>
        </is>
      </c>
      <c r="G3519" t="n">
        <v>1.1</v>
      </c>
      <c r="H3519" t="n">
        <v>0</v>
      </c>
      <c r="I3519" t="n">
        <v>0</v>
      </c>
      <c r="J3519" t="n">
        <v>0</v>
      </c>
      <c r="K3519" t="n">
        <v>0</v>
      </c>
      <c r="L3519" t="n">
        <v>0</v>
      </c>
      <c r="M3519" t="n">
        <v>0</v>
      </c>
      <c r="N3519" t="n">
        <v>0</v>
      </c>
      <c r="O3519" t="n">
        <v>0</v>
      </c>
      <c r="P3519" t="n">
        <v>0</v>
      </c>
      <c r="Q3519" t="n">
        <v>0</v>
      </c>
      <c r="R3519" s="2" t="inlineStr"/>
    </row>
    <row r="3520" ht="15" customHeight="1">
      <c r="A3520" t="inlineStr">
        <is>
          <t>A 51566-2023</t>
        </is>
      </c>
      <c r="B3520" s="1" t="n">
        <v>45222</v>
      </c>
      <c r="C3520" s="1" t="n">
        <v>45358</v>
      </c>
      <c r="D3520" t="inlineStr">
        <is>
          <t>HALLANDS LÄN</t>
        </is>
      </c>
      <c r="E3520" t="inlineStr">
        <is>
          <t>HYLTE</t>
        </is>
      </c>
      <c r="G3520" t="n">
        <v>1.2</v>
      </c>
      <c r="H3520" t="n">
        <v>0</v>
      </c>
      <c r="I3520" t="n">
        <v>0</v>
      </c>
      <c r="J3520" t="n">
        <v>0</v>
      </c>
      <c r="K3520" t="n">
        <v>0</v>
      </c>
      <c r="L3520" t="n">
        <v>0</v>
      </c>
      <c r="M3520" t="n">
        <v>0</v>
      </c>
      <c r="N3520" t="n">
        <v>0</v>
      </c>
      <c r="O3520" t="n">
        <v>0</v>
      </c>
      <c r="P3520" t="n">
        <v>0</v>
      </c>
      <c r="Q3520" t="n">
        <v>0</v>
      </c>
      <c r="R3520" s="2" t="inlineStr"/>
    </row>
    <row r="3521" ht="15" customHeight="1">
      <c r="A3521" t="inlineStr">
        <is>
          <t>A 51917-2023</t>
        </is>
      </c>
      <c r="B3521" s="1" t="n">
        <v>45223</v>
      </c>
      <c r="C3521" s="1" t="n">
        <v>45358</v>
      </c>
      <c r="D3521" t="inlineStr">
        <is>
          <t>HALLANDS LÄN</t>
        </is>
      </c>
      <c r="E3521" t="inlineStr">
        <is>
          <t>HYLTE</t>
        </is>
      </c>
      <c r="G3521" t="n">
        <v>0.8</v>
      </c>
      <c r="H3521" t="n">
        <v>0</v>
      </c>
      <c r="I3521" t="n">
        <v>0</v>
      </c>
      <c r="J3521" t="n">
        <v>0</v>
      </c>
      <c r="K3521" t="n">
        <v>0</v>
      </c>
      <c r="L3521" t="n">
        <v>0</v>
      </c>
      <c r="M3521" t="n">
        <v>0</v>
      </c>
      <c r="N3521" t="n">
        <v>0</v>
      </c>
      <c r="O3521" t="n">
        <v>0</v>
      </c>
      <c r="P3521" t="n">
        <v>0</v>
      </c>
      <c r="Q3521" t="n">
        <v>0</v>
      </c>
      <c r="R3521" s="2" t="inlineStr"/>
    </row>
    <row r="3522" ht="15" customHeight="1">
      <c r="A3522" t="inlineStr">
        <is>
          <t>A 52247-2023</t>
        </is>
      </c>
      <c r="B3522" s="1" t="n">
        <v>45224</v>
      </c>
      <c r="C3522" s="1" t="n">
        <v>45358</v>
      </c>
      <c r="D3522" t="inlineStr">
        <is>
          <t>HALLANDS LÄN</t>
        </is>
      </c>
      <c r="E3522" t="inlineStr">
        <is>
          <t>VARBERG</t>
        </is>
      </c>
      <c r="G3522" t="n">
        <v>1.3</v>
      </c>
      <c r="H3522" t="n">
        <v>0</v>
      </c>
      <c r="I3522" t="n">
        <v>0</v>
      </c>
      <c r="J3522" t="n">
        <v>0</v>
      </c>
      <c r="K3522" t="n">
        <v>0</v>
      </c>
      <c r="L3522" t="n">
        <v>0</v>
      </c>
      <c r="M3522" t="n">
        <v>0</v>
      </c>
      <c r="N3522" t="n">
        <v>0</v>
      </c>
      <c r="O3522" t="n">
        <v>0</v>
      </c>
      <c r="P3522" t="n">
        <v>0</v>
      </c>
      <c r="Q3522" t="n">
        <v>0</v>
      </c>
      <c r="R3522" s="2" t="inlineStr"/>
    </row>
    <row r="3523" ht="15" customHeight="1">
      <c r="A3523" t="inlineStr">
        <is>
          <t>A 52283-2023</t>
        </is>
      </c>
      <c r="B3523" s="1" t="n">
        <v>45224</v>
      </c>
      <c r="C3523" s="1" t="n">
        <v>45358</v>
      </c>
      <c r="D3523" t="inlineStr">
        <is>
          <t>HALLANDS LÄN</t>
        </is>
      </c>
      <c r="E3523" t="inlineStr">
        <is>
          <t>VARBERG</t>
        </is>
      </c>
      <c r="G3523" t="n">
        <v>0.7</v>
      </c>
      <c r="H3523" t="n">
        <v>0</v>
      </c>
      <c r="I3523" t="n">
        <v>0</v>
      </c>
      <c r="J3523" t="n">
        <v>0</v>
      </c>
      <c r="K3523" t="n">
        <v>0</v>
      </c>
      <c r="L3523" t="n">
        <v>0</v>
      </c>
      <c r="M3523" t="n">
        <v>0</v>
      </c>
      <c r="N3523" t="n">
        <v>0</v>
      </c>
      <c r="O3523" t="n">
        <v>0</v>
      </c>
      <c r="P3523" t="n">
        <v>0</v>
      </c>
      <c r="Q3523" t="n">
        <v>0</v>
      </c>
      <c r="R3523" s="2" t="inlineStr"/>
    </row>
    <row r="3524" ht="15" customHeight="1">
      <c r="A3524" t="inlineStr">
        <is>
          <t>A 52155-2023</t>
        </is>
      </c>
      <c r="B3524" s="1" t="n">
        <v>45224</v>
      </c>
      <c r="C3524" s="1" t="n">
        <v>45358</v>
      </c>
      <c r="D3524" t="inlineStr">
        <is>
          <t>HALLANDS LÄN</t>
        </is>
      </c>
      <c r="E3524" t="inlineStr">
        <is>
          <t>LAHOLM</t>
        </is>
      </c>
      <c r="G3524" t="n">
        <v>2.6</v>
      </c>
      <c r="H3524" t="n">
        <v>0</v>
      </c>
      <c r="I3524" t="n">
        <v>0</v>
      </c>
      <c r="J3524" t="n">
        <v>0</v>
      </c>
      <c r="K3524" t="n">
        <v>0</v>
      </c>
      <c r="L3524" t="n">
        <v>0</v>
      </c>
      <c r="M3524" t="n">
        <v>0</v>
      </c>
      <c r="N3524" t="n">
        <v>0</v>
      </c>
      <c r="O3524" t="n">
        <v>0</v>
      </c>
      <c r="P3524" t="n">
        <v>0</v>
      </c>
      <c r="Q3524" t="n">
        <v>0</v>
      </c>
      <c r="R3524" s="2" t="inlineStr"/>
    </row>
    <row r="3525" ht="15" customHeight="1">
      <c r="A3525" t="inlineStr">
        <is>
          <t>A 52253-2023</t>
        </is>
      </c>
      <c r="B3525" s="1" t="n">
        <v>45224</v>
      </c>
      <c r="C3525" s="1" t="n">
        <v>45358</v>
      </c>
      <c r="D3525" t="inlineStr">
        <is>
          <t>HALLANDS LÄN</t>
        </is>
      </c>
      <c r="E3525" t="inlineStr">
        <is>
          <t>HALMSTAD</t>
        </is>
      </c>
      <c r="G3525" t="n">
        <v>1.3</v>
      </c>
      <c r="H3525" t="n">
        <v>0</v>
      </c>
      <c r="I3525" t="n">
        <v>0</v>
      </c>
      <c r="J3525" t="n">
        <v>0</v>
      </c>
      <c r="K3525" t="n">
        <v>0</v>
      </c>
      <c r="L3525" t="n">
        <v>0</v>
      </c>
      <c r="M3525" t="n">
        <v>0</v>
      </c>
      <c r="N3525" t="n">
        <v>0</v>
      </c>
      <c r="O3525" t="n">
        <v>0</v>
      </c>
      <c r="P3525" t="n">
        <v>0</v>
      </c>
      <c r="Q3525" t="n">
        <v>0</v>
      </c>
      <c r="R3525" s="2" t="inlineStr"/>
    </row>
    <row r="3526" ht="15" customHeight="1">
      <c r="A3526" t="inlineStr">
        <is>
          <t>A 52285-2023</t>
        </is>
      </c>
      <c r="B3526" s="1" t="n">
        <v>45224</v>
      </c>
      <c r="C3526" s="1" t="n">
        <v>45358</v>
      </c>
      <c r="D3526" t="inlineStr">
        <is>
          <t>HALLANDS LÄN</t>
        </is>
      </c>
      <c r="E3526" t="inlineStr">
        <is>
          <t>VARBERG</t>
        </is>
      </c>
      <c r="G3526" t="n">
        <v>2.1</v>
      </c>
      <c r="H3526" t="n">
        <v>0</v>
      </c>
      <c r="I3526" t="n">
        <v>0</v>
      </c>
      <c r="J3526" t="n">
        <v>0</v>
      </c>
      <c r="K3526" t="n">
        <v>0</v>
      </c>
      <c r="L3526" t="n">
        <v>0</v>
      </c>
      <c r="M3526" t="n">
        <v>0</v>
      </c>
      <c r="N3526" t="n">
        <v>0</v>
      </c>
      <c r="O3526" t="n">
        <v>0</v>
      </c>
      <c r="P3526" t="n">
        <v>0</v>
      </c>
      <c r="Q3526" t="n">
        <v>0</v>
      </c>
      <c r="R3526" s="2" t="inlineStr"/>
    </row>
    <row r="3527" ht="15" customHeight="1">
      <c r="A3527" t="inlineStr">
        <is>
          <t>A 52251-2023</t>
        </is>
      </c>
      <c r="B3527" s="1" t="n">
        <v>45224</v>
      </c>
      <c r="C3527" s="1" t="n">
        <v>45358</v>
      </c>
      <c r="D3527" t="inlineStr">
        <is>
          <t>HALLANDS LÄN</t>
        </is>
      </c>
      <c r="E3527" t="inlineStr">
        <is>
          <t>VARBERG</t>
        </is>
      </c>
      <c r="G3527" t="n">
        <v>0.7</v>
      </c>
      <c r="H3527" t="n">
        <v>0</v>
      </c>
      <c r="I3527" t="n">
        <v>0</v>
      </c>
      <c r="J3527" t="n">
        <v>0</v>
      </c>
      <c r="K3527" t="n">
        <v>0</v>
      </c>
      <c r="L3527" t="n">
        <v>0</v>
      </c>
      <c r="M3527" t="n">
        <v>0</v>
      </c>
      <c r="N3527" t="n">
        <v>0</v>
      </c>
      <c r="O3527" t="n">
        <v>0</v>
      </c>
      <c r="P3527" t="n">
        <v>0</v>
      </c>
      <c r="Q3527" t="n">
        <v>0</v>
      </c>
      <c r="R3527" s="2" t="inlineStr"/>
    </row>
    <row r="3528" ht="15" customHeight="1">
      <c r="A3528" t="inlineStr">
        <is>
          <t>A 52467-2023</t>
        </is>
      </c>
      <c r="B3528" s="1" t="n">
        <v>45225</v>
      </c>
      <c r="C3528" s="1" t="n">
        <v>45358</v>
      </c>
      <c r="D3528" t="inlineStr">
        <is>
          <t>HALLANDS LÄN</t>
        </is>
      </c>
      <c r="E3528" t="inlineStr">
        <is>
          <t>HYLTE</t>
        </is>
      </c>
      <c r="G3528" t="n">
        <v>0.8</v>
      </c>
      <c r="H3528" t="n">
        <v>0</v>
      </c>
      <c r="I3528" t="n">
        <v>0</v>
      </c>
      <c r="J3528" t="n">
        <v>0</v>
      </c>
      <c r="K3528" t="n">
        <v>0</v>
      </c>
      <c r="L3528" t="n">
        <v>0</v>
      </c>
      <c r="M3528" t="n">
        <v>0</v>
      </c>
      <c r="N3528" t="n">
        <v>0</v>
      </c>
      <c r="O3528" t="n">
        <v>0</v>
      </c>
      <c r="P3528" t="n">
        <v>0</v>
      </c>
      <c r="Q3528" t="n">
        <v>0</v>
      </c>
      <c r="R3528" s="2" t="inlineStr"/>
    </row>
    <row r="3529" ht="15" customHeight="1">
      <c r="A3529" t="inlineStr">
        <is>
          <t>A 52520-2023</t>
        </is>
      </c>
      <c r="B3529" s="1" t="n">
        <v>45225</v>
      </c>
      <c r="C3529" s="1" t="n">
        <v>45358</v>
      </c>
      <c r="D3529" t="inlineStr">
        <is>
          <t>HALLANDS LÄN</t>
        </is>
      </c>
      <c r="E3529" t="inlineStr">
        <is>
          <t>LAHOLM</t>
        </is>
      </c>
      <c r="G3529" t="n">
        <v>2</v>
      </c>
      <c r="H3529" t="n">
        <v>0</v>
      </c>
      <c r="I3529" t="n">
        <v>0</v>
      </c>
      <c r="J3529" t="n">
        <v>0</v>
      </c>
      <c r="K3529" t="n">
        <v>0</v>
      </c>
      <c r="L3529" t="n">
        <v>0</v>
      </c>
      <c r="M3529" t="n">
        <v>0</v>
      </c>
      <c r="N3529" t="n">
        <v>0</v>
      </c>
      <c r="O3529" t="n">
        <v>0</v>
      </c>
      <c r="P3529" t="n">
        <v>0</v>
      </c>
      <c r="Q3529" t="n">
        <v>0</v>
      </c>
      <c r="R3529" s="2" t="inlineStr"/>
    </row>
    <row r="3530" ht="15" customHeight="1">
      <c r="A3530" t="inlineStr">
        <is>
          <t>A 52465-2023</t>
        </is>
      </c>
      <c r="B3530" s="1" t="n">
        <v>45225</v>
      </c>
      <c r="C3530" s="1" t="n">
        <v>45358</v>
      </c>
      <c r="D3530" t="inlineStr">
        <is>
          <t>HALLANDS LÄN</t>
        </is>
      </c>
      <c r="E3530" t="inlineStr">
        <is>
          <t>HYLTE</t>
        </is>
      </c>
      <c r="G3530" t="n">
        <v>8.800000000000001</v>
      </c>
      <c r="H3530" t="n">
        <v>0</v>
      </c>
      <c r="I3530" t="n">
        <v>0</v>
      </c>
      <c r="J3530" t="n">
        <v>0</v>
      </c>
      <c r="K3530" t="n">
        <v>0</v>
      </c>
      <c r="L3530" t="n">
        <v>0</v>
      </c>
      <c r="M3530" t="n">
        <v>0</v>
      </c>
      <c r="N3530" t="n">
        <v>0</v>
      </c>
      <c r="O3530" t="n">
        <v>0</v>
      </c>
      <c r="P3530" t="n">
        <v>0</v>
      </c>
      <c r="Q3530" t="n">
        <v>0</v>
      </c>
      <c r="R3530" s="2" t="inlineStr"/>
    </row>
    <row r="3531" ht="15" customHeight="1">
      <c r="A3531" t="inlineStr">
        <is>
          <t>A 52706-2023</t>
        </is>
      </c>
      <c r="B3531" s="1" t="n">
        <v>45225</v>
      </c>
      <c r="C3531" s="1" t="n">
        <v>45358</v>
      </c>
      <c r="D3531" t="inlineStr">
        <is>
          <t>HALLANDS LÄN</t>
        </is>
      </c>
      <c r="E3531" t="inlineStr">
        <is>
          <t>VARBERG</t>
        </is>
      </c>
      <c r="G3531" t="n">
        <v>0.8</v>
      </c>
      <c r="H3531" t="n">
        <v>0</v>
      </c>
      <c r="I3531" t="n">
        <v>0</v>
      </c>
      <c r="J3531" t="n">
        <v>0</v>
      </c>
      <c r="K3531" t="n">
        <v>0</v>
      </c>
      <c r="L3531" t="n">
        <v>0</v>
      </c>
      <c r="M3531" t="n">
        <v>0</v>
      </c>
      <c r="N3531" t="n">
        <v>0</v>
      </c>
      <c r="O3531" t="n">
        <v>0</v>
      </c>
      <c r="P3531" t="n">
        <v>0</v>
      </c>
      <c r="Q3531" t="n">
        <v>0</v>
      </c>
      <c r="R3531" s="2" t="inlineStr"/>
    </row>
    <row r="3532" ht="15" customHeight="1">
      <c r="A3532" t="inlineStr">
        <is>
          <t>A 52722-2023</t>
        </is>
      </c>
      <c r="B3532" s="1" t="n">
        <v>45226</v>
      </c>
      <c r="C3532" s="1" t="n">
        <v>45358</v>
      </c>
      <c r="D3532" t="inlineStr">
        <is>
          <t>HALLANDS LÄN</t>
        </is>
      </c>
      <c r="E3532" t="inlineStr">
        <is>
          <t>HYLTE</t>
        </is>
      </c>
      <c r="G3532" t="n">
        <v>2.3</v>
      </c>
      <c r="H3532" t="n">
        <v>0</v>
      </c>
      <c r="I3532" t="n">
        <v>0</v>
      </c>
      <c r="J3532" t="n">
        <v>0</v>
      </c>
      <c r="K3532" t="n">
        <v>0</v>
      </c>
      <c r="L3532" t="n">
        <v>0</v>
      </c>
      <c r="M3532" t="n">
        <v>0</v>
      </c>
      <c r="N3532" t="n">
        <v>0</v>
      </c>
      <c r="O3532" t="n">
        <v>0</v>
      </c>
      <c r="P3532" t="n">
        <v>0</v>
      </c>
      <c r="Q3532" t="n">
        <v>0</v>
      </c>
      <c r="R3532" s="2" t="inlineStr"/>
    </row>
    <row r="3533" ht="15" customHeight="1">
      <c r="A3533" t="inlineStr">
        <is>
          <t>A 52666-2023</t>
        </is>
      </c>
      <c r="B3533" s="1" t="n">
        <v>45225</v>
      </c>
      <c r="C3533" s="1" t="n">
        <v>45358</v>
      </c>
      <c r="D3533" t="inlineStr">
        <is>
          <t>HALLANDS LÄN</t>
        </is>
      </c>
      <c r="E3533" t="inlineStr">
        <is>
          <t>HYLTE</t>
        </is>
      </c>
      <c r="G3533" t="n">
        <v>4.9</v>
      </c>
      <c r="H3533" t="n">
        <v>0</v>
      </c>
      <c r="I3533" t="n">
        <v>0</v>
      </c>
      <c r="J3533" t="n">
        <v>0</v>
      </c>
      <c r="K3533" t="n">
        <v>0</v>
      </c>
      <c r="L3533" t="n">
        <v>0</v>
      </c>
      <c r="M3533" t="n">
        <v>0</v>
      </c>
      <c r="N3533" t="n">
        <v>0</v>
      </c>
      <c r="O3533" t="n">
        <v>0</v>
      </c>
      <c r="P3533" t="n">
        <v>0</v>
      </c>
      <c r="Q3533" t="n">
        <v>0</v>
      </c>
      <c r="R3533" s="2" t="inlineStr"/>
    </row>
    <row r="3534" ht="15" customHeight="1">
      <c r="A3534" t="inlineStr">
        <is>
          <t>A 52705-2023</t>
        </is>
      </c>
      <c r="B3534" s="1" t="n">
        <v>45225</v>
      </c>
      <c r="C3534" s="1" t="n">
        <v>45358</v>
      </c>
      <c r="D3534" t="inlineStr">
        <is>
          <t>HALLANDS LÄN</t>
        </is>
      </c>
      <c r="E3534" t="inlineStr">
        <is>
          <t>VARBERG</t>
        </is>
      </c>
      <c r="G3534" t="n">
        <v>2.9</v>
      </c>
      <c r="H3534" t="n">
        <v>0</v>
      </c>
      <c r="I3534" t="n">
        <v>0</v>
      </c>
      <c r="J3534" t="n">
        <v>0</v>
      </c>
      <c r="K3534" t="n">
        <v>0</v>
      </c>
      <c r="L3534" t="n">
        <v>0</v>
      </c>
      <c r="M3534" t="n">
        <v>0</v>
      </c>
      <c r="N3534" t="n">
        <v>0</v>
      </c>
      <c r="O3534" t="n">
        <v>0</v>
      </c>
      <c r="P3534" t="n">
        <v>0</v>
      </c>
      <c r="Q3534" t="n">
        <v>0</v>
      </c>
      <c r="R3534" s="2" t="inlineStr"/>
    </row>
    <row r="3535" ht="15" customHeight="1">
      <c r="A3535" t="inlineStr">
        <is>
          <t>A 52848-2023</t>
        </is>
      </c>
      <c r="B3535" s="1" t="n">
        <v>45226</v>
      </c>
      <c r="C3535" s="1" t="n">
        <v>45358</v>
      </c>
      <c r="D3535" t="inlineStr">
        <is>
          <t>HALLANDS LÄN</t>
        </is>
      </c>
      <c r="E3535" t="inlineStr">
        <is>
          <t>FALKENBERG</t>
        </is>
      </c>
      <c r="G3535" t="n">
        <v>0.8</v>
      </c>
      <c r="H3535" t="n">
        <v>0</v>
      </c>
      <c r="I3535" t="n">
        <v>0</v>
      </c>
      <c r="J3535" t="n">
        <v>0</v>
      </c>
      <c r="K3535" t="n">
        <v>0</v>
      </c>
      <c r="L3535" t="n">
        <v>0</v>
      </c>
      <c r="M3535" t="n">
        <v>0</v>
      </c>
      <c r="N3535" t="n">
        <v>0</v>
      </c>
      <c r="O3535" t="n">
        <v>0</v>
      </c>
      <c r="P3535" t="n">
        <v>0</v>
      </c>
      <c r="Q3535" t="n">
        <v>0</v>
      </c>
      <c r="R3535" s="2" t="inlineStr"/>
    </row>
    <row r="3536" ht="15" customHeight="1">
      <c r="A3536" t="inlineStr">
        <is>
          <t>A 52846-2023</t>
        </is>
      </c>
      <c r="B3536" s="1" t="n">
        <v>45226</v>
      </c>
      <c r="C3536" s="1" t="n">
        <v>45358</v>
      </c>
      <c r="D3536" t="inlineStr">
        <is>
          <t>HALLANDS LÄN</t>
        </is>
      </c>
      <c r="E3536" t="inlineStr">
        <is>
          <t>FALKENBERG</t>
        </is>
      </c>
      <c r="G3536" t="n">
        <v>1.7</v>
      </c>
      <c r="H3536" t="n">
        <v>0</v>
      </c>
      <c r="I3536" t="n">
        <v>0</v>
      </c>
      <c r="J3536" t="n">
        <v>0</v>
      </c>
      <c r="K3536" t="n">
        <v>0</v>
      </c>
      <c r="L3536" t="n">
        <v>0</v>
      </c>
      <c r="M3536" t="n">
        <v>0</v>
      </c>
      <c r="N3536" t="n">
        <v>0</v>
      </c>
      <c r="O3536" t="n">
        <v>0</v>
      </c>
      <c r="P3536" t="n">
        <v>0</v>
      </c>
      <c r="Q3536" t="n">
        <v>0</v>
      </c>
      <c r="R3536" s="2" t="inlineStr"/>
    </row>
    <row r="3537" ht="15" customHeight="1">
      <c r="A3537" t="inlineStr">
        <is>
          <t>A 52833-2023</t>
        </is>
      </c>
      <c r="B3537" s="1" t="n">
        <v>45226</v>
      </c>
      <c r="C3537" s="1" t="n">
        <v>45358</v>
      </c>
      <c r="D3537" t="inlineStr">
        <is>
          <t>HALLANDS LÄN</t>
        </is>
      </c>
      <c r="E3537" t="inlineStr">
        <is>
          <t>FALKENBERG</t>
        </is>
      </c>
      <c r="G3537" t="n">
        <v>1.2</v>
      </c>
      <c r="H3537" t="n">
        <v>0</v>
      </c>
      <c r="I3537" t="n">
        <v>0</v>
      </c>
      <c r="J3537" t="n">
        <v>0</v>
      </c>
      <c r="K3537" t="n">
        <v>0</v>
      </c>
      <c r="L3537" t="n">
        <v>0</v>
      </c>
      <c r="M3537" t="n">
        <v>0</v>
      </c>
      <c r="N3537" t="n">
        <v>0</v>
      </c>
      <c r="O3537" t="n">
        <v>0</v>
      </c>
      <c r="P3537" t="n">
        <v>0</v>
      </c>
      <c r="Q3537" t="n">
        <v>0</v>
      </c>
      <c r="R3537" s="2" t="inlineStr"/>
    </row>
    <row r="3538" ht="15" customHeight="1">
      <c r="A3538" t="inlineStr">
        <is>
          <t>A 52783-2023</t>
        </is>
      </c>
      <c r="B3538" s="1" t="n">
        <v>45226</v>
      </c>
      <c r="C3538" s="1" t="n">
        <v>45358</v>
      </c>
      <c r="D3538" t="inlineStr">
        <is>
          <t>HALLANDS LÄN</t>
        </is>
      </c>
      <c r="E3538" t="inlineStr">
        <is>
          <t>FALKENBERG</t>
        </is>
      </c>
      <c r="G3538" t="n">
        <v>2.5</v>
      </c>
      <c r="H3538" t="n">
        <v>0</v>
      </c>
      <c r="I3538" t="n">
        <v>0</v>
      </c>
      <c r="J3538" t="n">
        <v>0</v>
      </c>
      <c r="K3538" t="n">
        <v>0</v>
      </c>
      <c r="L3538" t="n">
        <v>0</v>
      </c>
      <c r="M3538" t="n">
        <v>0</v>
      </c>
      <c r="N3538" t="n">
        <v>0</v>
      </c>
      <c r="O3538" t="n">
        <v>0</v>
      </c>
      <c r="P3538" t="n">
        <v>0</v>
      </c>
      <c r="Q3538" t="n">
        <v>0</v>
      </c>
      <c r="R3538" s="2" t="inlineStr"/>
    </row>
    <row r="3539" ht="15" customHeight="1">
      <c r="A3539" t="inlineStr">
        <is>
          <t>A 52913-2023</t>
        </is>
      </c>
      <c r="B3539" s="1" t="n">
        <v>45226</v>
      </c>
      <c r="C3539" s="1" t="n">
        <v>45358</v>
      </c>
      <c r="D3539" t="inlineStr">
        <is>
          <t>HALLANDS LÄN</t>
        </is>
      </c>
      <c r="E3539" t="inlineStr">
        <is>
          <t>HALMSTAD</t>
        </is>
      </c>
      <c r="G3539" t="n">
        <v>2.6</v>
      </c>
      <c r="H3539" t="n">
        <v>0</v>
      </c>
      <c r="I3539" t="n">
        <v>0</v>
      </c>
      <c r="J3539" t="n">
        <v>0</v>
      </c>
      <c r="K3539" t="n">
        <v>0</v>
      </c>
      <c r="L3539" t="n">
        <v>0</v>
      </c>
      <c r="M3539" t="n">
        <v>0</v>
      </c>
      <c r="N3539" t="n">
        <v>0</v>
      </c>
      <c r="O3539" t="n">
        <v>0</v>
      </c>
      <c r="P3539" t="n">
        <v>0</v>
      </c>
      <c r="Q3539" t="n">
        <v>0</v>
      </c>
      <c r="R3539" s="2" t="inlineStr"/>
    </row>
    <row r="3540" ht="15" customHeight="1">
      <c r="A3540" t="inlineStr">
        <is>
          <t>A 52909-2023</t>
        </is>
      </c>
      <c r="B3540" s="1" t="n">
        <v>45226</v>
      </c>
      <c r="C3540" s="1" t="n">
        <v>45358</v>
      </c>
      <c r="D3540" t="inlineStr">
        <is>
          <t>HALLANDS LÄN</t>
        </is>
      </c>
      <c r="E3540" t="inlineStr">
        <is>
          <t>HALMSTAD</t>
        </is>
      </c>
      <c r="G3540" t="n">
        <v>0.8</v>
      </c>
      <c r="H3540" t="n">
        <v>0</v>
      </c>
      <c r="I3540" t="n">
        <v>0</v>
      </c>
      <c r="J3540" t="n">
        <v>0</v>
      </c>
      <c r="K3540" t="n">
        <v>0</v>
      </c>
      <c r="L3540" t="n">
        <v>0</v>
      </c>
      <c r="M3540" t="n">
        <v>0</v>
      </c>
      <c r="N3540" t="n">
        <v>0</v>
      </c>
      <c r="O3540" t="n">
        <v>0</v>
      </c>
      <c r="P3540" t="n">
        <v>0</v>
      </c>
      <c r="Q3540" t="n">
        <v>0</v>
      </c>
      <c r="R3540" s="2" t="inlineStr"/>
    </row>
    <row r="3541" ht="15" customHeight="1">
      <c r="A3541" t="inlineStr">
        <is>
          <t>A 52852-2023</t>
        </is>
      </c>
      <c r="B3541" s="1" t="n">
        <v>45226</v>
      </c>
      <c r="C3541" s="1" t="n">
        <v>45358</v>
      </c>
      <c r="D3541" t="inlineStr">
        <is>
          <t>HALLANDS LÄN</t>
        </is>
      </c>
      <c r="E3541" t="inlineStr">
        <is>
          <t>FALKENBERG</t>
        </is>
      </c>
      <c r="G3541" t="n">
        <v>4</v>
      </c>
      <c r="H3541" t="n">
        <v>0</v>
      </c>
      <c r="I3541" t="n">
        <v>0</v>
      </c>
      <c r="J3541" t="n">
        <v>0</v>
      </c>
      <c r="K3541" t="n">
        <v>0</v>
      </c>
      <c r="L3541" t="n">
        <v>0</v>
      </c>
      <c r="M3541" t="n">
        <v>0</v>
      </c>
      <c r="N3541" t="n">
        <v>0</v>
      </c>
      <c r="O3541" t="n">
        <v>0</v>
      </c>
      <c r="P3541" t="n">
        <v>0</v>
      </c>
      <c r="Q3541" t="n">
        <v>0</v>
      </c>
      <c r="R3541" s="2" t="inlineStr"/>
    </row>
    <row r="3542" ht="15" customHeight="1">
      <c r="A3542" t="inlineStr">
        <is>
          <t>A 53110-2023</t>
        </is>
      </c>
      <c r="B3542" s="1" t="n">
        <v>45228</v>
      </c>
      <c r="C3542" s="1" t="n">
        <v>45358</v>
      </c>
      <c r="D3542" t="inlineStr">
        <is>
          <t>HALLANDS LÄN</t>
        </is>
      </c>
      <c r="E3542" t="inlineStr">
        <is>
          <t>FALKENBERG</t>
        </is>
      </c>
      <c r="G3542" t="n">
        <v>1.5</v>
      </c>
      <c r="H3542" t="n">
        <v>0</v>
      </c>
      <c r="I3542" t="n">
        <v>0</v>
      </c>
      <c r="J3542" t="n">
        <v>0</v>
      </c>
      <c r="K3542" t="n">
        <v>0</v>
      </c>
      <c r="L3542" t="n">
        <v>0</v>
      </c>
      <c r="M3542" t="n">
        <v>0</v>
      </c>
      <c r="N3542" t="n">
        <v>0</v>
      </c>
      <c r="O3542" t="n">
        <v>0</v>
      </c>
      <c r="P3542" t="n">
        <v>0</v>
      </c>
      <c r="Q3542" t="n">
        <v>0</v>
      </c>
      <c r="R3542" s="2" t="inlineStr"/>
    </row>
    <row r="3543" ht="15" customHeight="1">
      <c r="A3543" t="inlineStr">
        <is>
          <t>A 53125-2023</t>
        </is>
      </c>
      <c r="B3543" s="1" t="n">
        <v>45229</v>
      </c>
      <c r="C3543" s="1" t="n">
        <v>45358</v>
      </c>
      <c r="D3543" t="inlineStr">
        <is>
          <t>HALLANDS LÄN</t>
        </is>
      </c>
      <c r="E3543" t="inlineStr">
        <is>
          <t>HALMSTAD</t>
        </is>
      </c>
      <c r="G3543" t="n">
        <v>1</v>
      </c>
      <c r="H3543" t="n">
        <v>0</v>
      </c>
      <c r="I3543" t="n">
        <v>0</v>
      </c>
      <c r="J3543" t="n">
        <v>0</v>
      </c>
      <c r="K3543" t="n">
        <v>0</v>
      </c>
      <c r="L3543" t="n">
        <v>0</v>
      </c>
      <c r="M3543" t="n">
        <v>0</v>
      </c>
      <c r="N3543" t="n">
        <v>0</v>
      </c>
      <c r="O3543" t="n">
        <v>0</v>
      </c>
      <c r="P3543" t="n">
        <v>0</v>
      </c>
      <c r="Q3543" t="n">
        <v>0</v>
      </c>
      <c r="R3543" s="2" t="inlineStr"/>
    </row>
    <row r="3544" ht="15" customHeight="1">
      <c r="A3544" t="inlineStr">
        <is>
          <t>A 53294-2023</t>
        </is>
      </c>
      <c r="B3544" s="1" t="n">
        <v>45229</v>
      </c>
      <c r="C3544" s="1" t="n">
        <v>45358</v>
      </c>
      <c r="D3544" t="inlineStr">
        <is>
          <t>HALLANDS LÄN</t>
        </is>
      </c>
      <c r="E3544" t="inlineStr">
        <is>
          <t>HYLTE</t>
        </is>
      </c>
      <c r="G3544" t="n">
        <v>1.8</v>
      </c>
      <c r="H3544" t="n">
        <v>0</v>
      </c>
      <c r="I3544" t="n">
        <v>0</v>
      </c>
      <c r="J3544" t="n">
        <v>0</v>
      </c>
      <c r="K3544" t="n">
        <v>0</v>
      </c>
      <c r="L3544" t="n">
        <v>0</v>
      </c>
      <c r="M3544" t="n">
        <v>0</v>
      </c>
      <c r="N3544" t="n">
        <v>0</v>
      </c>
      <c r="O3544" t="n">
        <v>0</v>
      </c>
      <c r="P3544" t="n">
        <v>0</v>
      </c>
      <c r="Q3544" t="n">
        <v>0</v>
      </c>
      <c r="R3544" s="2" t="inlineStr"/>
    </row>
    <row r="3545" ht="15" customHeight="1">
      <c r="A3545" t="inlineStr">
        <is>
          <t>A 53302-2023</t>
        </is>
      </c>
      <c r="B3545" s="1" t="n">
        <v>45229</v>
      </c>
      <c r="C3545" s="1" t="n">
        <v>45358</v>
      </c>
      <c r="D3545" t="inlineStr">
        <is>
          <t>HALLANDS LÄN</t>
        </is>
      </c>
      <c r="E3545" t="inlineStr">
        <is>
          <t>HYLTE</t>
        </is>
      </c>
      <c r="G3545" t="n">
        <v>2.8</v>
      </c>
      <c r="H3545" t="n">
        <v>0</v>
      </c>
      <c r="I3545" t="n">
        <v>0</v>
      </c>
      <c r="J3545" t="n">
        <v>0</v>
      </c>
      <c r="K3545" t="n">
        <v>0</v>
      </c>
      <c r="L3545" t="n">
        <v>0</v>
      </c>
      <c r="M3545" t="n">
        <v>0</v>
      </c>
      <c r="N3545" t="n">
        <v>0</v>
      </c>
      <c r="O3545" t="n">
        <v>0</v>
      </c>
      <c r="P3545" t="n">
        <v>0</v>
      </c>
      <c r="Q3545" t="n">
        <v>0</v>
      </c>
      <c r="R3545" s="2" t="inlineStr"/>
    </row>
    <row r="3546" ht="15" customHeight="1">
      <c r="A3546" t="inlineStr">
        <is>
          <t>A 53306-2023</t>
        </is>
      </c>
      <c r="B3546" s="1" t="n">
        <v>45229</v>
      </c>
      <c r="C3546" s="1" t="n">
        <v>45358</v>
      </c>
      <c r="D3546" t="inlineStr">
        <is>
          <t>HALLANDS LÄN</t>
        </is>
      </c>
      <c r="E3546" t="inlineStr">
        <is>
          <t>HYLTE</t>
        </is>
      </c>
      <c r="G3546" t="n">
        <v>1.9</v>
      </c>
      <c r="H3546" t="n">
        <v>0</v>
      </c>
      <c r="I3546" t="n">
        <v>0</v>
      </c>
      <c r="J3546" t="n">
        <v>0</v>
      </c>
      <c r="K3546" t="n">
        <v>0</v>
      </c>
      <c r="L3546" t="n">
        <v>0</v>
      </c>
      <c r="M3546" t="n">
        <v>0</v>
      </c>
      <c r="N3546" t="n">
        <v>0</v>
      </c>
      <c r="O3546" t="n">
        <v>0</v>
      </c>
      <c r="P3546" t="n">
        <v>0</v>
      </c>
      <c r="Q3546" t="n">
        <v>0</v>
      </c>
      <c r="R3546" s="2" t="inlineStr"/>
    </row>
    <row r="3547" ht="15" customHeight="1">
      <c r="A3547" t="inlineStr">
        <is>
          <t>A 53192-2023</t>
        </is>
      </c>
      <c r="B3547" s="1" t="n">
        <v>45229</v>
      </c>
      <c r="C3547" s="1" t="n">
        <v>45358</v>
      </c>
      <c r="D3547" t="inlineStr">
        <is>
          <t>HALLANDS LÄN</t>
        </is>
      </c>
      <c r="E3547" t="inlineStr">
        <is>
          <t>HYLTE</t>
        </is>
      </c>
      <c r="G3547" t="n">
        <v>4</v>
      </c>
      <c r="H3547" t="n">
        <v>0</v>
      </c>
      <c r="I3547" t="n">
        <v>0</v>
      </c>
      <c r="J3547" t="n">
        <v>0</v>
      </c>
      <c r="K3547" t="n">
        <v>0</v>
      </c>
      <c r="L3547" t="n">
        <v>0</v>
      </c>
      <c r="M3547" t="n">
        <v>0</v>
      </c>
      <c r="N3547" t="n">
        <v>0</v>
      </c>
      <c r="O3547" t="n">
        <v>0</v>
      </c>
      <c r="P3547" t="n">
        <v>0</v>
      </c>
      <c r="Q3547" t="n">
        <v>0</v>
      </c>
      <c r="R3547" s="2" t="inlineStr"/>
    </row>
    <row r="3548" ht="15" customHeight="1">
      <c r="A3548" t="inlineStr">
        <is>
          <t>A 53159-2023</t>
        </is>
      </c>
      <c r="B3548" s="1" t="n">
        <v>45229</v>
      </c>
      <c r="C3548" s="1" t="n">
        <v>45358</v>
      </c>
      <c r="D3548" t="inlineStr">
        <is>
          <t>HALLANDS LÄN</t>
        </is>
      </c>
      <c r="E3548" t="inlineStr">
        <is>
          <t>LAHOLM</t>
        </is>
      </c>
      <c r="G3548" t="n">
        <v>0.8</v>
      </c>
      <c r="H3548" t="n">
        <v>0</v>
      </c>
      <c r="I3548" t="n">
        <v>0</v>
      </c>
      <c r="J3548" t="n">
        <v>0</v>
      </c>
      <c r="K3548" t="n">
        <v>0</v>
      </c>
      <c r="L3548" t="n">
        <v>0</v>
      </c>
      <c r="M3548" t="n">
        <v>0</v>
      </c>
      <c r="N3548" t="n">
        <v>0</v>
      </c>
      <c r="O3548" t="n">
        <v>0</v>
      </c>
      <c r="P3548" t="n">
        <v>0</v>
      </c>
      <c r="Q3548" t="n">
        <v>0</v>
      </c>
      <c r="R3548" s="2" t="inlineStr"/>
    </row>
    <row r="3549" ht="15" customHeight="1">
      <c r="A3549" t="inlineStr">
        <is>
          <t>A 53207-2023</t>
        </is>
      </c>
      <c r="B3549" s="1" t="n">
        <v>45229</v>
      </c>
      <c r="C3549" s="1" t="n">
        <v>45358</v>
      </c>
      <c r="D3549" t="inlineStr">
        <is>
          <t>HALLANDS LÄN</t>
        </is>
      </c>
      <c r="E3549" t="inlineStr">
        <is>
          <t>HYLTE</t>
        </is>
      </c>
      <c r="G3549" t="n">
        <v>5.6</v>
      </c>
      <c r="H3549" t="n">
        <v>0</v>
      </c>
      <c r="I3549" t="n">
        <v>0</v>
      </c>
      <c r="J3549" t="n">
        <v>0</v>
      </c>
      <c r="K3549" t="n">
        <v>0</v>
      </c>
      <c r="L3549" t="n">
        <v>0</v>
      </c>
      <c r="M3549" t="n">
        <v>0</v>
      </c>
      <c r="N3549" t="n">
        <v>0</v>
      </c>
      <c r="O3549" t="n">
        <v>0</v>
      </c>
      <c r="P3549" t="n">
        <v>0</v>
      </c>
      <c r="Q3549" t="n">
        <v>0</v>
      </c>
      <c r="R3549" s="2" t="inlineStr"/>
    </row>
    <row r="3550" ht="15" customHeight="1">
      <c r="A3550" t="inlineStr">
        <is>
          <t>A 53293-2023</t>
        </is>
      </c>
      <c r="B3550" s="1" t="n">
        <v>45229</v>
      </c>
      <c r="C3550" s="1" t="n">
        <v>45358</v>
      </c>
      <c r="D3550" t="inlineStr">
        <is>
          <t>HALLANDS LÄN</t>
        </is>
      </c>
      <c r="E3550" t="inlineStr">
        <is>
          <t>HYLTE</t>
        </is>
      </c>
      <c r="G3550" t="n">
        <v>3.6</v>
      </c>
      <c r="H3550" t="n">
        <v>0</v>
      </c>
      <c r="I3550" t="n">
        <v>0</v>
      </c>
      <c r="J3550" t="n">
        <v>0</v>
      </c>
      <c r="K3550" t="n">
        <v>0</v>
      </c>
      <c r="L3550" t="n">
        <v>0</v>
      </c>
      <c r="M3550" t="n">
        <v>0</v>
      </c>
      <c r="N3550" t="n">
        <v>0</v>
      </c>
      <c r="O3550" t="n">
        <v>0</v>
      </c>
      <c r="P3550" t="n">
        <v>0</v>
      </c>
      <c r="Q3550" t="n">
        <v>0</v>
      </c>
      <c r="R3550" s="2" t="inlineStr"/>
    </row>
    <row r="3551" ht="15" customHeight="1">
      <c r="A3551" t="inlineStr">
        <is>
          <t>A 53402-2023</t>
        </is>
      </c>
      <c r="B3551" s="1" t="n">
        <v>45229</v>
      </c>
      <c r="C3551" s="1" t="n">
        <v>45358</v>
      </c>
      <c r="D3551" t="inlineStr">
        <is>
          <t>HALLANDS LÄN</t>
        </is>
      </c>
      <c r="E3551" t="inlineStr">
        <is>
          <t>FALKENBERG</t>
        </is>
      </c>
      <c r="G3551" t="n">
        <v>1.7</v>
      </c>
      <c r="H3551" t="n">
        <v>0</v>
      </c>
      <c r="I3551" t="n">
        <v>0</v>
      </c>
      <c r="J3551" t="n">
        <v>0</v>
      </c>
      <c r="K3551" t="n">
        <v>0</v>
      </c>
      <c r="L3551" t="n">
        <v>0</v>
      </c>
      <c r="M3551" t="n">
        <v>0</v>
      </c>
      <c r="N3551" t="n">
        <v>0</v>
      </c>
      <c r="O3551" t="n">
        <v>0</v>
      </c>
      <c r="P3551" t="n">
        <v>0</v>
      </c>
      <c r="Q3551" t="n">
        <v>0</v>
      </c>
      <c r="R3551" s="2" t="inlineStr"/>
    </row>
    <row r="3552" ht="15" customHeight="1">
      <c r="A3552" t="inlineStr">
        <is>
          <t>A 53427-2023</t>
        </is>
      </c>
      <c r="B3552" s="1" t="n">
        <v>45229</v>
      </c>
      <c r="C3552" s="1" t="n">
        <v>45358</v>
      </c>
      <c r="D3552" t="inlineStr">
        <is>
          <t>HALLANDS LÄN</t>
        </is>
      </c>
      <c r="E3552" t="inlineStr">
        <is>
          <t>FALKENBERG</t>
        </is>
      </c>
      <c r="G3552" t="n">
        <v>1.6</v>
      </c>
      <c r="H3552" t="n">
        <v>0</v>
      </c>
      <c r="I3552" t="n">
        <v>0</v>
      </c>
      <c r="J3552" t="n">
        <v>0</v>
      </c>
      <c r="K3552" t="n">
        <v>0</v>
      </c>
      <c r="L3552" t="n">
        <v>0</v>
      </c>
      <c r="M3552" t="n">
        <v>0</v>
      </c>
      <c r="N3552" t="n">
        <v>0</v>
      </c>
      <c r="O3552" t="n">
        <v>0</v>
      </c>
      <c r="P3552" t="n">
        <v>0</v>
      </c>
      <c r="Q3552" t="n">
        <v>0</v>
      </c>
      <c r="R3552" s="2" t="inlineStr"/>
    </row>
    <row r="3553" ht="15" customHeight="1">
      <c r="A3553" t="inlineStr">
        <is>
          <t>A 53126-2023</t>
        </is>
      </c>
      <c r="B3553" s="1" t="n">
        <v>45229</v>
      </c>
      <c r="C3553" s="1" t="n">
        <v>45358</v>
      </c>
      <c r="D3553" t="inlineStr">
        <is>
          <t>HALLANDS LÄN</t>
        </is>
      </c>
      <c r="E3553" t="inlineStr">
        <is>
          <t>HALMSTAD</t>
        </is>
      </c>
      <c r="G3553" t="n">
        <v>4.1</v>
      </c>
      <c r="H3553" t="n">
        <v>0</v>
      </c>
      <c r="I3553" t="n">
        <v>0</v>
      </c>
      <c r="J3553" t="n">
        <v>0</v>
      </c>
      <c r="K3553" t="n">
        <v>0</v>
      </c>
      <c r="L3553" t="n">
        <v>0</v>
      </c>
      <c r="M3553" t="n">
        <v>0</v>
      </c>
      <c r="N3553" t="n">
        <v>0</v>
      </c>
      <c r="O3553" t="n">
        <v>0</v>
      </c>
      <c r="P3553" t="n">
        <v>0</v>
      </c>
      <c r="Q3553" t="n">
        <v>0</v>
      </c>
      <c r="R3553" s="2" t="inlineStr"/>
    </row>
    <row r="3554" ht="15" customHeight="1">
      <c r="A3554" t="inlineStr">
        <is>
          <t>A 53182-2023</t>
        </is>
      </c>
      <c r="B3554" s="1" t="n">
        <v>45229</v>
      </c>
      <c r="C3554" s="1" t="n">
        <v>45358</v>
      </c>
      <c r="D3554" t="inlineStr">
        <is>
          <t>HALLANDS LÄN</t>
        </is>
      </c>
      <c r="E3554" t="inlineStr">
        <is>
          <t>HYLTE</t>
        </is>
      </c>
      <c r="G3554" t="n">
        <v>1.2</v>
      </c>
      <c r="H3554" t="n">
        <v>0</v>
      </c>
      <c r="I3554" t="n">
        <v>0</v>
      </c>
      <c r="J3554" t="n">
        <v>0</v>
      </c>
      <c r="K3554" t="n">
        <v>0</v>
      </c>
      <c r="L3554" t="n">
        <v>0</v>
      </c>
      <c r="M3554" t="n">
        <v>0</v>
      </c>
      <c r="N3554" t="n">
        <v>0</v>
      </c>
      <c r="O3554" t="n">
        <v>0</v>
      </c>
      <c r="P3554" t="n">
        <v>0</v>
      </c>
      <c r="Q3554" t="n">
        <v>0</v>
      </c>
      <c r="R3554" s="2" t="inlineStr"/>
    </row>
    <row r="3555" ht="15" customHeight="1">
      <c r="A3555" t="inlineStr">
        <is>
          <t>A 53211-2023</t>
        </is>
      </c>
      <c r="B3555" s="1" t="n">
        <v>45229</v>
      </c>
      <c r="C3555" s="1" t="n">
        <v>45358</v>
      </c>
      <c r="D3555" t="inlineStr">
        <is>
          <t>HALLANDS LÄN</t>
        </is>
      </c>
      <c r="E3555" t="inlineStr">
        <is>
          <t>HALMSTAD</t>
        </is>
      </c>
      <c r="G3555" t="n">
        <v>2.9</v>
      </c>
      <c r="H3555" t="n">
        <v>0</v>
      </c>
      <c r="I3555" t="n">
        <v>0</v>
      </c>
      <c r="J3555" t="n">
        <v>0</v>
      </c>
      <c r="K3555" t="n">
        <v>0</v>
      </c>
      <c r="L3555" t="n">
        <v>0</v>
      </c>
      <c r="M3555" t="n">
        <v>0</v>
      </c>
      <c r="N3555" t="n">
        <v>0</v>
      </c>
      <c r="O3555" t="n">
        <v>0</v>
      </c>
      <c r="P3555" t="n">
        <v>0</v>
      </c>
      <c r="Q3555" t="n">
        <v>0</v>
      </c>
      <c r="R3555" s="2" t="inlineStr"/>
    </row>
    <row r="3556" ht="15" customHeight="1">
      <c r="A3556" t="inlineStr">
        <is>
          <t>A 53331-2023</t>
        </is>
      </c>
      <c r="B3556" s="1" t="n">
        <v>45229</v>
      </c>
      <c r="C3556" s="1" t="n">
        <v>45358</v>
      </c>
      <c r="D3556" t="inlineStr">
        <is>
          <t>HALLANDS LÄN</t>
        </is>
      </c>
      <c r="E3556" t="inlineStr">
        <is>
          <t>HYLTE</t>
        </is>
      </c>
      <c r="G3556" t="n">
        <v>1.6</v>
      </c>
      <c r="H3556" t="n">
        <v>0</v>
      </c>
      <c r="I3556" t="n">
        <v>0</v>
      </c>
      <c r="J3556" t="n">
        <v>0</v>
      </c>
      <c r="K3556" t="n">
        <v>0</v>
      </c>
      <c r="L3556" t="n">
        <v>0</v>
      </c>
      <c r="M3556" t="n">
        <v>0</v>
      </c>
      <c r="N3556" t="n">
        <v>0</v>
      </c>
      <c r="O3556" t="n">
        <v>0</v>
      </c>
      <c r="P3556" t="n">
        <v>0</v>
      </c>
      <c r="Q3556" t="n">
        <v>0</v>
      </c>
      <c r="R3556" s="2" t="inlineStr"/>
    </row>
    <row r="3557" ht="15" customHeight="1">
      <c r="A3557" t="inlineStr">
        <is>
          <t>A 53400-2023</t>
        </is>
      </c>
      <c r="B3557" s="1" t="n">
        <v>45229</v>
      </c>
      <c r="C3557" s="1" t="n">
        <v>45358</v>
      </c>
      <c r="D3557" t="inlineStr">
        <is>
          <t>HALLANDS LÄN</t>
        </is>
      </c>
      <c r="E3557" t="inlineStr">
        <is>
          <t>FALKENBERG</t>
        </is>
      </c>
      <c r="G3557" t="n">
        <v>4.6</v>
      </c>
      <c r="H3557" t="n">
        <v>0</v>
      </c>
      <c r="I3557" t="n">
        <v>0</v>
      </c>
      <c r="J3557" t="n">
        <v>0</v>
      </c>
      <c r="K3557" t="n">
        <v>0</v>
      </c>
      <c r="L3557" t="n">
        <v>0</v>
      </c>
      <c r="M3557" t="n">
        <v>0</v>
      </c>
      <c r="N3557" t="n">
        <v>0</v>
      </c>
      <c r="O3557" t="n">
        <v>0</v>
      </c>
      <c r="P3557" t="n">
        <v>0</v>
      </c>
      <c r="Q3557" t="n">
        <v>0</v>
      </c>
      <c r="R3557" s="2" t="inlineStr"/>
    </row>
    <row r="3558" ht="15" customHeight="1">
      <c r="A3558" t="inlineStr">
        <is>
          <t>A 53609-2023</t>
        </is>
      </c>
      <c r="B3558" s="1" t="n">
        <v>45230</v>
      </c>
      <c r="C3558" s="1" t="n">
        <v>45358</v>
      </c>
      <c r="D3558" t="inlineStr">
        <is>
          <t>HALLANDS LÄN</t>
        </is>
      </c>
      <c r="E3558" t="inlineStr">
        <is>
          <t>LAHOLM</t>
        </is>
      </c>
      <c r="G3558" t="n">
        <v>0.8</v>
      </c>
      <c r="H3558" t="n">
        <v>0</v>
      </c>
      <c r="I3558" t="n">
        <v>0</v>
      </c>
      <c r="J3558" t="n">
        <v>0</v>
      </c>
      <c r="K3558" t="n">
        <v>0</v>
      </c>
      <c r="L3558" t="n">
        <v>0</v>
      </c>
      <c r="M3558" t="n">
        <v>0</v>
      </c>
      <c r="N3558" t="n">
        <v>0</v>
      </c>
      <c r="O3558" t="n">
        <v>0</v>
      </c>
      <c r="P3558" t="n">
        <v>0</v>
      </c>
      <c r="Q3558" t="n">
        <v>0</v>
      </c>
      <c r="R3558" s="2" t="inlineStr"/>
    </row>
    <row r="3559" ht="15" customHeight="1">
      <c r="A3559" t="inlineStr">
        <is>
          <t>A 53693-2023</t>
        </is>
      </c>
      <c r="B3559" s="1" t="n">
        <v>45230</v>
      </c>
      <c r="C3559" s="1" t="n">
        <v>45358</v>
      </c>
      <c r="D3559" t="inlineStr">
        <is>
          <t>HALLANDS LÄN</t>
        </is>
      </c>
      <c r="E3559" t="inlineStr">
        <is>
          <t>VARBERG</t>
        </is>
      </c>
      <c r="G3559" t="n">
        <v>2.8</v>
      </c>
      <c r="H3559" t="n">
        <v>0</v>
      </c>
      <c r="I3559" t="n">
        <v>0</v>
      </c>
      <c r="J3559" t="n">
        <v>0</v>
      </c>
      <c r="K3559" t="n">
        <v>0</v>
      </c>
      <c r="L3559" t="n">
        <v>0</v>
      </c>
      <c r="M3559" t="n">
        <v>0</v>
      </c>
      <c r="N3559" t="n">
        <v>0</v>
      </c>
      <c r="O3559" t="n">
        <v>0</v>
      </c>
      <c r="P3559" t="n">
        <v>0</v>
      </c>
      <c r="Q3559" t="n">
        <v>0</v>
      </c>
      <c r="R3559" s="2" t="inlineStr"/>
    </row>
    <row r="3560" ht="15" customHeight="1">
      <c r="A3560" t="inlineStr">
        <is>
          <t>A 53642-2023</t>
        </is>
      </c>
      <c r="B3560" s="1" t="n">
        <v>45230</v>
      </c>
      <c r="C3560" s="1" t="n">
        <v>45358</v>
      </c>
      <c r="D3560" t="inlineStr">
        <is>
          <t>HALLANDS LÄN</t>
        </is>
      </c>
      <c r="E3560" t="inlineStr">
        <is>
          <t>HALMSTAD</t>
        </is>
      </c>
      <c r="G3560" t="n">
        <v>1.1</v>
      </c>
      <c r="H3560" t="n">
        <v>0</v>
      </c>
      <c r="I3560" t="n">
        <v>0</v>
      </c>
      <c r="J3560" t="n">
        <v>0</v>
      </c>
      <c r="K3560" t="n">
        <v>0</v>
      </c>
      <c r="L3560" t="n">
        <v>0</v>
      </c>
      <c r="M3560" t="n">
        <v>0</v>
      </c>
      <c r="N3560" t="n">
        <v>0</v>
      </c>
      <c r="O3560" t="n">
        <v>0</v>
      </c>
      <c r="P3560" t="n">
        <v>0</v>
      </c>
      <c r="Q3560" t="n">
        <v>0</v>
      </c>
      <c r="R3560" s="2" t="inlineStr"/>
    </row>
    <row r="3561" ht="15" customHeight="1">
      <c r="A3561" t="inlineStr">
        <is>
          <t>A 55131-2023</t>
        </is>
      </c>
      <c r="B3561" s="1" t="n">
        <v>45230</v>
      </c>
      <c r="C3561" s="1" t="n">
        <v>45358</v>
      </c>
      <c r="D3561" t="inlineStr">
        <is>
          <t>HALLANDS LÄN</t>
        </is>
      </c>
      <c r="E3561" t="inlineStr">
        <is>
          <t>LAHOLM</t>
        </is>
      </c>
      <c r="F3561" t="inlineStr">
        <is>
          <t>Övriga statliga verk och myndigheter</t>
        </is>
      </c>
      <c r="G3561" t="n">
        <v>1.1</v>
      </c>
      <c r="H3561" t="n">
        <v>0</v>
      </c>
      <c r="I3561" t="n">
        <v>0</v>
      </c>
      <c r="J3561" t="n">
        <v>0</v>
      </c>
      <c r="K3561" t="n">
        <v>0</v>
      </c>
      <c r="L3561" t="n">
        <v>0</v>
      </c>
      <c r="M3561" t="n">
        <v>0</v>
      </c>
      <c r="N3561" t="n">
        <v>0</v>
      </c>
      <c r="O3561" t="n">
        <v>0</v>
      </c>
      <c r="P3561" t="n">
        <v>0</v>
      </c>
      <c r="Q3561" t="n">
        <v>0</v>
      </c>
      <c r="R3561" s="2" t="inlineStr"/>
    </row>
    <row r="3562" ht="15" customHeight="1">
      <c r="A3562" t="inlineStr">
        <is>
          <t>A 53605-2023</t>
        </is>
      </c>
      <c r="B3562" s="1" t="n">
        <v>45230</v>
      </c>
      <c r="C3562" s="1" t="n">
        <v>45358</v>
      </c>
      <c r="D3562" t="inlineStr">
        <is>
          <t>HALLANDS LÄN</t>
        </is>
      </c>
      <c r="E3562" t="inlineStr">
        <is>
          <t>LAHOLM</t>
        </is>
      </c>
      <c r="G3562" t="n">
        <v>1.4</v>
      </c>
      <c r="H3562" t="n">
        <v>0</v>
      </c>
      <c r="I3562" t="n">
        <v>0</v>
      </c>
      <c r="J3562" t="n">
        <v>0</v>
      </c>
      <c r="K3562" t="n">
        <v>0</v>
      </c>
      <c r="L3562" t="n">
        <v>0</v>
      </c>
      <c r="M3562" t="n">
        <v>0</v>
      </c>
      <c r="N3562" t="n">
        <v>0</v>
      </c>
      <c r="O3562" t="n">
        <v>0</v>
      </c>
      <c r="P3562" t="n">
        <v>0</v>
      </c>
      <c r="Q3562" t="n">
        <v>0</v>
      </c>
      <c r="R3562" s="2" t="inlineStr"/>
    </row>
    <row r="3563" ht="15" customHeight="1">
      <c r="A3563" t="inlineStr">
        <is>
          <t>A 55135-2023</t>
        </is>
      </c>
      <c r="B3563" s="1" t="n">
        <v>45230</v>
      </c>
      <c r="C3563" s="1" t="n">
        <v>45358</v>
      </c>
      <c r="D3563" t="inlineStr">
        <is>
          <t>HALLANDS LÄN</t>
        </is>
      </c>
      <c r="E3563" t="inlineStr">
        <is>
          <t>LAHOLM</t>
        </is>
      </c>
      <c r="F3563" t="inlineStr">
        <is>
          <t>Övriga statliga verk och myndigheter</t>
        </is>
      </c>
      <c r="G3563" t="n">
        <v>2</v>
      </c>
      <c r="H3563" t="n">
        <v>0</v>
      </c>
      <c r="I3563" t="n">
        <v>0</v>
      </c>
      <c r="J3563" t="n">
        <v>0</v>
      </c>
      <c r="K3563" t="n">
        <v>0</v>
      </c>
      <c r="L3563" t="n">
        <v>0</v>
      </c>
      <c r="M3563" t="n">
        <v>0</v>
      </c>
      <c r="N3563" t="n">
        <v>0</v>
      </c>
      <c r="O3563" t="n">
        <v>0</v>
      </c>
      <c r="P3563" t="n">
        <v>0</v>
      </c>
      <c r="Q3563" t="n">
        <v>0</v>
      </c>
      <c r="R3563" s="2" t="inlineStr"/>
    </row>
    <row r="3564" ht="15" customHeight="1">
      <c r="A3564" t="inlineStr">
        <is>
          <t>A 55116-2023</t>
        </is>
      </c>
      <c r="B3564" s="1" t="n">
        <v>45230</v>
      </c>
      <c r="C3564" s="1" t="n">
        <v>45358</v>
      </c>
      <c r="D3564" t="inlineStr">
        <is>
          <t>HALLANDS LÄN</t>
        </is>
      </c>
      <c r="E3564" t="inlineStr">
        <is>
          <t>HYLTE</t>
        </is>
      </c>
      <c r="G3564" t="n">
        <v>1.7</v>
      </c>
      <c r="H3564" t="n">
        <v>0</v>
      </c>
      <c r="I3564" t="n">
        <v>0</v>
      </c>
      <c r="J3564" t="n">
        <v>0</v>
      </c>
      <c r="K3564" t="n">
        <v>0</v>
      </c>
      <c r="L3564" t="n">
        <v>0</v>
      </c>
      <c r="M3564" t="n">
        <v>0</v>
      </c>
      <c r="N3564" t="n">
        <v>0</v>
      </c>
      <c r="O3564" t="n">
        <v>0</v>
      </c>
      <c r="P3564" t="n">
        <v>0</v>
      </c>
      <c r="Q3564" t="n">
        <v>0</v>
      </c>
      <c r="R3564" s="2" t="inlineStr"/>
    </row>
    <row r="3565" ht="15" customHeight="1">
      <c r="A3565" t="inlineStr">
        <is>
          <t>A 53778-2023</t>
        </is>
      </c>
      <c r="B3565" s="1" t="n">
        <v>45231</v>
      </c>
      <c r="C3565" s="1" t="n">
        <v>45358</v>
      </c>
      <c r="D3565" t="inlineStr">
        <is>
          <t>HALLANDS LÄN</t>
        </is>
      </c>
      <c r="E3565" t="inlineStr">
        <is>
          <t>LAHOLM</t>
        </is>
      </c>
      <c r="F3565" t="inlineStr">
        <is>
          <t>Sveaskog</t>
        </is>
      </c>
      <c r="G3565" t="n">
        <v>0.6</v>
      </c>
      <c r="H3565" t="n">
        <v>0</v>
      </c>
      <c r="I3565" t="n">
        <v>0</v>
      </c>
      <c r="J3565" t="n">
        <v>0</v>
      </c>
      <c r="K3565" t="n">
        <v>0</v>
      </c>
      <c r="L3565" t="n">
        <v>0</v>
      </c>
      <c r="M3565" t="n">
        <v>0</v>
      </c>
      <c r="N3565" t="n">
        <v>0</v>
      </c>
      <c r="O3565" t="n">
        <v>0</v>
      </c>
      <c r="P3565" t="n">
        <v>0</v>
      </c>
      <c r="Q3565" t="n">
        <v>0</v>
      </c>
      <c r="R3565" s="2" t="inlineStr"/>
    </row>
    <row r="3566" ht="15" customHeight="1">
      <c r="A3566" t="inlineStr">
        <is>
          <t>A 54008-2023</t>
        </is>
      </c>
      <c r="B3566" s="1" t="n">
        <v>45231</v>
      </c>
      <c r="C3566" s="1" t="n">
        <v>45358</v>
      </c>
      <c r="D3566" t="inlineStr">
        <is>
          <t>HALLANDS LÄN</t>
        </is>
      </c>
      <c r="E3566" t="inlineStr">
        <is>
          <t>HALMSTAD</t>
        </is>
      </c>
      <c r="G3566" t="n">
        <v>0.8</v>
      </c>
      <c r="H3566" t="n">
        <v>0</v>
      </c>
      <c r="I3566" t="n">
        <v>0</v>
      </c>
      <c r="J3566" t="n">
        <v>0</v>
      </c>
      <c r="K3566" t="n">
        <v>0</v>
      </c>
      <c r="L3566" t="n">
        <v>0</v>
      </c>
      <c r="M3566" t="n">
        <v>0</v>
      </c>
      <c r="N3566" t="n">
        <v>0</v>
      </c>
      <c r="O3566" t="n">
        <v>0</v>
      </c>
      <c r="P3566" t="n">
        <v>0</v>
      </c>
      <c r="Q3566" t="n">
        <v>0</v>
      </c>
      <c r="R3566" s="2" t="inlineStr"/>
    </row>
    <row r="3567" ht="15" customHeight="1">
      <c r="A3567" t="inlineStr">
        <is>
          <t>A 54021-2023</t>
        </is>
      </c>
      <c r="B3567" s="1" t="n">
        <v>45231</v>
      </c>
      <c r="C3567" s="1" t="n">
        <v>45358</v>
      </c>
      <c r="D3567" t="inlineStr">
        <is>
          <t>HALLANDS LÄN</t>
        </is>
      </c>
      <c r="E3567" t="inlineStr">
        <is>
          <t>LAHOLM</t>
        </is>
      </c>
      <c r="G3567" t="n">
        <v>1.4</v>
      </c>
      <c r="H3567" t="n">
        <v>0</v>
      </c>
      <c r="I3567" t="n">
        <v>0</v>
      </c>
      <c r="J3567" t="n">
        <v>0</v>
      </c>
      <c r="K3567" t="n">
        <v>0</v>
      </c>
      <c r="L3567" t="n">
        <v>0</v>
      </c>
      <c r="M3567" t="n">
        <v>0</v>
      </c>
      <c r="N3567" t="n">
        <v>0</v>
      </c>
      <c r="O3567" t="n">
        <v>0</v>
      </c>
      <c r="P3567" t="n">
        <v>0</v>
      </c>
      <c r="Q3567" t="n">
        <v>0</v>
      </c>
      <c r="R3567" s="2" t="inlineStr"/>
    </row>
    <row r="3568" ht="15" customHeight="1">
      <c r="A3568" t="inlineStr">
        <is>
          <t>A 54083-2023</t>
        </is>
      </c>
      <c r="B3568" s="1" t="n">
        <v>45232</v>
      </c>
      <c r="C3568" s="1" t="n">
        <v>45358</v>
      </c>
      <c r="D3568" t="inlineStr">
        <is>
          <t>HALLANDS LÄN</t>
        </is>
      </c>
      <c r="E3568" t="inlineStr">
        <is>
          <t>LAHOLM</t>
        </is>
      </c>
      <c r="G3568" t="n">
        <v>1.9</v>
      </c>
      <c r="H3568" t="n">
        <v>0</v>
      </c>
      <c r="I3568" t="n">
        <v>0</v>
      </c>
      <c r="J3568" t="n">
        <v>0</v>
      </c>
      <c r="K3568" t="n">
        <v>0</v>
      </c>
      <c r="L3568" t="n">
        <v>0</v>
      </c>
      <c r="M3568" t="n">
        <v>0</v>
      </c>
      <c r="N3568" t="n">
        <v>0</v>
      </c>
      <c r="O3568" t="n">
        <v>0</v>
      </c>
      <c r="P3568" t="n">
        <v>0</v>
      </c>
      <c r="Q3568" t="n">
        <v>0</v>
      </c>
      <c r="R3568" s="2" t="inlineStr"/>
    </row>
    <row r="3569" ht="15" customHeight="1">
      <c r="A3569" t="inlineStr">
        <is>
          <t>A 54108-2023</t>
        </is>
      </c>
      <c r="B3569" s="1" t="n">
        <v>45232</v>
      </c>
      <c r="C3569" s="1" t="n">
        <v>45358</v>
      </c>
      <c r="D3569" t="inlineStr">
        <is>
          <t>HALLANDS LÄN</t>
        </is>
      </c>
      <c r="E3569" t="inlineStr">
        <is>
          <t>FALKENBERG</t>
        </is>
      </c>
      <c r="G3569" t="n">
        <v>1.5</v>
      </c>
      <c r="H3569" t="n">
        <v>0</v>
      </c>
      <c r="I3569" t="n">
        <v>0</v>
      </c>
      <c r="J3569" t="n">
        <v>0</v>
      </c>
      <c r="K3569" t="n">
        <v>0</v>
      </c>
      <c r="L3569" t="n">
        <v>0</v>
      </c>
      <c r="M3569" t="n">
        <v>0</v>
      </c>
      <c r="N3569" t="n">
        <v>0</v>
      </c>
      <c r="O3569" t="n">
        <v>0</v>
      </c>
      <c r="P3569" t="n">
        <v>0</v>
      </c>
      <c r="Q3569" t="n">
        <v>0</v>
      </c>
      <c r="R3569" s="2" t="inlineStr"/>
    </row>
    <row r="3570" ht="15" customHeight="1">
      <c r="A3570" t="inlineStr">
        <is>
          <t>A 54170-2023</t>
        </is>
      </c>
      <c r="B3570" s="1" t="n">
        <v>45232</v>
      </c>
      <c r="C3570" s="1" t="n">
        <v>45358</v>
      </c>
      <c r="D3570" t="inlineStr">
        <is>
          <t>HALLANDS LÄN</t>
        </is>
      </c>
      <c r="E3570" t="inlineStr">
        <is>
          <t>FALKENBERG</t>
        </is>
      </c>
      <c r="G3570" t="n">
        <v>1.5</v>
      </c>
      <c r="H3570" t="n">
        <v>0</v>
      </c>
      <c r="I3570" t="n">
        <v>0</v>
      </c>
      <c r="J3570" t="n">
        <v>0</v>
      </c>
      <c r="K3570" t="n">
        <v>0</v>
      </c>
      <c r="L3570" t="n">
        <v>0</v>
      </c>
      <c r="M3570" t="n">
        <v>0</v>
      </c>
      <c r="N3570" t="n">
        <v>0</v>
      </c>
      <c r="O3570" t="n">
        <v>0</v>
      </c>
      <c r="P3570" t="n">
        <v>0</v>
      </c>
      <c r="Q3570" t="n">
        <v>0</v>
      </c>
      <c r="R3570" s="2" t="inlineStr"/>
    </row>
    <row r="3571" ht="15" customHeight="1">
      <c r="A3571" t="inlineStr">
        <is>
          <t>A 54309-2023</t>
        </is>
      </c>
      <c r="B3571" s="1" t="n">
        <v>45232</v>
      </c>
      <c r="C3571" s="1" t="n">
        <v>45358</v>
      </c>
      <c r="D3571" t="inlineStr">
        <is>
          <t>HALLANDS LÄN</t>
        </is>
      </c>
      <c r="E3571" t="inlineStr">
        <is>
          <t>LAHOLM</t>
        </is>
      </c>
      <c r="G3571" t="n">
        <v>3.7</v>
      </c>
      <c r="H3571" t="n">
        <v>0</v>
      </c>
      <c r="I3571" t="n">
        <v>0</v>
      </c>
      <c r="J3571" t="n">
        <v>0</v>
      </c>
      <c r="K3571" t="n">
        <v>0</v>
      </c>
      <c r="L3571" t="n">
        <v>0</v>
      </c>
      <c r="M3571" t="n">
        <v>0</v>
      </c>
      <c r="N3571" t="n">
        <v>0</v>
      </c>
      <c r="O3571" t="n">
        <v>0</v>
      </c>
      <c r="P3571" t="n">
        <v>0</v>
      </c>
      <c r="Q3571" t="n">
        <v>0</v>
      </c>
      <c r="R3571" s="2" t="inlineStr"/>
    </row>
    <row r="3572" ht="15" customHeight="1">
      <c r="A3572" t="inlineStr">
        <is>
          <t>A 54229-2023</t>
        </is>
      </c>
      <c r="B3572" s="1" t="n">
        <v>45232</v>
      </c>
      <c r="C3572" s="1" t="n">
        <v>45358</v>
      </c>
      <c r="D3572" t="inlineStr">
        <is>
          <t>HALLANDS LÄN</t>
        </is>
      </c>
      <c r="E3572" t="inlineStr">
        <is>
          <t>VARBERG</t>
        </is>
      </c>
      <c r="G3572" t="n">
        <v>16.3</v>
      </c>
      <c r="H3572" t="n">
        <v>0</v>
      </c>
      <c r="I3572" t="n">
        <v>0</v>
      </c>
      <c r="J3572" t="n">
        <v>0</v>
      </c>
      <c r="K3572" t="n">
        <v>0</v>
      </c>
      <c r="L3572" t="n">
        <v>0</v>
      </c>
      <c r="M3572" t="n">
        <v>0</v>
      </c>
      <c r="N3572" t="n">
        <v>0</v>
      </c>
      <c r="O3572" t="n">
        <v>0</v>
      </c>
      <c r="P3572" t="n">
        <v>0</v>
      </c>
      <c r="Q3572" t="n">
        <v>0</v>
      </c>
      <c r="R3572" s="2" t="inlineStr"/>
    </row>
    <row r="3573" ht="15" customHeight="1">
      <c r="A3573" t="inlineStr">
        <is>
          <t>A 55523-2023</t>
        </is>
      </c>
      <c r="B3573" s="1" t="n">
        <v>45232</v>
      </c>
      <c r="C3573" s="1" t="n">
        <v>45358</v>
      </c>
      <c r="D3573" t="inlineStr">
        <is>
          <t>HALLANDS LÄN</t>
        </is>
      </c>
      <c r="E3573" t="inlineStr">
        <is>
          <t>LAHOLM</t>
        </is>
      </c>
      <c r="G3573" t="n">
        <v>1.8</v>
      </c>
      <c r="H3573" t="n">
        <v>0</v>
      </c>
      <c r="I3573" t="n">
        <v>0</v>
      </c>
      <c r="J3573" t="n">
        <v>0</v>
      </c>
      <c r="K3573" t="n">
        <v>0</v>
      </c>
      <c r="L3573" t="n">
        <v>0</v>
      </c>
      <c r="M3573" t="n">
        <v>0</v>
      </c>
      <c r="N3573" t="n">
        <v>0</v>
      </c>
      <c r="O3573" t="n">
        <v>0</v>
      </c>
      <c r="P3573" t="n">
        <v>0</v>
      </c>
      <c r="Q3573" t="n">
        <v>0</v>
      </c>
      <c r="R3573" s="2" t="inlineStr"/>
    </row>
    <row r="3574" ht="15" customHeight="1">
      <c r="A3574" t="inlineStr">
        <is>
          <t>A 55893-2023</t>
        </is>
      </c>
      <c r="B3574" s="1" t="n">
        <v>45233</v>
      </c>
      <c r="C3574" s="1" t="n">
        <v>45358</v>
      </c>
      <c r="D3574" t="inlineStr">
        <is>
          <t>HALLANDS LÄN</t>
        </is>
      </c>
      <c r="E3574" t="inlineStr">
        <is>
          <t>LAHOLM</t>
        </is>
      </c>
      <c r="G3574" t="n">
        <v>1.8</v>
      </c>
      <c r="H3574" t="n">
        <v>0</v>
      </c>
      <c r="I3574" t="n">
        <v>0</v>
      </c>
      <c r="J3574" t="n">
        <v>0</v>
      </c>
      <c r="K3574" t="n">
        <v>0</v>
      </c>
      <c r="L3574" t="n">
        <v>0</v>
      </c>
      <c r="M3574" t="n">
        <v>0</v>
      </c>
      <c r="N3574" t="n">
        <v>0</v>
      </c>
      <c r="O3574" t="n">
        <v>0</v>
      </c>
      <c r="P3574" t="n">
        <v>0</v>
      </c>
      <c r="Q3574" t="n">
        <v>0</v>
      </c>
      <c r="R3574" s="2" t="inlineStr"/>
    </row>
    <row r="3575" ht="15" customHeight="1">
      <c r="A3575" t="inlineStr">
        <is>
          <t>A 55889-2023</t>
        </is>
      </c>
      <c r="B3575" s="1" t="n">
        <v>45233</v>
      </c>
      <c r="C3575" s="1" t="n">
        <v>45358</v>
      </c>
      <c r="D3575" t="inlineStr">
        <is>
          <t>HALLANDS LÄN</t>
        </is>
      </c>
      <c r="E3575" t="inlineStr">
        <is>
          <t>HYLTE</t>
        </is>
      </c>
      <c r="G3575" t="n">
        <v>5.1</v>
      </c>
      <c r="H3575" t="n">
        <v>0</v>
      </c>
      <c r="I3575" t="n">
        <v>0</v>
      </c>
      <c r="J3575" t="n">
        <v>0</v>
      </c>
      <c r="K3575" t="n">
        <v>0</v>
      </c>
      <c r="L3575" t="n">
        <v>0</v>
      </c>
      <c r="M3575" t="n">
        <v>0</v>
      </c>
      <c r="N3575" t="n">
        <v>0</v>
      </c>
      <c r="O3575" t="n">
        <v>0</v>
      </c>
      <c r="P3575" t="n">
        <v>0</v>
      </c>
      <c r="Q3575" t="n">
        <v>0</v>
      </c>
      <c r="R3575" s="2" t="inlineStr"/>
    </row>
    <row r="3576" ht="15" customHeight="1">
      <c r="A3576" t="inlineStr">
        <is>
          <t>A 54816-2023</t>
        </is>
      </c>
      <c r="B3576" s="1" t="n">
        <v>45236</v>
      </c>
      <c r="C3576" s="1" t="n">
        <v>45358</v>
      </c>
      <c r="D3576" t="inlineStr">
        <is>
          <t>HALLANDS LÄN</t>
        </is>
      </c>
      <c r="E3576" t="inlineStr">
        <is>
          <t>HYLTE</t>
        </is>
      </c>
      <c r="G3576" t="n">
        <v>3.6</v>
      </c>
      <c r="H3576" t="n">
        <v>0</v>
      </c>
      <c r="I3576" t="n">
        <v>0</v>
      </c>
      <c r="J3576" t="n">
        <v>0</v>
      </c>
      <c r="K3576" t="n">
        <v>0</v>
      </c>
      <c r="L3576" t="n">
        <v>0</v>
      </c>
      <c r="M3576" t="n">
        <v>0</v>
      </c>
      <c r="N3576" t="n">
        <v>0</v>
      </c>
      <c r="O3576" t="n">
        <v>0</v>
      </c>
      <c r="P3576" t="n">
        <v>0</v>
      </c>
      <c r="Q3576" t="n">
        <v>0</v>
      </c>
      <c r="R3576" s="2" t="inlineStr"/>
    </row>
    <row r="3577" ht="15" customHeight="1">
      <c r="A3577" t="inlineStr">
        <is>
          <t>A 54703-2023</t>
        </is>
      </c>
      <c r="B3577" s="1" t="n">
        <v>45236</v>
      </c>
      <c r="C3577" s="1" t="n">
        <v>45358</v>
      </c>
      <c r="D3577" t="inlineStr">
        <is>
          <t>HALLANDS LÄN</t>
        </is>
      </c>
      <c r="E3577" t="inlineStr">
        <is>
          <t>LAHOLM</t>
        </is>
      </c>
      <c r="G3577" t="n">
        <v>2.3</v>
      </c>
      <c r="H3577" t="n">
        <v>0</v>
      </c>
      <c r="I3577" t="n">
        <v>0</v>
      </c>
      <c r="J3577" t="n">
        <v>0</v>
      </c>
      <c r="K3577" t="n">
        <v>0</v>
      </c>
      <c r="L3577" t="n">
        <v>0</v>
      </c>
      <c r="M3577" t="n">
        <v>0</v>
      </c>
      <c r="N3577" t="n">
        <v>0</v>
      </c>
      <c r="O3577" t="n">
        <v>0</v>
      </c>
      <c r="P3577" t="n">
        <v>0</v>
      </c>
      <c r="Q3577" t="n">
        <v>0</v>
      </c>
      <c r="R3577" s="2" t="inlineStr"/>
    </row>
    <row r="3578" ht="15" customHeight="1">
      <c r="A3578" t="inlineStr">
        <is>
          <t>A 55312-2023</t>
        </is>
      </c>
      <c r="B3578" s="1" t="n">
        <v>45237</v>
      </c>
      <c r="C3578" s="1" t="n">
        <v>45358</v>
      </c>
      <c r="D3578" t="inlineStr">
        <is>
          <t>HALLANDS LÄN</t>
        </is>
      </c>
      <c r="E3578" t="inlineStr">
        <is>
          <t>LAHOLM</t>
        </is>
      </c>
      <c r="G3578" t="n">
        <v>1.1</v>
      </c>
      <c r="H3578" t="n">
        <v>0</v>
      </c>
      <c r="I3578" t="n">
        <v>0</v>
      </c>
      <c r="J3578" t="n">
        <v>0</v>
      </c>
      <c r="K3578" t="n">
        <v>0</v>
      </c>
      <c r="L3578" t="n">
        <v>0</v>
      </c>
      <c r="M3578" t="n">
        <v>0</v>
      </c>
      <c r="N3578" t="n">
        <v>0</v>
      </c>
      <c r="O3578" t="n">
        <v>0</v>
      </c>
      <c r="P3578" t="n">
        <v>0</v>
      </c>
      <c r="Q3578" t="n">
        <v>0</v>
      </c>
      <c r="R3578" s="2" t="inlineStr"/>
    </row>
    <row r="3579" ht="15" customHeight="1">
      <c r="A3579" t="inlineStr">
        <is>
          <t>A 55362-2023</t>
        </is>
      </c>
      <c r="B3579" s="1" t="n">
        <v>45238</v>
      </c>
      <c r="C3579" s="1" t="n">
        <v>45358</v>
      </c>
      <c r="D3579" t="inlineStr">
        <is>
          <t>HALLANDS LÄN</t>
        </is>
      </c>
      <c r="E3579" t="inlineStr">
        <is>
          <t>HALMSTAD</t>
        </is>
      </c>
      <c r="G3579" t="n">
        <v>3.7</v>
      </c>
      <c r="H3579" t="n">
        <v>0</v>
      </c>
      <c r="I3579" t="n">
        <v>0</v>
      </c>
      <c r="J3579" t="n">
        <v>0</v>
      </c>
      <c r="K3579" t="n">
        <v>0</v>
      </c>
      <c r="L3579" t="n">
        <v>0</v>
      </c>
      <c r="M3579" t="n">
        <v>0</v>
      </c>
      <c r="N3579" t="n">
        <v>0</v>
      </c>
      <c r="O3579" t="n">
        <v>0</v>
      </c>
      <c r="P3579" t="n">
        <v>0</v>
      </c>
      <c r="Q3579" t="n">
        <v>0</v>
      </c>
      <c r="R3579" s="2" t="inlineStr"/>
    </row>
    <row r="3580" ht="15" customHeight="1">
      <c r="A3580" t="inlineStr">
        <is>
          <t>A 55502-2023</t>
        </is>
      </c>
      <c r="B3580" s="1" t="n">
        <v>45238</v>
      </c>
      <c r="C3580" s="1" t="n">
        <v>45358</v>
      </c>
      <c r="D3580" t="inlineStr">
        <is>
          <t>HALLANDS LÄN</t>
        </is>
      </c>
      <c r="E3580" t="inlineStr">
        <is>
          <t>KUNGSBACKA</t>
        </is>
      </c>
      <c r="G3580" t="n">
        <v>2.3</v>
      </c>
      <c r="H3580" t="n">
        <v>0</v>
      </c>
      <c r="I3580" t="n">
        <v>0</v>
      </c>
      <c r="J3580" t="n">
        <v>0</v>
      </c>
      <c r="K3580" t="n">
        <v>0</v>
      </c>
      <c r="L3580" t="n">
        <v>0</v>
      </c>
      <c r="M3580" t="n">
        <v>0</v>
      </c>
      <c r="N3580" t="n">
        <v>0</v>
      </c>
      <c r="O3580" t="n">
        <v>0</v>
      </c>
      <c r="P3580" t="n">
        <v>0</v>
      </c>
      <c r="Q3580" t="n">
        <v>0</v>
      </c>
      <c r="R3580" s="2" t="inlineStr"/>
    </row>
    <row r="3581" ht="15" customHeight="1">
      <c r="A3581" t="inlineStr">
        <is>
          <t>A 55593-2023</t>
        </is>
      </c>
      <c r="B3581" s="1" t="n">
        <v>45238</v>
      </c>
      <c r="C3581" s="1" t="n">
        <v>45358</v>
      </c>
      <c r="D3581" t="inlineStr">
        <is>
          <t>HALLANDS LÄN</t>
        </is>
      </c>
      <c r="E3581" t="inlineStr">
        <is>
          <t>HYLTE</t>
        </is>
      </c>
      <c r="G3581" t="n">
        <v>5.6</v>
      </c>
      <c r="H3581" t="n">
        <v>0</v>
      </c>
      <c r="I3581" t="n">
        <v>0</v>
      </c>
      <c r="J3581" t="n">
        <v>0</v>
      </c>
      <c r="K3581" t="n">
        <v>0</v>
      </c>
      <c r="L3581" t="n">
        <v>0</v>
      </c>
      <c r="M3581" t="n">
        <v>0</v>
      </c>
      <c r="N3581" t="n">
        <v>0</v>
      </c>
      <c r="O3581" t="n">
        <v>0</v>
      </c>
      <c r="P3581" t="n">
        <v>0</v>
      </c>
      <c r="Q3581" t="n">
        <v>0</v>
      </c>
      <c r="R3581" s="2" t="inlineStr"/>
    </row>
    <row r="3582" ht="15" customHeight="1">
      <c r="A3582" t="inlineStr">
        <is>
          <t>A 55597-2023</t>
        </is>
      </c>
      <c r="B3582" s="1" t="n">
        <v>45238</v>
      </c>
      <c r="C3582" s="1" t="n">
        <v>45358</v>
      </c>
      <c r="D3582" t="inlineStr">
        <is>
          <t>HALLANDS LÄN</t>
        </is>
      </c>
      <c r="E3582" t="inlineStr">
        <is>
          <t>HALMSTAD</t>
        </is>
      </c>
      <c r="G3582" t="n">
        <v>0.6</v>
      </c>
      <c r="H3582" t="n">
        <v>0</v>
      </c>
      <c r="I3582" t="n">
        <v>0</v>
      </c>
      <c r="J3582" t="n">
        <v>0</v>
      </c>
      <c r="K3582" t="n">
        <v>0</v>
      </c>
      <c r="L3582" t="n">
        <v>0</v>
      </c>
      <c r="M3582" t="n">
        <v>0</v>
      </c>
      <c r="N3582" t="n">
        <v>0</v>
      </c>
      <c r="O3582" t="n">
        <v>0</v>
      </c>
      <c r="P3582" t="n">
        <v>0</v>
      </c>
      <c r="Q3582" t="n">
        <v>0</v>
      </c>
      <c r="R3582" s="2" t="inlineStr"/>
    </row>
    <row r="3583" ht="15" customHeight="1">
      <c r="A3583" t="inlineStr">
        <is>
          <t>A 55596-2023</t>
        </is>
      </c>
      <c r="B3583" s="1" t="n">
        <v>45238</v>
      </c>
      <c r="C3583" s="1" t="n">
        <v>45358</v>
      </c>
      <c r="D3583" t="inlineStr">
        <is>
          <t>HALLANDS LÄN</t>
        </is>
      </c>
      <c r="E3583" t="inlineStr">
        <is>
          <t>HALMSTAD</t>
        </is>
      </c>
      <c r="G3583" t="n">
        <v>0.6</v>
      </c>
      <c r="H3583" t="n">
        <v>0</v>
      </c>
      <c r="I3583" t="n">
        <v>0</v>
      </c>
      <c r="J3583" t="n">
        <v>0</v>
      </c>
      <c r="K3583" t="n">
        <v>0</v>
      </c>
      <c r="L3583" t="n">
        <v>0</v>
      </c>
      <c r="M3583" t="n">
        <v>0</v>
      </c>
      <c r="N3583" t="n">
        <v>0</v>
      </c>
      <c r="O3583" t="n">
        <v>0</v>
      </c>
      <c r="P3583" t="n">
        <v>0</v>
      </c>
      <c r="Q3583" t="n">
        <v>0</v>
      </c>
      <c r="R3583" s="2" t="inlineStr"/>
    </row>
    <row r="3584" ht="15" customHeight="1">
      <c r="A3584" t="inlineStr">
        <is>
          <t>A 55600-2023</t>
        </is>
      </c>
      <c r="B3584" s="1" t="n">
        <v>45238</v>
      </c>
      <c r="C3584" s="1" t="n">
        <v>45358</v>
      </c>
      <c r="D3584" t="inlineStr">
        <is>
          <t>HALLANDS LÄN</t>
        </is>
      </c>
      <c r="E3584" t="inlineStr">
        <is>
          <t>HYLTE</t>
        </is>
      </c>
      <c r="G3584" t="n">
        <v>1.1</v>
      </c>
      <c r="H3584" t="n">
        <v>0</v>
      </c>
      <c r="I3584" t="n">
        <v>0</v>
      </c>
      <c r="J3584" t="n">
        <v>0</v>
      </c>
      <c r="K3584" t="n">
        <v>0</v>
      </c>
      <c r="L3584" t="n">
        <v>0</v>
      </c>
      <c r="M3584" t="n">
        <v>0</v>
      </c>
      <c r="N3584" t="n">
        <v>0</v>
      </c>
      <c r="O3584" t="n">
        <v>0</v>
      </c>
      <c r="P3584" t="n">
        <v>0</v>
      </c>
      <c r="Q3584" t="n">
        <v>0</v>
      </c>
      <c r="R3584" s="2" t="inlineStr"/>
    </row>
    <row r="3585" ht="15" customHeight="1">
      <c r="A3585" t="inlineStr">
        <is>
          <t>A 56650-2023</t>
        </is>
      </c>
      <c r="B3585" s="1" t="n">
        <v>45238</v>
      </c>
      <c r="C3585" s="1" t="n">
        <v>45358</v>
      </c>
      <c r="D3585" t="inlineStr">
        <is>
          <t>HALLANDS LÄN</t>
        </is>
      </c>
      <c r="E3585" t="inlineStr">
        <is>
          <t>FALKENBERG</t>
        </is>
      </c>
      <c r="G3585" t="n">
        <v>29.4</v>
      </c>
      <c r="H3585" t="n">
        <v>0</v>
      </c>
      <c r="I3585" t="n">
        <v>0</v>
      </c>
      <c r="J3585" t="n">
        <v>0</v>
      </c>
      <c r="K3585" t="n">
        <v>0</v>
      </c>
      <c r="L3585" t="n">
        <v>0</v>
      </c>
      <c r="M3585" t="n">
        <v>0</v>
      </c>
      <c r="N3585" t="n">
        <v>0</v>
      </c>
      <c r="O3585" t="n">
        <v>0</v>
      </c>
      <c r="P3585" t="n">
        <v>0</v>
      </c>
      <c r="Q3585" t="n">
        <v>0</v>
      </c>
      <c r="R3585" s="2" t="inlineStr"/>
    </row>
    <row r="3586" ht="15" customHeight="1">
      <c r="A3586" t="inlineStr">
        <is>
          <t>A 55505-2023</t>
        </is>
      </c>
      <c r="B3586" s="1" t="n">
        <v>45238</v>
      </c>
      <c r="C3586" s="1" t="n">
        <v>45358</v>
      </c>
      <c r="D3586" t="inlineStr">
        <is>
          <t>HALLANDS LÄN</t>
        </is>
      </c>
      <c r="E3586" t="inlineStr">
        <is>
          <t>VARBERG</t>
        </is>
      </c>
      <c r="G3586" t="n">
        <v>0.5</v>
      </c>
      <c r="H3586" t="n">
        <v>0</v>
      </c>
      <c r="I3586" t="n">
        <v>0</v>
      </c>
      <c r="J3586" t="n">
        <v>0</v>
      </c>
      <c r="K3586" t="n">
        <v>0</v>
      </c>
      <c r="L3586" t="n">
        <v>0</v>
      </c>
      <c r="M3586" t="n">
        <v>0</v>
      </c>
      <c r="N3586" t="n">
        <v>0</v>
      </c>
      <c r="O3586" t="n">
        <v>0</v>
      </c>
      <c r="P3586" t="n">
        <v>0</v>
      </c>
      <c r="Q3586" t="n">
        <v>0</v>
      </c>
      <c r="R3586" s="2" t="inlineStr"/>
    </row>
    <row r="3587" ht="15" customHeight="1">
      <c r="A3587" t="inlineStr">
        <is>
          <t>A 55704-2023</t>
        </is>
      </c>
      <c r="B3587" s="1" t="n">
        <v>45239</v>
      </c>
      <c r="C3587" s="1" t="n">
        <v>45358</v>
      </c>
      <c r="D3587" t="inlineStr">
        <is>
          <t>HALLANDS LÄN</t>
        </is>
      </c>
      <c r="E3587" t="inlineStr">
        <is>
          <t>LAHOLM</t>
        </is>
      </c>
      <c r="G3587" t="n">
        <v>1.4</v>
      </c>
      <c r="H3587" t="n">
        <v>0</v>
      </c>
      <c r="I3587" t="n">
        <v>0</v>
      </c>
      <c r="J3587" t="n">
        <v>0</v>
      </c>
      <c r="K3587" t="n">
        <v>0</v>
      </c>
      <c r="L3587" t="n">
        <v>0</v>
      </c>
      <c r="M3587" t="n">
        <v>0</v>
      </c>
      <c r="N3587" t="n">
        <v>0</v>
      </c>
      <c r="O3587" t="n">
        <v>0</v>
      </c>
      <c r="P3587" t="n">
        <v>0</v>
      </c>
      <c r="Q3587" t="n">
        <v>0</v>
      </c>
      <c r="R3587" s="2" t="inlineStr"/>
    </row>
    <row r="3588" ht="15" customHeight="1">
      <c r="A3588" t="inlineStr">
        <is>
          <t>A 55724-2023</t>
        </is>
      </c>
      <c r="B3588" s="1" t="n">
        <v>45239</v>
      </c>
      <c r="C3588" s="1" t="n">
        <v>45358</v>
      </c>
      <c r="D3588" t="inlineStr">
        <is>
          <t>HALLANDS LÄN</t>
        </is>
      </c>
      <c r="E3588" t="inlineStr">
        <is>
          <t>LAHOLM</t>
        </is>
      </c>
      <c r="G3588" t="n">
        <v>0.5</v>
      </c>
      <c r="H3588" t="n">
        <v>0</v>
      </c>
      <c r="I3588" t="n">
        <v>0</v>
      </c>
      <c r="J3588" t="n">
        <v>0</v>
      </c>
      <c r="K3588" t="n">
        <v>0</v>
      </c>
      <c r="L3588" t="n">
        <v>0</v>
      </c>
      <c r="M3588" t="n">
        <v>0</v>
      </c>
      <c r="N3588" t="n">
        <v>0</v>
      </c>
      <c r="O3588" t="n">
        <v>0</v>
      </c>
      <c r="P3588" t="n">
        <v>0</v>
      </c>
      <c r="Q3588" t="n">
        <v>0</v>
      </c>
      <c r="R3588" s="2" t="inlineStr"/>
    </row>
    <row r="3589" ht="15" customHeight="1">
      <c r="A3589" t="inlineStr">
        <is>
          <t>A 55694-2023</t>
        </is>
      </c>
      <c r="B3589" s="1" t="n">
        <v>45239</v>
      </c>
      <c r="C3589" s="1" t="n">
        <v>45358</v>
      </c>
      <c r="D3589" t="inlineStr">
        <is>
          <t>HALLANDS LÄN</t>
        </is>
      </c>
      <c r="E3589" t="inlineStr">
        <is>
          <t>LAHOLM</t>
        </is>
      </c>
      <c r="G3589" t="n">
        <v>0.6</v>
      </c>
      <c r="H3589" t="n">
        <v>0</v>
      </c>
      <c r="I3589" t="n">
        <v>0</v>
      </c>
      <c r="J3589" t="n">
        <v>0</v>
      </c>
      <c r="K3589" t="n">
        <v>0</v>
      </c>
      <c r="L3589" t="n">
        <v>0</v>
      </c>
      <c r="M3589" t="n">
        <v>0</v>
      </c>
      <c r="N3589" t="n">
        <v>0</v>
      </c>
      <c r="O3589" t="n">
        <v>0</v>
      </c>
      <c r="P3589" t="n">
        <v>0</v>
      </c>
      <c r="Q3589" t="n">
        <v>0</v>
      </c>
      <c r="R3589" s="2" t="inlineStr"/>
    </row>
    <row r="3590" ht="15" customHeight="1">
      <c r="A3590" t="inlineStr">
        <is>
          <t>A 55699-2023</t>
        </is>
      </c>
      <c r="B3590" s="1" t="n">
        <v>45239</v>
      </c>
      <c r="C3590" s="1" t="n">
        <v>45358</v>
      </c>
      <c r="D3590" t="inlineStr">
        <is>
          <t>HALLANDS LÄN</t>
        </is>
      </c>
      <c r="E3590" t="inlineStr">
        <is>
          <t>LAHOLM</t>
        </is>
      </c>
      <c r="G3590" t="n">
        <v>2.1</v>
      </c>
      <c r="H3590" t="n">
        <v>0</v>
      </c>
      <c r="I3590" t="n">
        <v>0</v>
      </c>
      <c r="J3590" t="n">
        <v>0</v>
      </c>
      <c r="K3590" t="n">
        <v>0</v>
      </c>
      <c r="L3590" t="n">
        <v>0</v>
      </c>
      <c r="M3590" t="n">
        <v>0</v>
      </c>
      <c r="N3590" t="n">
        <v>0</v>
      </c>
      <c r="O3590" t="n">
        <v>0</v>
      </c>
      <c r="P3590" t="n">
        <v>0</v>
      </c>
      <c r="Q3590" t="n">
        <v>0</v>
      </c>
      <c r="R3590" s="2" t="inlineStr"/>
    </row>
    <row r="3591" ht="15" customHeight="1">
      <c r="A3591" t="inlineStr">
        <is>
          <t>A 55728-2023</t>
        </is>
      </c>
      <c r="B3591" s="1" t="n">
        <v>45239</v>
      </c>
      <c r="C3591" s="1" t="n">
        <v>45358</v>
      </c>
      <c r="D3591" t="inlineStr">
        <is>
          <t>HALLANDS LÄN</t>
        </is>
      </c>
      <c r="E3591" t="inlineStr">
        <is>
          <t>LAHOLM</t>
        </is>
      </c>
      <c r="G3591" t="n">
        <v>3.1</v>
      </c>
      <c r="H3591" t="n">
        <v>0</v>
      </c>
      <c r="I3591" t="n">
        <v>0</v>
      </c>
      <c r="J3591" t="n">
        <v>0</v>
      </c>
      <c r="K3591" t="n">
        <v>0</v>
      </c>
      <c r="L3591" t="n">
        <v>0</v>
      </c>
      <c r="M3591" t="n">
        <v>0</v>
      </c>
      <c r="N3591" t="n">
        <v>0</v>
      </c>
      <c r="O3591" t="n">
        <v>0</v>
      </c>
      <c r="P3591" t="n">
        <v>0</v>
      </c>
      <c r="Q3591" t="n">
        <v>0</v>
      </c>
      <c r="R3591" s="2" t="inlineStr"/>
    </row>
    <row r="3592" ht="15" customHeight="1">
      <c r="A3592" t="inlineStr">
        <is>
          <t>A 55779-2023</t>
        </is>
      </c>
      <c r="B3592" s="1" t="n">
        <v>45239</v>
      </c>
      <c r="C3592" s="1" t="n">
        <v>45358</v>
      </c>
      <c r="D3592" t="inlineStr">
        <is>
          <t>HALLANDS LÄN</t>
        </is>
      </c>
      <c r="E3592" t="inlineStr">
        <is>
          <t>LAHOLM</t>
        </is>
      </c>
      <c r="G3592" t="n">
        <v>4.1</v>
      </c>
      <c r="H3592" t="n">
        <v>0</v>
      </c>
      <c r="I3592" t="n">
        <v>0</v>
      </c>
      <c r="J3592" t="n">
        <v>0</v>
      </c>
      <c r="K3592" t="n">
        <v>0</v>
      </c>
      <c r="L3592" t="n">
        <v>0</v>
      </c>
      <c r="M3592" t="n">
        <v>0</v>
      </c>
      <c r="N3592" t="n">
        <v>0</v>
      </c>
      <c r="O3592" t="n">
        <v>0</v>
      </c>
      <c r="P3592" t="n">
        <v>0</v>
      </c>
      <c r="Q3592" t="n">
        <v>0</v>
      </c>
      <c r="R3592" s="2" t="inlineStr"/>
    </row>
    <row r="3593" ht="15" customHeight="1">
      <c r="A3593" t="inlineStr">
        <is>
          <t>A 55798-2023</t>
        </is>
      </c>
      <c r="B3593" s="1" t="n">
        <v>45239</v>
      </c>
      <c r="C3593" s="1" t="n">
        <v>45358</v>
      </c>
      <c r="D3593" t="inlineStr">
        <is>
          <t>HALLANDS LÄN</t>
        </is>
      </c>
      <c r="E3593" t="inlineStr">
        <is>
          <t>HALMSTAD</t>
        </is>
      </c>
      <c r="G3593" t="n">
        <v>1.8</v>
      </c>
      <c r="H3593" t="n">
        <v>0</v>
      </c>
      <c r="I3593" t="n">
        <v>0</v>
      </c>
      <c r="J3593" t="n">
        <v>0</v>
      </c>
      <c r="K3593" t="n">
        <v>0</v>
      </c>
      <c r="L3593" t="n">
        <v>0</v>
      </c>
      <c r="M3593" t="n">
        <v>0</v>
      </c>
      <c r="N3593" t="n">
        <v>0</v>
      </c>
      <c r="O3593" t="n">
        <v>0</v>
      </c>
      <c r="P3593" t="n">
        <v>0</v>
      </c>
      <c r="Q3593" t="n">
        <v>0</v>
      </c>
      <c r="R3593" s="2" t="inlineStr"/>
    </row>
    <row r="3594" ht="15" customHeight="1">
      <c r="A3594" t="inlineStr">
        <is>
          <t>A 55771-2023</t>
        </is>
      </c>
      <c r="B3594" s="1" t="n">
        <v>45239</v>
      </c>
      <c r="C3594" s="1" t="n">
        <v>45358</v>
      </c>
      <c r="D3594" t="inlineStr">
        <is>
          <t>HALLANDS LÄN</t>
        </is>
      </c>
      <c r="E3594" t="inlineStr">
        <is>
          <t>FALKENBERG</t>
        </is>
      </c>
      <c r="G3594" t="n">
        <v>3.8</v>
      </c>
      <c r="H3594" t="n">
        <v>0</v>
      </c>
      <c r="I3594" t="n">
        <v>0</v>
      </c>
      <c r="J3594" t="n">
        <v>0</v>
      </c>
      <c r="K3594" t="n">
        <v>0</v>
      </c>
      <c r="L3594" t="n">
        <v>0</v>
      </c>
      <c r="M3594" t="n">
        <v>0</v>
      </c>
      <c r="N3594" t="n">
        <v>0</v>
      </c>
      <c r="O3594" t="n">
        <v>0</v>
      </c>
      <c r="P3594" t="n">
        <v>0</v>
      </c>
      <c r="Q3594" t="n">
        <v>0</v>
      </c>
      <c r="R3594" s="2" t="inlineStr"/>
    </row>
    <row r="3595" ht="15" customHeight="1">
      <c r="A3595" t="inlineStr">
        <is>
          <t>A 55801-2023</t>
        </is>
      </c>
      <c r="B3595" s="1" t="n">
        <v>45239</v>
      </c>
      <c r="C3595" s="1" t="n">
        <v>45358</v>
      </c>
      <c r="D3595" t="inlineStr">
        <is>
          <t>HALLANDS LÄN</t>
        </is>
      </c>
      <c r="E3595" t="inlineStr">
        <is>
          <t>HALMSTAD</t>
        </is>
      </c>
      <c r="G3595" t="n">
        <v>0.9</v>
      </c>
      <c r="H3595" t="n">
        <v>0</v>
      </c>
      <c r="I3595" t="n">
        <v>0</v>
      </c>
      <c r="J3595" t="n">
        <v>0</v>
      </c>
      <c r="K3595" t="n">
        <v>0</v>
      </c>
      <c r="L3595" t="n">
        <v>0</v>
      </c>
      <c r="M3595" t="n">
        <v>0</v>
      </c>
      <c r="N3595" t="n">
        <v>0</v>
      </c>
      <c r="O3595" t="n">
        <v>0</v>
      </c>
      <c r="P3595" t="n">
        <v>0</v>
      </c>
      <c r="Q3595" t="n">
        <v>0</v>
      </c>
      <c r="R3595" s="2" t="inlineStr"/>
    </row>
    <row r="3596" ht="15" customHeight="1">
      <c r="A3596" t="inlineStr">
        <is>
          <t>A 55876-2023</t>
        </is>
      </c>
      <c r="B3596" s="1" t="n">
        <v>45239</v>
      </c>
      <c r="C3596" s="1" t="n">
        <v>45358</v>
      </c>
      <c r="D3596" t="inlineStr">
        <is>
          <t>HALLANDS LÄN</t>
        </is>
      </c>
      <c r="E3596" t="inlineStr">
        <is>
          <t>FALKENBERG</t>
        </is>
      </c>
      <c r="G3596" t="n">
        <v>1.4</v>
      </c>
      <c r="H3596" t="n">
        <v>0</v>
      </c>
      <c r="I3596" t="n">
        <v>0</v>
      </c>
      <c r="J3596" t="n">
        <v>0</v>
      </c>
      <c r="K3596" t="n">
        <v>0</v>
      </c>
      <c r="L3596" t="n">
        <v>0</v>
      </c>
      <c r="M3596" t="n">
        <v>0</v>
      </c>
      <c r="N3596" t="n">
        <v>0</v>
      </c>
      <c r="O3596" t="n">
        <v>0</v>
      </c>
      <c r="P3596" t="n">
        <v>0</v>
      </c>
      <c r="Q3596" t="n">
        <v>0</v>
      </c>
      <c r="R3596" s="2" t="inlineStr"/>
    </row>
    <row r="3597" ht="15" customHeight="1">
      <c r="A3597" t="inlineStr">
        <is>
          <t>A 55891-2023</t>
        </is>
      </c>
      <c r="B3597" s="1" t="n">
        <v>45239</v>
      </c>
      <c r="C3597" s="1" t="n">
        <v>45358</v>
      </c>
      <c r="D3597" t="inlineStr">
        <is>
          <t>HALLANDS LÄN</t>
        </is>
      </c>
      <c r="E3597" t="inlineStr">
        <is>
          <t>FALKENBERG</t>
        </is>
      </c>
      <c r="G3597" t="n">
        <v>4.7</v>
      </c>
      <c r="H3597" t="n">
        <v>0</v>
      </c>
      <c r="I3597" t="n">
        <v>0</v>
      </c>
      <c r="J3597" t="n">
        <v>0</v>
      </c>
      <c r="K3597" t="n">
        <v>0</v>
      </c>
      <c r="L3597" t="n">
        <v>0</v>
      </c>
      <c r="M3597" t="n">
        <v>0</v>
      </c>
      <c r="N3597" t="n">
        <v>0</v>
      </c>
      <c r="O3597" t="n">
        <v>0</v>
      </c>
      <c r="P3597" t="n">
        <v>0</v>
      </c>
      <c r="Q3597" t="n">
        <v>0</v>
      </c>
      <c r="R3597" s="2" t="inlineStr"/>
    </row>
    <row r="3598" ht="15" customHeight="1">
      <c r="A3598" t="inlineStr">
        <is>
          <t>A 56941-2023</t>
        </is>
      </c>
      <c r="B3598" s="1" t="n">
        <v>45239</v>
      </c>
      <c r="C3598" s="1" t="n">
        <v>45358</v>
      </c>
      <c r="D3598" t="inlineStr">
        <is>
          <t>HALLANDS LÄN</t>
        </is>
      </c>
      <c r="E3598" t="inlineStr">
        <is>
          <t>VARBERG</t>
        </is>
      </c>
      <c r="F3598" t="inlineStr">
        <is>
          <t>Övriga statliga verk och myndigheter</t>
        </is>
      </c>
      <c r="G3598" t="n">
        <v>3.6</v>
      </c>
      <c r="H3598" t="n">
        <v>0</v>
      </c>
      <c r="I3598" t="n">
        <v>0</v>
      </c>
      <c r="J3598" t="n">
        <v>0</v>
      </c>
      <c r="K3598" t="n">
        <v>0</v>
      </c>
      <c r="L3598" t="n">
        <v>0</v>
      </c>
      <c r="M3598" t="n">
        <v>0</v>
      </c>
      <c r="N3598" t="n">
        <v>0</v>
      </c>
      <c r="O3598" t="n">
        <v>0</v>
      </c>
      <c r="P3598" t="n">
        <v>0</v>
      </c>
      <c r="Q3598" t="n">
        <v>0</v>
      </c>
      <c r="R3598" s="2" t="inlineStr"/>
    </row>
    <row r="3599" ht="15" customHeight="1">
      <c r="A3599" t="inlineStr">
        <is>
          <t>A 55770-2023</t>
        </is>
      </c>
      <c r="B3599" s="1" t="n">
        <v>45239</v>
      </c>
      <c r="C3599" s="1" t="n">
        <v>45358</v>
      </c>
      <c r="D3599" t="inlineStr">
        <is>
          <t>HALLANDS LÄN</t>
        </is>
      </c>
      <c r="E3599" t="inlineStr">
        <is>
          <t>HALMSTAD</t>
        </is>
      </c>
      <c r="G3599" t="n">
        <v>0.8</v>
      </c>
      <c r="H3599" t="n">
        <v>0</v>
      </c>
      <c r="I3599" t="n">
        <v>0</v>
      </c>
      <c r="J3599" t="n">
        <v>0</v>
      </c>
      <c r="K3599" t="n">
        <v>0</v>
      </c>
      <c r="L3599" t="n">
        <v>0</v>
      </c>
      <c r="M3599" t="n">
        <v>0</v>
      </c>
      <c r="N3599" t="n">
        <v>0</v>
      </c>
      <c r="O3599" t="n">
        <v>0</v>
      </c>
      <c r="P3599" t="n">
        <v>0</v>
      </c>
      <c r="Q3599" t="n">
        <v>0</v>
      </c>
      <c r="R3599" s="2" t="inlineStr"/>
    </row>
    <row r="3600" ht="15" customHeight="1">
      <c r="A3600" t="inlineStr">
        <is>
          <t>A 55800-2023</t>
        </is>
      </c>
      <c r="B3600" s="1" t="n">
        <v>45239</v>
      </c>
      <c r="C3600" s="1" t="n">
        <v>45358</v>
      </c>
      <c r="D3600" t="inlineStr">
        <is>
          <t>HALLANDS LÄN</t>
        </is>
      </c>
      <c r="E3600" t="inlineStr">
        <is>
          <t>HALMSTAD</t>
        </is>
      </c>
      <c r="G3600" t="n">
        <v>2.2</v>
      </c>
      <c r="H3600" t="n">
        <v>0</v>
      </c>
      <c r="I3600" t="n">
        <v>0</v>
      </c>
      <c r="J3600" t="n">
        <v>0</v>
      </c>
      <c r="K3600" t="n">
        <v>0</v>
      </c>
      <c r="L3600" t="n">
        <v>0</v>
      </c>
      <c r="M3600" t="n">
        <v>0</v>
      </c>
      <c r="N3600" t="n">
        <v>0</v>
      </c>
      <c r="O3600" t="n">
        <v>0</v>
      </c>
      <c r="P3600" t="n">
        <v>0</v>
      </c>
      <c r="Q3600" t="n">
        <v>0</v>
      </c>
      <c r="R3600" s="2" t="inlineStr"/>
    </row>
    <row r="3601" ht="15" customHeight="1">
      <c r="A3601" t="inlineStr">
        <is>
          <t>A 55878-2023</t>
        </is>
      </c>
      <c r="B3601" s="1" t="n">
        <v>45239</v>
      </c>
      <c r="C3601" s="1" t="n">
        <v>45358</v>
      </c>
      <c r="D3601" t="inlineStr">
        <is>
          <t>HALLANDS LÄN</t>
        </is>
      </c>
      <c r="E3601" t="inlineStr">
        <is>
          <t>FALKENBERG</t>
        </is>
      </c>
      <c r="G3601" t="n">
        <v>2.1</v>
      </c>
      <c r="H3601" t="n">
        <v>0</v>
      </c>
      <c r="I3601" t="n">
        <v>0</v>
      </c>
      <c r="J3601" t="n">
        <v>0</v>
      </c>
      <c r="K3601" t="n">
        <v>0</v>
      </c>
      <c r="L3601" t="n">
        <v>0</v>
      </c>
      <c r="M3601" t="n">
        <v>0</v>
      </c>
      <c r="N3601" t="n">
        <v>0</v>
      </c>
      <c r="O3601" t="n">
        <v>0</v>
      </c>
      <c r="P3601" t="n">
        <v>0</v>
      </c>
      <c r="Q3601" t="n">
        <v>0</v>
      </c>
      <c r="R3601" s="2" t="inlineStr"/>
    </row>
    <row r="3602" ht="15" customHeight="1">
      <c r="A3602" t="inlineStr">
        <is>
          <t>A 55888-2023</t>
        </is>
      </c>
      <c r="B3602" s="1" t="n">
        <v>45239</v>
      </c>
      <c r="C3602" s="1" t="n">
        <v>45358</v>
      </c>
      <c r="D3602" t="inlineStr">
        <is>
          <t>HALLANDS LÄN</t>
        </is>
      </c>
      <c r="E3602" t="inlineStr">
        <is>
          <t>FALKENBERG</t>
        </is>
      </c>
      <c r="G3602" t="n">
        <v>3.3</v>
      </c>
      <c r="H3602" t="n">
        <v>0</v>
      </c>
      <c r="I3602" t="n">
        <v>0</v>
      </c>
      <c r="J3602" t="n">
        <v>0</v>
      </c>
      <c r="K3602" t="n">
        <v>0</v>
      </c>
      <c r="L3602" t="n">
        <v>0</v>
      </c>
      <c r="M3602" t="n">
        <v>0</v>
      </c>
      <c r="N3602" t="n">
        <v>0</v>
      </c>
      <c r="O3602" t="n">
        <v>0</v>
      </c>
      <c r="P3602" t="n">
        <v>0</v>
      </c>
      <c r="Q3602" t="n">
        <v>0</v>
      </c>
      <c r="R3602" s="2" t="inlineStr"/>
    </row>
    <row r="3603" ht="15" customHeight="1">
      <c r="A3603" t="inlineStr">
        <is>
          <t>A 56184-2023</t>
        </is>
      </c>
      <c r="B3603" s="1" t="n">
        <v>45240</v>
      </c>
      <c r="C3603" s="1" t="n">
        <v>45358</v>
      </c>
      <c r="D3603" t="inlineStr">
        <is>
          <t>HALLANDS LÄN</t>
        </is>
      </c>
      <c r="E3603" t="inlineStr">
        <is>
          <t>HALMSTAD</t>
        </is>
      </c>
      <c r="G3603" t="n">
        <v>0.9</v>
      </c>
      <c r="H3603" t="n">
        <v>0</v>
      </c>
      <c r="I3603" t="n">
        <v>0</v>
      </c>
      <c r="J3603" t="n">
        <v>0</v>
      </c>
      <c r="K3603" t="n">
        <v>0</v>
      </c>
      <c r="L3603" t="n">
        <v>0</v>
      </c>
      <c r="M3603" t="n">
        <v>0</v>
      </c>
      <c r="N3603" t="n">
        <v>0</v>
      </c>
      <c r="O3603" t="n">
        <v>0</v>
      </c>
      <c r="P3603" t="n">
        <v>0</v>
      </c>
      <c r="Q3603" t="n">
        <v>0</v>
      </c>
      <c r="R3603" s="2" t="inlineStr"/>
    </row>
    <row r="3604" ht="15" customHeight="1">
      <c r="A3604" t="inlineStr">
        <is>
          <t>A 56174-2023</t>
        </is>
      </c>
      <c r="B3604" s="1" t="n">
        <v>45240</v>
      </c>
      <c r="C3604" s="1" t="n">
        <v>45358</v>
      </c>
      <c r="D3604" t="inlineStr">
        <is>
          <t>HALLANDS LÄN</t>
        </is>
      </c>
      <c r="E3604" t="inlineStr">
        <is>
          <t>HALMSTAD</t>
        </is>
      </c>
      <c r="G3604" t="n">
        <v>1.3</v>
      </c>
      <c r="H3604" t="n">
        <v>0</v>
      </c>
      <c r="I3604" t="n">
        <v>0</v>
      </c>
      <c r="J3604" t="n">
        <v>0</v>
      </c>
      <c r="K3604" t="n">
        <v>0</v>
      </c>
      <c r="L3604" t="n">
        <v>0</v>
      </c>
      <c r="M3604" t="n">
        <v>0</v>
      </c>
      <c r="N3604" t="n">
        <v>0</v>
      </c>
      <c r="O3604" t="n">
        <v>0</v>
      </c>
      <c r="P3604" t="n">
        <v>0</v>
      </c>
      <c r="Q3604" t="n">
        <v>0</v>
      </c>
      <c r="R3604" s="2" t="inlineStr"/>
    </row>
    <row r="3605" ht="15" customHeight="1">
      <c r="A3605" t="inlineStr">
        <is>
          <t>A 56180-2023</t>
        </is>
      </c>
      <c r="B3605" s="1" t="n">
        <v>45240</v>
      </c>
      <c r="C3605" s="1" t="n">
        <v>45358</v>
      </c>
      <c r="D3605" t="inlineStr">
        <is>
          <t>HALLANDS LÄN</t>
        </is>
      </c>
      <c r="E3605" t="inlineStr">
        <is>
          <t>HALMSTAD</t>
        </is>
      </c>
      <c r="G3605" t="n">
        <v>2.3</v>
      </c>
      <c r="H3605" t="n">
        <v>0</v>
      </c>
      <c r="I3605" t="n">
        <v>0</v>
      </c>
      <c r="J3605" t="n">
        <v>0</v>
      </c>
      <c r="K3605" t="n">
        <v>0</v>
      </c>
      <c r="L3605" t="n">
        <v>0</v>
      </c>
      <c r="M3605" t="n">
        <v>0</v>
      </c>
      <c r="N3605" t="n">
        <v>0</v>
      </c>
      <c r="O3605" t="n">
        <v>0</v>
      </c>
      <c r="P3605" t="n">
        <v>0</v>
      </c>
      <c r="Q3605" t="n">
        <v>0</v>
      </c>
      <c r="R3605" s="2" t="inlineStr"/>
    </row>
    <row r="3606" ht="15" customHeight="1">
      <c r="A3606" t="inlineStr">
        <is>
          <t>A 56175-2023</t>
        </is>
      </c>
      <c r="B3606" s="1" t="n">
        <v>45240</v>
      </c>
      <c r="C3606" s="1" t="n">
        <v>45358</v>
      </c>
      <c r="D3606" t="inlineStr">
        <is>
          <t>HALLANDS LÄN</t>
        </is>
      </c>
      <c r="E3606" t="inlineStr">
        <is>
          <t>HALMSTAD</t>
        </is>
      </c>
      <c r="G3606" t="n">
        <v>1.9</v>
      </c>
      <c r="H3606" t="n">
        <v>0</v>
      </c>
      <c r="I3606" t="n">
        <v>0</v>
      </c>
      <c r="J3606" t="n">
        <v>0</v>
      </c>
      <c r="K3606" t="n">
        <v>0</v>
      </c>
      <c r="L3606" t="n">
        <v>0</v>
      </c>
      <c r="M3606" t="n">
        <v>0</v>
      </c>
      <c r="N3606" t="n">
        <v>0</v>
      </c>
      <c r="O3606" t="n">
        <v>0</v>
      </c>
      <c r="P3606" t="n">
        <v>0</v>
      </c>
      <c r="Q3606" t="n">
        <v>0</v>
      </c>
      <c r="R3606" s="2" t="inlineStr"/>
    </row>
    <row r="3607" ht="15" customHeight="1">
      <c r="A3607" t="inlineStr">
        <is>
          <t>A 56167-2023</t>
        </is>
      </c>
      <c r="B3607" s="1" t="n">
        <v>45240</v>
      </c>
      <c r="C3607" s="1" t="n">
        <v>45358</v>
      </c>
      <c r="D3607" t="inlineStr">
        <is>
          <t>HALLANDS LÄN</t>
        </is>
      </c>
      <c r="E3607" t="inlineStr">
        <is>
          <t>HALMSTAD</t>
        </is>
      </c>
      <c r="G3607" t="n">
        <v>1.6</v>
      </c>
      <c r="H3607" t="n">
        <v>0</v>
      </c>
      <c r="I3607" t="n">
        <v>0</v>
      </c>
      <c r="J3607" t="n">
        <v>0</v>
      </c>
      <c r="K3607" t="n">
        <v>0</v>
      </c>
      <c r="L3607" t="n">
        <v>0</v>
      </c>
      <c r="M3607" t="n">
        <v>0</v>
      </c>
      <c r="N3607" t="n">
        <v>0</v>
      </c>
      <c r="O3607" t="n">
        <v>0</v>
      </c>
      <c r="P3607" t="n">
        <v>0</v>
      </c>
      <c r="Q3607" t="n">
        <v>0</v>
      </c>
      <c r="R3607" s="2" t="inlineStr"/>
    </row>
    <row r="3608" ht="15" customHeight="1">
      <c r="A3608" t="inlineStr">
        <is>
          <t>A 56120-2023</t>
        </is>
      </c>
      <c r="B3608" s="1" t="n">
        <v>45240</v>
      </c>
      <c r="C3608" s="1" t="n">
        <v>45358</v>
      </c>
      <c r="D3608" t="inlineStr">
        <is>
          <t>HALLANDS LÄN</t>
        </is>
      </c>
      <c r="E3608" t="inlineStr">
        <is>
          <t>FALKENBERG</t>
        </is>
      </c>
      <c r="G3608" t="n">
        <v>5.6</v>
      </c>
      <c r="H3608" t="n">
        <v>0</v>
      </c>
      <c r="I3608" t="n">
        <v>0</v>
      </c>
      <c r="J3608" t="n">
        <v>0</v>
      </c>
      <c r="K3608" t="n">
        <v>0</v>
      </c>
      <c r="L3608" t="n">
        <v>0</v>
      </c>
      <c r="M3608" t="n">
        <v>0</v>
      </c>
      <c r="N3608" t="n">
        <v>0</v>
      </c>
      <c r="O3608" t="n">
        <v>0</v>
      </c>
      <c r="P3608" t="n">
        <v>0</v>
      </c>
      <c r="Q3608" t="n">
        <v>0</v>
      </c>
      <c r="R3608" s="2" t="inlineStr"/>
    </row>
    <row r="3609" ht="15" customHeight="1">
      <c r="A3609" t="inlineStr">
        <is>
          <t>A 56011-2023</t>
        </is>
      </c>
      <c r="B3609" s="1" t="n">
        <v>45240</v>
      </c>
      <c r="C3609" s="1" t="n">
        <v>45358</v>
      </c>
      <c r="D3609" t="inlineStr">
        <is>
          <t>HALLANDS LÄN</t>
        </is>
      </c>
      <c r="E3609" t="inlineStr">
        <is>
          <t>HALMSTAD</t>
        </is>
      </c>
      <c r="G3609" t="n">
        <v>1.7</v>
      </c>
      <c r="H3609" t="n">
        <v>0</v>
      </c>
      <c r="I3609" t="n">
        <v>0</v>
      </c>
      <c r="J3609" t="n">
        <v>0</v>
      </c>
      <c r="K3609" t="n">
        <v>0</v>
      </c>
      <c r="L3609" t="n">
        <v>0</v>
      </c>
      <c r="M3609" t="n">
        <v>0</v>
      </c>
      <c r="N3609" t="n">
        <v>0</v>
      </c>
      <c r="O3609" t="n">
        <v>0</v>
      </c>
      <c r="P3609" t="n">
        <v>0</v>
      </c>
      <c r="Q3609" t="n">
        <v>0</v>
      </c>
      <c r="R3609" s="2" t="inlineStr"/>
    </row>
    <row r="3610" ht="15" customHeight="1">
      <c r="A3610" t="inlineStr">
        <is>
          <t>A 56028-2023</t>
        </is>
      </c>
      <c r="B3610" s="1" t="n">
        <v>45240</v>
      </c>
      <c r="C3610" s="1" t="n">
        <v>45358</v>
      </c>
      <c r="D3610" t="inlineStr">
        <is>
          <t>HALLANDS LÄN</t>
        </is>
      </c>
      <c r="E3610" t="inlineStr">
        <is>
          <t>HALMSTAD</t>
        </is>
      </c>
      <c r="G3610" t="n">
        <v>1.7</v>
      </c>
      <c r="H3610" t="n">
        <v>0</v>
      </c>
      <c r="I3610" t="n">
        <v>0</v>
      </c>
      <c r="J3610" t="n">
        <v>0</v>
      </c>
      <c r="K3610" t="n">
        <v>0</v>
      </c>
      <c r="L3610" t="n">
        <v>0</v>
      </c>
      <c r="M3610" t="n">
        <v>0</v>
      </c>
      <c r="N3610" t="n">
        <v>0</v>
      </c>
      <c r="O3610" t="n">
        <v>0</v>
      </c>
      <c r="P3610" t="n">
        <v>0</v>
      </c>
      <c r="Q3610" t="n">
        <v>0</v>
      </c>
      <c r="R3610" s="2" t="inlineStr"/>
    </row>
    <row r="3611" ht="15" customHeight="1">
      <c r="A3611" t="inlineStr">
        <is>
          <t>A 56293-2023</t>
        </is>
      </c>
      <c r="B3611" s="1" t="n">
        <v>45242</v>
      </c>
      <c r="C3611" s="1" t="n">
        <v>45358</v>
      </c>
      <c r="D3611" t="inlineStr">
        <is>
          <t>HALLANDS LÄN</t>
        </is>
      </c>
      <c r="E3611" t="inlineStr">
        <is>
          <t>KUNGSBACKA</t>
        </is>
      </c>
      <c r="G3611" t="n">
        <v>1.1</v>
      </c>
      <c r="H3611" t="n">
        <v>0</v>
      </c>
      <c r="I3611" t="n">
        <v>0</v>
      </c>
      <c r="J3611" t="n">
        <v>0</v>
      </c>
      <c r="K3611" t="n">
        <v>0</v>
      </c>
      <c r="L3611" t="n">
        <v>0</v>
      </c>
      <c r="M3611" t="n">
        <v>0</v>
      </c>
      <c r="N3611" t="n">
        <v>0</v>
      </c>
      <c r="O3611" t="n">
        <v>0</v>
      </c>
      <c r="P3611" t="n">
        <v>0</v>
      </c>
      <c r="Q3611" t="n">
        <v>0</v>
      </c>
      <c r="R3611" s="2" t="inlineStr"/>
    </row>
    <row r="3612" ht="15" customHeight="1">
      <c r="A3612" t="inlineStr">
        <is>
          <t>A 56294-2023</t>
        </is>
      </c>
      <c r="B3612" s="1" t="n">
        <v>45242</v>
      </c>
      <c r="C3612" s="1" t="n">
        <v>45358</v>
      </c>
      <c r="D3612" t="inlineStr">
        <is>
          <t>HALLANDS LÄN</t>
        </is>
      </c>
      <c r="E3612" t="inlineStr">
        <is>
          <t>KUNGSBACKA</t>
        </is>
      </c>
      <c r="G3612" t="n">
        <v>0.7</v>
      </c>
      <c r="H3612" t="n">
        <v>0</v>
      </c>
      <c r="I3612" t="n">
        <v>0</v>
      </c>
      <c r="J3612" t="n">
        <v>0</v>
      </c>
      <c r="K3612" t="n">
        <v>0</v>
      </c>
      <c r="L3612" t="n">
        <v>0</v>
      </c>
      <c r="M3612" t="n">
        <v>0</v>
      </c>
      <c r="N3612" t="n">
        <v>0</v>
      </c>
      <c r="O3612" t="n">
        <v>0</v>
      </c>
      <c r="P3612" t="n">
        <v>0</v>
      </c>
      <c r="Q3612" t="n">
        <v>0</v>
      </c>
      <c r="R3612" s="2" t="inlineStr"/>
    </row>
    <row r="3613" ht="15" customHeight="1">
      <c r="A3613" t="inlineStr">
        <is>
          <t>A 56336-2023</t>
        </is>
      </c>
      <c r="B3613" s="1" t="n">
        <v>45243</v>
      </c>
      <c r="C3613" s="1" t="n">
        <v>45358</v>
      </c>
      <c r="D3613" t="inlineStr">
        <is>
          <t>HALLANDS LÄN</t>
        </is>
      </c>
      <c r="E3613" t="inlineStr">
        <is>
          <t>FALKENBERG</t>
        </is>
      </c>
      <c r="G3613" t="n">
        <v>1.3</v>
      </c>
      <c r="H3613" t="n">
        <v>0</v>
      </c>
      <c r="I3613" t="n">
        <v>0</v>
      </c>
      <c r="J3613" t="n">
        <v>0</v>
      </c>
      <c r="K3613" t="n">
        <v>0</v>
      </c>
      <c r="L3613" t="n">
        <v>0</v>
      </c>
      <c r="M3613" t="n">
        <v>0</v>
      </c>
      <c r="N3613" t="n">
        <v>0</v>
      </c>
      <c r="O3613" t="n">
        <v>0</v>
      </c>
      <c r="P3613" t="n">
        <v>0</v>
      </c>
      <c r="Q3613" t="n">
        <v>0</v>
      </c>
      <c r="R3613" s="2" t="inlineStr"/>
    </row>
    <row r="3614" ht="15" customHeight="1">
      <c r="A3614" t="inlineStr">
        <is>
          <t>A 56652-2023</t>
        </is>
      </c>
      <c r="B3614" s="1" t="n">
        <v>45243</v>
      </c>
      <c r="C3614" s="1" t="n">
        <v>45358</v>
      </c>
      <c r="D3614" t="inlineStr">
        <is>
          <t>HALLANDS LÄN</t>
        </is>
      </c>
      <c r="E3614" t="inlineStr">
        <is>
          <t>FALKENBERG</t>
        </is>
      </c>
      <c r="G3614" t="n">
        <v>1</v>
      </c>
      <c r="H3614" t="n">
        <v>0</v>
      </c>
      <c r="I3614" t="n">
        <v>0</v>
      </c>
      <c r="J3614" t="n">
        <v>0</v>
      </c>
      <c r="K3614" t="n">
        <v>0</v>
      </c>
      <c r="L3614" t="n">
        <v>0</v>
      </c>
      <c r="M3614" t="n">
        <v>0</v>
      </c>
      <c r="N3614" t="n">
        <v>0</v>
      </c>
      <c r="O3614" t="n">
        <v>0</v>
      </c>
      <c r="P3614" t="n">
        <v>0</v>
      </c>
      <c r="Q3614" t="n">
        <v>0</v>
      </c>
      <c r="R3614" s="2" t="inlineStr"/>
    </row>
    <row r="3615" ht="15" customHeight="1">
      <c r="A3615" t="inlineStr">
        <is>
          <t>A 56656-2023</t>
        </is>
      </c>
      <c r="B3615" s="1" t="n">
        <v>45243</v>
      </c>
      <c r="C3615" s="1" t="n">
        <v>45358</v>
      </c>
      <c r="D3615" t="inlineStr">
        <is>
          <t>HALLANDS LÄN</t>
        </is>
      </c>
      <c r="E3615" t="inlineStr">
        <is>
          <t>FALKENBERG</t>
        </is>
      </c>
      <c r="G3615" t="n">
        <v>5.1</v>
      </c>
      <c r="H3615" t="n">
        <v>0</v>
      </c>
      <c r="I3615" t="n">
        <v>0</v>
      </c>
      <c r="J3615" t="n">
        <v>0</v>
      </c>
      <c r="K3615" t="n">
        <v>0</v>
      </c>
      <c r="L3615" t="n">
        <v>0</v>
      </c>
      <c r="M3615" t="n">
        <v>0</v>
      </c>
      <c r="N3615" t="n">
        <v>0</v>
      </c>
      <c r="O3615" t="n">
        <v>0</v>
      </c>
      <c r="P3615" t="n">
        <v>0</v>
      </c>
      <c r="Q3615" t="n">
        <v>0</v>
      </c>
      <c r="R3615" s="2" t="inlineStr"/>
    </row>
    <row r="3616" ht="15" customHeight="1">
      <c r="A3616" t="inlineStr">
        <is>
          <t>A 56676-2023</t>
        </is>
      </c>
      <c r="B3616" s="1" t="n">
        <v>45243</v>
      </c>
      <c r="C3616" s="1" t="n">
        <v>45358</v>
      </c>
      <c r="D3616" t="inlineStr">
        <is>
          <t>HALLANDS LÄN</t>
        </is>
      </c>
      <c r="E3616" t="inlineStr">
        <is>
          <t>HALMSTAD</t>
        </is>
      </c>
      <c r="G3616" t="n">
        <v>1.1</v>
      </c>
      <c r="H3616" t="n">
        <v>0</v>
      </c>
      <c r="I3616" t="n">
        <v>0</v>
      </c>
      <c r="J3616" t="n">
        <v>0</v>
      </c>
      <c r="K3616" t="n">
        <v>0</v>
      </c>
      <c r="L3616" t="n">
        <v>0</v>
      </c>
      <c r="M3616" t="n">
        <v>0</v>
      </c>
      <c r="N3616" t="n">
        <v>0</v>
      </c>
      <c r="O3616" t="n">
        <v>0</v>
      </c>
      <c r="P3616" t="n">
        <v>0</v>
      </c>
      <c r="Q3616" t="n">
        <v>0</v>
      </c>
      <c r="R3616" s="2" t="inlineStr"/>
    </row>
    <row r="3617" ht="15" customHeight="1">
      <c r="A3617" t="inlineStr">
        <is>
          <t>A 56337-2023</t>
        </is>
      </c>
      <c r="B3617" s="1" t="n">
        <v>45243</v>
      </c>
      <c r="C3617" s="1" t="n">
        <v>45358</v>
      </c>
      <c r="D3617" t="inlineStr">
        <is>
          <t>HALLANDS LÄN</t>
        </is>
      </c>
      <c r="E3617" t="inlineStr">
        <is>
          <t>FALKENBERG</t>
        </is>
      </c>
      <c r="G3617" t="n">
        <v>1.8</v>
      </c>
      <c r="H3617" t="n">
        <v>0</v>
      </c>
      <c r="I3617" t="n">
        <v>0</v>
      </c>
      <c r="J3617" t="n">
        <v>0</v>
      </c>
      <c r="K3617" t="n">
        <v>0</v>
      </c>
      <c r="L3617" t="n">
        <v>0</v>
      </c>
      <c r="M3617" t="n">
        <v>0</v>
      </c>
      <c r="N3617" t="n">
        <v>0</v>
      </c>
      <c r="O3617" t="n">
        <v>0</v>
      </c>
      <c r="P3617" t="n">
        <v>0</v>
      </c>
      <c r="Q3617" t="n">
        <v>0</v>
      </c>
      <c r="R3617" s="2" t="inlineStr"/>
    </row>
    <row r="3618" ht="15" customHeight="1">
      <c r="A3618" t="inlineStr">
        <is>
          <t>A 56581-2023</t>
        </is>
      </c>
      <c r="B3618" s="1" t="n">
        <v>45243</v>
      </c>
      <c r="C3618" s="1" t="n">
        <v>45358</v>
      </c>
      <c r="D3618" t="inlineStr">
        <is>
          <t>HALLANDS LÄN</t>
        </is>
      </c>
      <c r="E3618" t="inlineStr">
        <is>
          <t>FALKENBERG</t>
        </is>
      </c>
      <c r="F3618" t="inlineStr">
        <is>
          <t>Bergvik skog väst AB</t>
        </is>
      </c>
      <c r="G3618" t="n">
        <v>3</v>
      </c>
      <c r="H3618" t="n">
        <v>0</v>
      </c>
      <c r="I3618" t="n">
        <v>0</v>
      </c>
      <c r="J3618" t="n">
        <v>0</v>
      </c>
      <c r="K3618" t="n">
        <v>0</v>
      </c>
      <c r="L3618" t="n">
        <v>0</v>
      </c>
      <c r="M3618" t="n">
        <v>0</v>
      </c>
      <c r="N3618" t="n">
        <v>0</v>
      </c>
      <c r="O3618" t="n">
        <v>0</v>
      </c>
      <c r="P3618" t="n">
        <v>0</v>
      </c>
      <c r="Q3618" t="n">
        <v>0</v>
      </c>
      <c r="R3618" s="2" t="inlineStr"/>
    </row>
    <row r="3619" ht="15" customHeight="1">
      <c r="A3619" t="inlineStr">
        <is>
          <t>A 56605-2023</t>
        </is>
      </c>
      <c r="B3619" s="1" t="n">
        <v>45243</v>
      </c>
      <c r="C3619" s="1" t="n">
        <v>45358</v>
      </c>
      <c r="D3619" t="inlineStr">
        <is>
          <t>HALLANDS LÄN</t>
        </is>
      </c>
      <c r="E3619" t="inlineStr">
        <is>
          <t>KUNGSBACKA</t>
        </is>
      </c>
      <c r="G3619" t="n">
        <v>2.1</v>
      </c>
      <c r="H3619" t="n">
        <v>0</v>
      </c>
      <c r="I3619" t="n">
        <v>0</v>
      </c>
      <c r="J3619" t="n">
        <v>0</v>
      </c>
      <c r="K3619" t="n">
        <v>0</v>
      </c>
      <c r="L3619" t="n">
        <v>0</v>
      </c>
      <c r="M3619" t="n">
        <v>0</v>
      </c>
      <c r="N3619" t="n">
        <v>0</v>
      </c>
      <c r="O3619" t="n">
        <v>0</v>
      </c>
      <c r="P3619" t="n">
        <v>0</v>
      </c>
      <c r="Q3619" t="n">
        <v>0</v>
      </c>
      <c r="R3619" s="2" t="inlineStr"/>
    </row>
    <row r="3620" ht="15" customHeight="1">
      <c r="A3620" t="inlineStr">
        <is>
          <t>A 56675-2023</t>
        </is>
      </c>
      <c r="B3620" s="1" t="n">
        <v>45243</v>
      </c>
      <c r="C3620" s="1" t="n">
        <v>45358</v>
      </c>
      <c r="D3620" t="inlineStr">
        <is>
          <t>HALLANDS LÄN</t>
        </is>
      </c>
      <c r="E3620" t="inlineStr">
        <is>
          <t>HYLTE</t>
        </is>
      </c>
      <c r="G3620" t="n">
        <v>1.3</v>
      </c>
      <c r="H3620" t="n">
        <v>0</v>
      </c>
      <c r="I3620" t="n">
        <v>0</v>
      </c>
      <c r="J3620" t="n">
        <v>0</v>
      </c>
      <c r="K3620" t="n">
        <v>0</v>
      </c>
      <c r="L3620" t="n">
        <v>0</v>
      </c>
      <c r="M3620" t="n">
        <v>0</v>
      </c>
      <c r="N3620" t="n">
        <v>0</v>
      </c>
      <c r="O3620" t="n">
        <v>0</v>
      </c>
      <c r="P3620" t="n">
        <v>0</v>
      </c>
      <c r="Q3620" t="n">
        <v>0</v>
      </c>
      <c r="R3620" s="2" t="inlineStr"/>
    </row>
    <row r="3621" ht="15" customHeight="1">
      <c r="A3621" t="inlineStr">
        <is>
          <t>A 56953-2023</t>
        </is>
      </c>
      <c r="B3621" s="1" t="n">
        <v>45244</v>
      </c>
      <c r="C3621" s="1" t="n">
        <v>45358</v>
      </c>
      <c r="D3621" t="inlineStr">
        <is>
          <t>HALLANDS LÄN</t>
        </is>
      </c>
      <c r="E3621" t="inlineStr">
        <is>
          <t>LAHOLM</t>
        </is>
      </c>
      <c r="G3621" t="n">
        <v>1.6</v>
      </c>
      <c r="H3621" t="n">
        <v>0</v>
      </c>
      <c r="I3621" t="n">
        <v>0</v>
      </c>
      <c r="J3621" t="n">
        <v>0</v>
      </c>
      <c r="K3621" t="n">
        <v>0</v>
      </c>
      <c r="L3621" t="n">
        <v>0</v>
      </c>
      <c r="M3621" t="n">
        <v>0</v>
      </c>
      <c r="N3621" t="n">
        <v>0</v>
      </c>
      <c r="O3621" t="n">
        <v>0</v>
      </c>
      <c r="P3621" t="n">
        <v>0</v>
      </c>
      <c r="Q3621" t="n">
        <v>0</v>
      </c>
      <c r="R3621" s="2" t="inlineStr"/>
    </row>
    <row r="3622" ht="15" customHeight="1">
      <c r="A3622" t="inlineStr">
        <is>
          <t>A 57020-2023</t>
        </is>
      </c>
      <c r="B3622" s="1" t="n">
        <v>45244</v>
      </c>
      <c r="C3622" s="1" t="n">
        <v>45358</v>
      </c>
      <c r="D3622" t="inlineStr">
        <is>
          <t>HALLANDS LÄN</t>
        </is>
      </c>
      <c r="E3622" t="inlineStr">
        <is>
          <t>FALKENBERG</t>
        </is>
      </c>
      <c r="G3622" t="n">
        <v>3.1</v>
      </c>
      <c r="H3622" t="n">
        <v>0</v>
      </c>
      <c r="I3622" t="n">
        <v>0</v>
      </c>
      <c r="J3622" t="n">
        <v>0</v>
      </c>
      <c r="K3622" t="n">
        <v>0</v>
      </c>
      <c r="L3622" t="n">
        <v>0</v>
      </c>
      <c r="M3622" t="n">
        <v>0</v>
      </c>
      <c r="N3622" t="n">
        <v>0</v>
      </c>
      <c r="O3622" t="n">
        <v>0</v>
      </c>
      <c r="P3622" t="n">
        <v>0</v>
      </c>
      <c r="Q3622" t="n">
        <v>0</v>
      </c>
      <c r="R3622" s="2" t="inlineStr"/>
    </row>
    <row r="3623" ht="15" customHeight="1">
      <c r="A3623" t="inlineStr">
        <is>
          <t>A 56955-2023</t>
        </is>
      </c>
      <c r="B3623" s="1" t="n">
        <v>45244</v>
      </c>
      <c r="C3623" s="1" t="n">
        <v>45358</v>
      </c>
      <c r="D3623" t="inlineStr">
        <is>
          <t>HALLANDS LÄN</t>
        </is>
      </c>
      <c r="E3623" t="inlineStr">
        <is>
          <t>HYLTE</t>
        </is>
      </c>
      <c r="G3623" t="n">
        <v>0.8</v>
      </c>
      <c r="H3623" t="n">
        <v>0</v>
      </c>
      <c r="I3623" t="n">
        <v>0</v>
      </c>
      <c r="J3623" t="n">
        <v>0</v>
      </c>
      <c r="K3623" t="n">
        <v>0</v>
      </c>
      <c r="L3623" t="n">
        <v>0</v>
      </c>
      <c r="M3623" t="n">
        <v>0</v>
      </c>
      <c r="N3623" t="n">
        <v>0</v>
      </c>
      <c r="O3623" t="n">
        <v>0</v>
      </c>
      <c r="P3623" t="n">
        <v>0</v>
      </c>
      <c r="Q3623" t="n">
        <v>0</v>
      </c>
      <c r="R3623" s="2" t="inlineStr"/>
    </row>
    <row r="3624" ht="15" customHeight="1">
      <c r="A3624" t="inlineStr">
        <is>
          <t>A 57261-2023</t>
        </is>
      </c>
      <c r="B3624" s="1" t="n">
        <v>45245</v>
      </c>
      <c r="C3624" s="1" t="n">
        <v>45358</v>
      </c>
      <c r="D3624" t="inlineStr">
        <is>
          <t>HALLANDS LÄN</t>
        </is>
      </c>
      <c r="E3624" t="inlineStr">
        <is>
          <t>HYLTE</t>
        </is>
      </c>
      <c r="G3624" t="n">
        <v>1.4</v>
      </c>
      <c r="H3624" t="n">
        <v>0</v>
      </c>
      <c r="I3624" t="n">
        <v>0</v>
      </c>
      <c r="J3624" t="n">
        <v>0</v>
      </c>
      <c r="K3624" t="n">
        <v>0</v>
      </c>
      <c r="L3624" t="n">
        <v>0</v>
      </c>
      <c r="M3624" t="n">
        <v>0</v>
      </c>
      <c r="N3624" t="n">
        <v>0</v>
      </c>
      <c r="O3624" t="n">
        <v>0</v>
      </c>
      <c r="P3624" t="n">
        <v>0</v>
      </c>
      <c r="Q3624" t="n">
        <v>0</v>
      </c>
      <c r="R3624" s="2" t="inlineStr"/>
    </row>
    <row r="3625" ht="15" customHeight="1">
      <c r="A3625" t="inlineStr">
        <is>
          <t>A 57150-2023</t>
        </is>
      </c>
      <c r="B3625" s="1" t="n">
        <v>45245</v>
      </c>
      <c r="C3625" s="1" t="n">
        <v>45358</v>
      </c>
      <c r="D3625" t="inlineStr">
        <is>
          <t>HALLANDS LÄN</t>
        </is>
      </c>
      <c r="E3625" t="inlineStr">
        <is>
          <t>HYLTE</t>
        </is>
      </c>
      <c r="G3625" t="n">
        <v>2.7</v>
      </c>
      <c r="H3625" t="n">
        <v>0</v>
      </c>
      <c r="I3625" t="n">
        <v>0</v>
      </c>
      <c r="J3625" t="n">
        <v>0</v>
      </c>
      <c r="K3625" t="n">
        <v>0</v>
      </c>
      <c r="L3625" t="n">
        <v>0</v>
      </c>
      <c r="M3625" t="n">
        <v>0</v>
      </c>
      <c r="N3625" t="n">
        <v>0</v>
      </c>
      <c r="O3625" t="n">
        <v>0</v>
      </c>
      <c r="P3625" t="n">
        <v>0</v>
      </c>
      <c r="Q3625" t="n">
        <v>0</v>
      </c>
      <c r="R3625" s="2" t="inlineStr"/>
    </row>
    <row r="3626" ht="15" customHeight="1">
      <c r="A3626" t="inlineStr">
        <is>
          <t>A 57291-2023</t>
        </is>
      </c>
      <c r="B3626" s="1" t="n">
        <v>45245</v>
      </c>
      <c r="C3626" s="1" t="n">
        <v>45358</v>
      </c>
      <c r="D3626" t="inlineStr">
        <is>
          <t>HALLANDS LÄN</t>
        </is>
      </c>
      <c r="E3626" t="inlineStr">
        <is>
          <t>HYLTE</t>
        </is>
      </c>
      <c r="G3626" t="n">
        <v>1.7</v>
      </c>
      <c r="H3626" t="n">
        <v>0</v>
      </c>
      <c r="I3626" t="n">
        <v>0</v>
      </c>
      <c r="J3626" t="n">
        <v>0</v>
      </c>
      <c r="K3626" t="n">
        <v>0</v>
      </c>
      <c r="L3626" t="n">
        <v>0</v>
      </c>
      <c r="M3626" t="n">
        <v>0</v>
      </c>
      <c r="N3626" t="n">
        <v>0</v>
      </c>
      <c r="O3626" t="n">
        <v>0</v>
      </c>
      <c r="P3626" t="n">
        <v>0</v>
      </c>
      <c r="Q3626" t="n">
        <v>0</v>
      </c>
      <c r="R3626" s="2" t="inlineStr"/>
    </row>
    <row r="3627" ht="15" customHeight="1">
      <c r="A3627" t="inlineStr">
        <is>
          <t>A 57134-2023</t>
        </is>
      </c>
      <c r="B3627" s="1" t="n">
        <v>45245</v>
      </c>
      <c r="C3627" s="1" t="n">
        <v>45358</v>
      </c>
      <c r="D3627" t="inlineStr">
        <is>
          <t>HALLANDS LÄN</t>
        </is>
      </c>
      <c r="E3627" t="inlineStr">
        <is>
          <t>HYLTE</t>
        </is>
      </c>
      <c r="G3627" t="n">
        <v>2.2</v>
      </c>
      <c r="H3627" t="n">
        <v>0</v>
      </c>
      <c r="I3627" t="n">
        <v>0</v>
      </c>
      <c r="J3627" t="n">
        <v>0</v>
      </c>
      <c r="K3627" t="n">
        <v>0</v>
      </c>
      <c r="L3627" t="n">
        <v>0</v>
      </c>
      <c r="M3627" t="n">
        <v>0</v>
      </c>
      <c r="N3627" t="n">
        <v>0</v>
      </c>
      <c r="O3627" t="n">
        <v>0</v>
      </c>
      <c r="P3627" t="n">
        <v>0</v>
      </c>
      <c r="Q3627" t="n">
        <v>0</v>
      </c>
      <c r="R3627" s="2" t="inlineStr"/>
    </row>
    <row r="3628" ht="15" customHeight="1">
      <c r="A3628" t="inlineStr">
        <is>
          <t>A 57283-2023</t>
        </is>
      </c>
      <c r="B3628" s="1" t="n">
        <v>45245</v>
      </c>
      <c r="C3628" s="1" t="n">
        <v>45358</v>
      </c>
      <c r="D3628" t="inlineStr">
        <is>
          <t>HALLANDS LÄN</t>
        </is>
      </c>
      <c r="E3628" t="inlineStr">
        <is>
          <t>FALKENBERG</t>
        </is>
      </c>
      <c r="G3628" t="n">
        <v>2.3</v>
      </c>
      <c r="H3628" t="n">
        <v>0</v>
      </c>
      <c r="I3628" t="n">
        <v>0</v>
      </c>
      <c r="J3628" t="n">
        <v>0</v>
      </c>
      <c r="K3628" t="n">
        <v>0</v>
      </c>
      <c r="L3628" t="n">
        <v>0</v>
      </c>
      <c r="M3628" t="n">
        <v>0</v>
      </c>
      <c r="N3628" t="n">
        <v>0</v>
      </c>
      <c r="O3628" t="n">
        <v>0</v>
      </c>
      <c r="P3628" t="n">
        <v>0</v>
      </c>
      <c r="Q3628" t="n">
        <v>0</v>
      </c>
      <c r="R3628" s="2" t="inlineStr"/>
    </row>
    <row r="3629" ht="15" customHeight="1">
      <c r="A3629" t="inlineStr">
        <is>
          <t>A 57289-2023</t>
        </is>
      </c>
      <c r="B3629" s="1" t="n">
        <v>45245</v>
      </c>
      <c r="C3629" s="1" t="n">
        <v>45358</v>
      </c>
      <c r="D3629" t="inlineStr">
        <is>
          <t>HALLANDS LÄN</t>
        </is>
      </c>
      <c r="E3629" t="inlineStr">
        <is>
          <t>HYLTE</t>
        </is>
      </c>
      <c r="G3629" t="n">
        <v>1</v>
      </c>
      <c r="H3629" t="n">
        <v>0</v>
      </c>
      <c r="I3629" t="n">
        <v>0</v>
      </c>
      <c r="J3629" t="n">
        <v>0</v>
      </c>
      <c r="K3629" t="n">
        <v>0</v>
      </c>
      <c r="L3629" t="n">
        <v>0</v>
      </c>
      <c r="M3629" t="n">
        <v>0</v>
      </c>
      <c r="N3629" t="n">
        <v>0</v>
      </c>
      <c r="O3629" t="n">
        <v>0</v>
      </c>
      <c r="P3629" t="n">
        <v>0</v>
      </c>
      <c r="Q3629" t="n">
        <v>0</v>
      </c>
      <c r="R3629" s="2" t="inlineStr"/>
    </row>
    <row r="3630" ht="15" customHeight="1">
      <c r="A3630" t="inlineStr">
        <is>
          <t>A 57378-2023</t>
        </is>
      </c>
      <c r="B3630" s="1" t="n">
        <v>45245</v>
      </c>
      <c r="C3630" s="1" t="n">
        <v>45358</v>
      </c>
      <c r="D3630" t="inlineStr">
        <is>
          <t>HALLANDS LÄN</t>
        </is>
      </c>
      <c r="E3630" t="inlineStr">
        <is>
          <t>HYLTE</t>
        </is>
      </c>
      <c r="G3630" t="n">
        <v>1</v>
      </c>
      <c r="H3630" t="n">
        <v>0</v>
      </c>
      <c r="I3630" t="n">
        <v>0</v>
      </c>
      <c r="J3630" t="n">
        <v>0</v>
      </c>
      <c r="K3630" t="n">
        <v>0</v>
      </c>
      <c r="L3630" t="n">
        <v>0</v>
      </c>
      <c r="M3630" t="n">
        <v>0</v>
      </c>
      <c r="N3630" t="n">
        <v>0</v>
      </c>
      <c r="O3630" t="n">
        <v>0</v>
      </c>
      <c r="P3630" t="n">
        <v>0</v>
      </c>
      <c r="Q3630" t="n">
        <v>0</v>
      </c>
      <c r="R3630" s="2" t="inlineStr"/>
    </row>
    <row r="3631" ht="15" customHeight="1">
      <c r="A3631" t="inlineStr">
        <is>
          <t>A 58241-2023</t>
        </is>
      </c>
      <c r="B3631" s="1" t="n">
        <v>45245</v>
      </c>
      <c r="C3631" s="1" t="n">
        <v>45358</v>
      </c>
      <c r="D3631" t="inlineStr">
        <is>
          <t>HALLANDS LÄN</t>
        </is>
      </c>
      <c r="E3631" t="inlineStr">
        <is>
          <t>HYLTE</t>
        </is>
      </c>
      <c r="G3631" t="n">
        <v>0.8</v>
      </c>
      <c r="H3631" t="n">
        <v>0</v>
      </c>
      <c r="I3631" t="n">
        <v>0</v>
      </c>
      <c r="J3631" t="n">
        <v>0</v>
      </c>
      <c r="K3631" t="n">
        <v>0</v>
      </c>
      <c r="L3631" t="n">
        <v>0</v>
      </c>
      <c r="M3631" t="n">
        <v>0</v>
      </c>
      <c r="N3631" t="n">
        <v>0</v>
      </c>
      <c r="O3631" t="n">
        <v>0</v>
      </c>
      <c r="P3631" t="n">
        <v>0</v>
      </c>
      <c r="Q3631" t="n">
        <v>0</v>
      </c>
      <c r="R3631" s="2" t="inlineStr"/>
    </row>
    <row r="3632" ht="15" customHeight="1">
      <c r="A3632" t="inlineStr">
        <is>
          <t>A 57355-2023</t>
        </is>
      </c>
      <c r="B3632" s="1" t="n">
        <v>45245</v>
      </c>
      <c r="C3632" s="1" t="n">
        <v>45358</v>
      </c>
      <c r="D3632" t="inlineStr">
        <is>
          <t>HALLANDS LÄN</t>
        </is>
      </c>
      <c r="E3632" t="inlineStr">
        <is>
          <t>LAHOLM</t>
        </is>
      </c>
      <c r="G3632" t="n">
        <v>2.7</v>
      </c>
      <c r="H3632" t="n">
        <v>0</v>
      </c>
      <c r="I3632" t="n">
        <v>0</v>
      </c>
      <c r="J3632" t="n">
        <v>0</v>
      </c>
      <c r="K3632" t="n">
        <v>0</v>
      </c>
      <c r="L3632" t="n">
        <v>0</v>
      </c>
      <c r="M3632" t="n">
        <v>0</v>
      </c>
      <c r="N3632" t="n">
        <v>0</v>
      </c>
      <c r="O3632" t="n">
        <v>0</v>
      </c>
      <c r="P3632" t="n">
        <v>0</v>
      </c>
      <c r="Q3632" t="n">
        <v>0</v>
      </c>
      <c r="R3632" s="2" t="inlineStr"/>
    </row>
    <row r="3633" ht="15" customHeight="1">
      <c r="A3633" t="inlineStr">
        <is>
          <t>A 57543-2023</t>
        </is>
      </c>
      <c r="B3633" s="1" t="n">
        <v>45246</v>
      </c>
      <c r="C3633" s="1" t="n">
        <v>45358</v>
      </c>
      <c r="D3633" t="inlineStr">
        <is>
          <t>HALLANDS LÄN</t>
        </is>
      </c>
      <c r="E3633" t="inlineStr">
        <is>
          <t>LAHOLM</t>
        </is>
      </c>
      <c r="F3633" t="inlineStr">
        <is>
          <t>Kommuner</t>
        </is>
      </c>
      <c r="G3633" t="n">
        <v>1.1</v>
      </c>
      <c r="H3633" t="n">
        <v>0</v>
      </c>
      <c r="I3633" t="n">
        <v>0</v>
      </c>
      <c r="J3633" t="n">
        <v>0</v>
      </c>
      <c r="K3633" t="n">
        <v>0</v>
      </c>
      <c r="L3633" t="n">
        <v>0</v>
      </c>
      <c r="M3633" t="n">
        <v>0</v>
      </c>
      <c r="N3633" t="n">
        <v>0</v>
      </c>
      <c r="O3633" t="n">
        <v>0</v>
      </c>
      <c r="P3633" t="n">
        <v>0</v>
      </c>
      <c r="Q3633" t="n">
        <v>0</v>
      </c>
      <c r="R3633" s="2" t="inlineStr"/>
    </row>
    <row r="3634" ht="15" customHeight="1">
      <c r="A3634" t="inlineStr">
        <is>
          <t>A 57459-2023</t>
        </is>
      </c>
      <c r="B3634" s="1" t="n">
        <v>45246</v>
      </c>
      <c r="C3634" s="1" t="n">
        <v>45358</v>
      </c>
      <c r="D3634" t="inlineStr">
        <is>
          <t>HALLANDS LÄN</t>
        </is>
      </c>
      <c r="E3634" t="inlineStr">
        <is>
          <t>HYLTE</t>
        </is>
      </c>
      <c r="G3634" t="n">
        <v>3.8</v>
      </c>
      <c r="H3634" t="n">
        <v>0</v>
      </c>
      <c r="I3634" t="n">
        <v>0</v>
      </c>
      <c r="J3634" t="n">
        <v>0</v>
      </c>
      <c r="K3634" t="n">
        <v>0</v>
      </c>
      <c r="L3634" t="n">
        <v>0</v>
      </c>
      <c r="M3634" t="n">
        <v>0</v>
      </c>
      <c r="N3634" t="n">
        <v>0</v>
      </c>
      <c r="O3634" t="n">
        <v>0</v>
      </c>
      <c r="P3634" t="n">
        <v>0</v>
      </c>
      <c r="Q3634" t="n">
        <v>0</v>
      </c>
      <c r="R3634" s="2" t="inlineStr"/>
    </row>
    <row r="3635" ht="15" customHeight="1">
      <c r="A3635" t="inlineStr">
        <is>
          <t>A 57493-2023</t>
        </is>
      </c>
      <c r="B3635" s="1" t="n">
        <v>45246</v>
      </c>
      <c r="C3635" s="1" t="n">
        <v>45358</v>
      </c>
      <c r="D3635" t="inlineStr">
        <is>
          <t>HALLANDS LÄN</t>
        </is>
      </c>
      <c r="E3635" t="inlineStr">
        <is>
          <t>FALKENBERG</t>
        </is>
      </c>
      <c r="G3635" t="n">
        <v>1.6</v>
      </c>
      <c r="H3635" t="n">
        <v>0</v>
      </c>
      <c r="I3635" t="n">
        <v>0</v>
      </c>
      <c r="J3635" t="n">
        <v>0</v>
      </c>
      <c r="K3635" t="n">
        <v>0</v>
      </c>
      <c r="L3635" t="n">
        <v>0</v>
      </c>
      <c r="M3635" t="n">
        <v>0</v>
      </c>
      <c r="N3635" t="n">
        <v>0</v>
      </c>
      <c r="O3635" t="n">
        <v>0</v>
      </c>
      <c r="P3635" t="n">
        <v>0</v>
      </c>
      <c r="Q3635" t="n">
        <v>0</v>
      </c>
      <c r="R3635" s="2" t="inlineStr"/>
    </row>
    <row r="3636" ht="15" customHeight="1">
      <c r="A3636" t="inlineStr">
        <is>
          <t>A 57519-2023</t>
        </is>
      </c>
      <c r="B3636" s="1" t="n">
        <v>45246</v>
      </c>
      <c r="C3636" s="1" t="n">
        <v>45358</v>
      </c>
      <c r="D3636" t="inlineStr">
        <is>
          <t>HALLANDS LÄN</t>
        </is>
      </c>
      <c r="E3636" t="inlineStr">
        <is>
          <t>LAHOLM</t>
        </is>
      </c>
      <c r="G3636" t="n">
        <v>1.6</v>
      </c>
      <c r="H3636" t="n">
        <v>0</v>
      </c>
      <c r="I3636" t="n">
        <v>0</v>
      </c>
      <c r="J3636" t="n">
        <v>0</v>
      </c>
      <c r="K3636" t="n">
        <v>0</v>
      </c>
      <c r="L3636" t="n">
        <v>0</v>
      </c>
      <c r="M3636" t="n">
        <v>0</v>
      </c>
      <c r="N3636" t="n">
        <v>0</v>
      </c>
      <c r="O3636" t="n">
        <v>0</v>
      </c>
      <c r="P3636" t="n">
        <v>0</v>
      </c>
      <c r="Q3636" t="n">
        <v>0</v>
      </c>
      <c r="R3636" s="2" t="inlineStr"/>
    </row>
    <row r="3637" ht="15" customHeight="1">
      <c r="A3637" t="inlineStr">
        <is>
          <t>A 57536-2023</t>
        </is>
      </c>
      <c r="B3637" s="1" t="n">
        <v>45246</v>
      </c>
      <c r="C3637" s="1" t="n">
        <v>45358</v>
      </c>
      <c r="D3637" t="inlineStr">
        <is>
          <t>HALLANDS LÄN</t>
        </is>
      </c>
      <c r="E3637" t="inlineStr">
        <is>
          <t>LAHOLM</t>
        </is>
      </c>
      <c r="F3637" t="inlineStr">
        <is>
          <t>Kommuner</t>
        </is>
      </c>
      <c r="G3637" t="n">
        <v>1.4</v>
      </c>
      <c r="H3637" t="n">
        <v>0</v>
      </c>
      <c r="I3637" t="n">
        <v>0</v>
      </c>
      <c r="J3637" t="n">
        <v>0</v>
      </c>
      <c r="K3637" t="n">
        <v>0</v>
      </c>
      <c r="L3637" t="n">
        <v>0</v>
      </c>
      <c r="M3637" t="n">
        <v>0</v>
      </c>
      <c r="N3637" t="n">
        <v>0</v>
      </c>
      <c r="O3637" t="n">
        <v>0</v>
      </c>
      <c r="P3637" t="n">
        <v>0</v>
      </c>
      <c r="Q3637" t="n">
        <v>0</v>
      </c>
      <c r="R3637" s="2" t="inlineStr"/>
    </row>
    <row r="3638" ht="15" customHeight="1">
      <c r="A3638" t="inlineStr">
        <is>
          <t>A 57659-2023</t>
        </is>
      </c>
      <c r="B3638" s="1" t="n">
        <v>45246</v>
      </c>
      <c r="C3638" s="1" t="n">
        <v>45358</v>
      </c>
      <c r="D3638" t="inlineStr">
        <is>
          <t>HALLANDS LÄN</t>
        </is>
      </c>
      <c r="E3638" t="inlineStr">
        <is>
          <t>VARBERG</t>
        </is>
      </c>
      <c r="G3638" t="n">
        <v>3.4</v>
      </c>
      <c r="H3638" t="n">
        <v>0</v>
      </c>
      <c r="I3638" t="n">
        <v>0</v>
      </c>
      <c r="J3638" t="n">
        <v>0</v>
      </c>
      <c r="K3638" t="n">
        <v>0</v>
      </c>
      <c r="L3638" t="n">
        <v>0</v>
      </c>
      <c r="M3638" t="n">
        <v>0</v>
      </c>
      <c r="N3638" t="n">
        <v>0</v>
      </c>
      <c r="O3638" t="n">
        <v>0</v>
      </c>
      <c r="P3638" t="n">
        <v>0</v>
      </c>
      <c r="Q3638" t="n">
        <v>0</v>
      </c>
      <c r="R3638" s="2" t="inlineStr"/>
    </row>
    <row r="3639" ht="15" customHeight="1">
      <c r="A3639" t="inlineStr">
        <is>
          <t>A 57578-2023</t>
        </is>
      </c>
      <c r="B3639" s="1" t="n">
        <v>45246</v>
      </c>
      <c r="C3639" s="1" t="n">
        <v>45358</v>
      </c>
      <c r="D3639" t="inlineStr">
        <is>
          <t>HALLANDS LÄN</t>
        </is>
      </c>
      <c r="E3639" t="inlineStr">
        <is>
          <t>LAHOLM</t>
        </is>
      </c>
      <c r="F3639" t="inlineStr">
        <is>
          <t>Kommuner</t>
        </is>
      </c>
      <c r="G3639" t="n">
        <v>1.6</v>
      </c>
      <c r="H3639" t="n">
        <v>0</v>
      </c>
      <c r="I3639" t="n">
        <v>0</v>
      </c>
      <c r="J3639" t="n">
        <v>0</v>
      </c>
      <c r="K3639" t="n">
        <v>0</v>
      </c>
      <c r="L3639" t="n">
        <v>0</v>
      </c>
      <c r="M3639" t="n">
        <v>0</v>
      </c>
      <c r="N3639" t="n">
        <v>0</v>
      </c>
      <c r="O3639" t="n">
        <v>0</v>
      </c>
      <c r="P3639" t="n">
        <v>0</v>
      </c>
      <c r="Q3639" t="n">
        <v>0</v>
      </c>
      <c r="R3639" s="2" t="inlineStr"/>
    </row>
    <row r="3640" ht="15" customHeight="1">
      <c r="A3640" t="inlineStr">
        <is>
          <t>A 57575-2023</t>
        </is>
      </c>
      <c r="B3640" s="1" t="n">
        <v>45246</v>
      </c>
      <c r="C3640" s="1" t="n">
        <v>45358</v>
      </c>
      <c r="D3640" t="inlineStr">
        <is>
          <t>HALLANDS LÄN</t>
        </is>
      </c>
      <c r="E3640" t="inlineStr">
        <is>
          <t>LAHOLM</t>
        </is>
      </c>
      <c r="F3640" t="inlineStr">
        <is>
          <t>Kommuner</t>
        </is>
      </c>
      <c r="G3640" t="n">
        <v>2.3</v>
      </c>
      <c r="H3640" t="n">
        <v>0</v>
      </c>
      <c r="I3640" t="n">
        <v>0</v>
      </c>
      <c r="J3640" t="n">
        <v>0</v>
      </c>
      <c r="K3640" t="n">
        <v>0</v>
      </c>
      <c r="L3640" t="n">
        <v>0</v>
      </c>
      <c r="M3640" t="n">
        <v>0</v>
      </c>
      <c r="N3640" t="n">
        <v>0</v>
      </c>
      <c r="O3640" t="n">
        <v>0</v>
      </c>
      <c r="P3640" t="n">
        <v>0</v>
      </c>
      <c r="Q3640" t="n">
        <v>0</v>
      </c>
      <c r="R3640" s="2" t="inlineStr"/>
    </row>
    <row r="3641" ht="15" customHeight="1">
      <c r="A3641" t="inlineStr">
        <is>
          <t>A 57621-2023</t>
        </is>
      </c>
      <c r="B3641" s="1" t="n">
        <v>45246</v>
      </c>
      <c r="C3641" s="1" t="n">
        <v>45358</v>
      </c>
      <c r="D3641" t="inlineStr">
        <is>
          <t>HALLANDS LÄN</t>
        </is>
      </c>
      <c r="E3641" t="inlineStr">
        <is>
          <t>FALKENBERG</t>
        </is>
      </c>
      <c r="G3641" t="n">
        <v>1.4</v>
      </c>
      <c r="H3641" t="n">
        <v>0</v>
      </c>
      <c r="I3641" t="n">
        <v>0</v>
      </c>
      <c r="J3641" t="n">
        <v>0</v>
      </c>
      <c r="K3641" t="n">
        <v>0</v>
      </c>
      <c r="L3641" t="n">
        <v>0</v>
      </c>
      <c r="M3641" t="n">
        <v>0</v>
      </c>
      <c r="N3641" t="n">
        <v>0</v>
      </c>
      <c r="O3641" t="n">
        <v>0</v>
      </c>
      <c r="P3641" t="n">
        <v>0</v>
      </c>
      <c r="Q3641" t="n">
        <v>0</v>
      </c>
      <c r="R3641" s="2" t="inlineStr"/>
    </row>
    <row r="3642" ht="15" customHeight="1">
      <c r="A3642" t="inlineStr">
        <is>
          <t>A 57461-2023</t>
        </is>
      </c>
      <c r="B3642" s="1" t="n">
        <v>45246</v>
      </c>
      <c r="C3642" s="1" t="n">
        <v>45358</v>
      </c>
      <c r="D3642" t="inlineStr">
        <is>
          <t>HALLANDS LÄN</t>
        </is>
      </c>
      <c r="E3642" t="inlineStr">
        <is>
          <t>HYLTE</t>
        </is>
      </c>
      <c r="G3642" t="n">
        <v>3.3</v>
      </c>
      <c r="H3642" t="n">
        <v>0</v>
      </c>
      <c r="I3642" t="n">
        <v>0</v>
      </c>
      <c r="J3642" t="n">
        <v>0</v>
      </c>
      <c r="K3642" t="n">
        <v>0</v>
      </c>
      <c r="L3642" t="n">
        <v>0</v>
      </c>
      <c r="M3642" t="n">
        <v>0</v>
      </c>
      <c r="N3642" t="n">
        <v>0</v>
      </c>
      <c r="O3642" t="n">
        <v>0</v>
      </c>
      <c r="P3642" t="n">
        <v>0</v>
      </c>
      <c r="Q3642" t="n">
        <v>0</v>
      </c>
      <c r="R3642" s="2" t="inlineStr"/>
    </row>
    <row r="3643" ht="15" customHeight="1">
      <c r="A3643" t="inlineStr">
        <is>
          <t>A 57466-2023</t>
        </is>
      </c>
      <c r="B3643" s="1" t="n">
        <v>45246</v>
      </c>
      <c r="C3643" s="1" t="n">
        <v>45358</v>
      </c>
      <c r="D3643" t="inlineStr">
        <is>
          <t>HALLANDS LÄN</t>
        </is>
      </c>
      <c r="E3643" t="inlineStr">
        <is>
          <t>HYLTE</t>
        </is>
      </c>
      <c r="G3643" t="n">
        <v>0.6</v>
      </c>
      <c r="H3643" t="n">
        <v>0</v>
      </c>
      <c r="I3643" t="n">
        <v>0</v>
      </c>
      <c r="J3643" t="n">
        <v>0</v>
      </c>
      <c r="K3643" t="n">
        <v>0</v>
      </c>
      <c r="L3643" t="n">
        <v>0</v>
      </c>
      <c r="M3643" t="n">
        <v>0</v>
      </c>
      <c r="N3643" t="n">
        <v>0</v>
      </c>
      <c r="O3643" t="n">
        <v>0</v>
      </c>
      <c r="P3643" t="n">
        <v>0</v>
      </c>
      <c r="Q3643" t="n">
        <v>0</v>
      </c>
      <c r="R3643" s="2" t="inlineStr"/>
    </row>
    <row r="3644" ht="15" customHeight="1">
      <c r="A3644" t="inlineStr">
        <is>
          <t>A 57657-2023</t>
        </is>
      </c>
      <c r="B3644" s="1" t="n">
        <v>45246</v>
      </c>
      <c r="C3644" s="1" t="n">
        <v>45358</v>
      </c>
      <c r="D3644" t="inlineStr">
        <is>
          <t>HALLANDS LÄN</t>
        </is>
      </c>
      <c r="E3644" t="inlineStr">
        <is>
          <t>VARBERG</t>
        </is>
      </c>
      <c r="G3644" t="n">
        <v>2.9</v>
      </c>
      <c r="H3644" t="n">
        <v>0</v>
      </c>
      <c r="I3644" t="n">
        <v>0</v>
      </c>
      <c r="J3644" t="n">
        <v>0</v>
      </c>
      <c r="K3644" t="n">
        <v>0</v>
      </c>
      <c r="L3644" t="n">
        <v>0</v>
      </c>
      <c r="M3644" t="n">
        <v>0</v>
      </c>
      <c r="N3644" t="n">
        <v>0</v>
      </c>
      <c r="O3644" t="n">
        <v>0</v>
      </c>
      <c r="P3644" t="n">
        <v>0</v>
      </c>
      <c r="Q3644" t="n">
        <v>0</v>
      </c>
      <c r="R3644" s="2" t="inlineStr"/>
    </row>
    <row r="3645" ht="15" customHeight="1">
      <c r="A3645" t="inlineStr">
        <is>
          <t>A 57706-2023</t>
        </is>
      </c>
      <c r="B3645" s="1" t="n">
        <v>45246</v>
      </c>
      <c r="C3645" s="1" t="n">
        <v>45358</v>
      </c>
      <c r="D3645" t="inlineStr">
        <is>
          <t>HALLANDS LÄN</t>
        </is>
      </c>
      <c r="E3645" t="inlineStr">
        <is>
          <t>VARBERG</t>
        </is>
      </c>
      <c r="G3645" t="n">
        <v>2.7</v>
      </c>
      <c r="H3645" t="n">
        <v>0</v>
      </c>
      <c r="I3645" t="n">
        <v>0</v>
      </c>
      <c r="J3645" t="n">
        <v>0</v>
      </c>
      <c r="K3645" t="n">
        <v>0</v>
      </c>
      <c r="L3645" t="n">
        <v>0</v>
      </c>
      <c r="M3645" t="n">
        <v>0</v>
      </c>
      <c r="N3645" t="n">
        <v>0</v>
      </c>
      <c r="O3645" t="n">
        <v>0</v>
      </c>
      <c r="P3645" t="n">
        <v>0</v>
      </c>
      <c r="Q3645" t="n">
        <v>0</v>
      </c>
      <c r="R3645" s="2" t="inlineStr"/>
    </row>
    <row r="3646" ht="15" customHeight="1">
      <c r="A3646" t="inlineStr">
        <is>
          <t>A 57660-2023</t>
        </is>
      </c>
      <c r="B3646" s="1" t="n">
        <v>45246</v>
      </c>
      <c r="C3646" s="1" t="n">
        <v>45358</v>
      </c>
      <c r="D3646" t="inlineStr">
        <is>
          <t>HALLANDS LÄN</t>
        </is>
      </c>
      <c r="E3646" t="inlineStr">
        <is>
          <t>VARBERG</t>
        </is>
      </c>
      <c r="G3646" t="n">
        <v>1.2</v>
      </c>
      <c r="H3646" t="n">
        <v>0</v>
      </c>
      <c r="I3646" t="n">
        <v>0</v>
      </c>
      <c r="J3646" t="n">
        <v>0</v>
      </c>
      <c r="K3646" t="n">
        <v>0</v>
      </c>
      <c r="L3646" t="n">
        <v>0</v>
      </c>
      <c r="M3646" t="n">
        <v>0</v>
      </c>
      <c r="N3646" t="n">
        <v>0</v>
      </c>
      <c r="O3646" t="n">
        <v>0</v>
      </c>
      <c r="P3646" t="n">
        <v>0</v>
      </c>
      <c r="Q3646" t="n">
        <v>0</v>
      </c>
      <c r="R3646" s="2" t="inlineStr"/>
    </row>
    <row r="3647" ht="15" customHeight="1">
      <c r="A3647" t="inlineStr">
        <is>
          <t>A 57669-2023</t>
        </is>
      </c>
      <c r="B3647" s="1" t="n">
        <v>45246</v>
      </c>
      <c r="C3647" s="1" t="n">
        <v>45358</v>
      </c>
      <c r="D3647" t="inlineStr">
        <is>
          <t>HALLANDS LÄN</t>
        </is>
      </c>
      <c r="E3647" t="inlineStr">
        <is>
          <t>VARBERG</t>
        </is>
      </c>
      <c r="G3647" t="n">
        <v>2.8</v>
      </c>
      <c r="H3647" t="n">
        <v>0</v>
      </c>
      <c r="I3647" t="n">
        <v>0</v>
      </c>
      <c r="J3647" t="n">
        <v>0</v>
      </c>
      <c r="K3647" t="n">
        <v>0</v>
      </c>
      <c r="L3647" t="n">
        <v>0</v>
      </c>
      <c r="M3647" t="n">
        <v>0</v>
      </c>
      <c r="N3647" t="n">
        <v>0</v>
      </c>
      <c r="O3647" t="n">
        <v>0</v>
      </c>
      <c r="P3647" t="n">
        <v>0</v>
      </c>
      <c r="Q3647" t="n">
        <v>0</v>
      </c>
      <c r="R3647" s="2" t="inlineStr"/>
    </row>
    <row r="3648" ht="15" customHeight="1">
      <c r="A3648" t="inlineStr">
        <is>
          <t>A 57685-2023</t>
        </is>
      </c>
      <c r="B3648" s="1" t="n">
        <v>45246</v>
      </c>
      <c r="C3648" s="1" t="n">
        <v>45358</v>
      </c>
      <c r="D3648" t="inlineStr">
        <is>
          <t>HALLANDS LÄN</t>
        </is>
      </c>
      <c r="E3648" t="inlineStr">
        <is>
          <t>LAHOLM</t>
        </is>
      </c>
      <c r="G3648" t="n">
        <v>1</v>
      </c>
      <c r="H3648" t="n">
        <v>0</v>
      </c>
      <c r="I3648" t="n">
        <v>0</v>
      </c>
      <c r="J3648" t="n">
        <v>0</v>
      </c>
      <c r="K3648" t="n">
        <v>0</v>
      </c>
      <c r="L3648" t="n">
        <v>0</v>
      </c>
      <c r="M3648" t="n">
        <v>0</v>
      </c>
      <c r="N3648" t="n">
        <v>0</v>
      </c>
      <c r="O3648" t="n">
        <v>0</v>
      </c>
      <c r="P3648" t="n">
        <v>0</v>
      </c>
      <c r="Q3648" t="n">
        <v>0</v>
      </c>
      <c r="R3648" s="2" t="inlineStr"/>
    </row>
    <row r="3649" ht="15" customHeight="1">
      <c r="A3649" t="inlineStr">
        <is>
          <t>A 57704-2023</t>
        </is>
      </c>
      <c r="B3649" s="1" t="n">
        <v>45246</v>
      </c>
      <c r="C3649" s="1" t="n">
        <v>45358</v>
      </c>
      <c r="D3649" t="inlineStr">
        <is>
          <t>HALLANDS LÄN</t>
        </is>
      </c>
      <c r="E3649" t="inlineStr">
        <is>
          <t>HYLTE</t>
        </is>
      </c>
      <c r="G3649" t="n">
        <v>2</v>
      </c>
      <c r="H3649" t="n">
        <v>0</v>
      </c>
      <c r="I3649" t="n">
        <v>0</v>
      </c>
      <c r="J3649" t="n">
        <v>0</v>
      </c>
      <c r="K3649" t="n">
        <v>0</v>
      </c>
      <c r="L3649" t="n">
        <v>0</v>
      </c>
      <c r="M3649" t="n">
        <v>0</v>
      </c>
      <c r="N3649" t="n">
        <v>0</v>
      </c>
      <c r="O3649" t="n">
        <v>0</v>
      </c>
      <c r="P3649" t="n">
        <v>0</v>
      </c>
      <c r="Q3649" t="n">
        <v>0</v>
      </c>
      <c r="R3649" s="2" t="inlineStr"/>
    </row>
    <row r="3650" ht="15" customHeight="1">
      <c r="A3650" t="inlineStr">
        <is>
          <t>A 57709-2023</t>
        </is>
      </c>
      <c r="B3650" s="1" t="n">
        <v>45246</v>
      </c>
      <c r="C3650" s="1" t="n">
        <v>45358</v>
      </c>
      <c r="D3650" t="inlineStr">
        <is>
          <t>HALLANDS LÄN</t>
        </is>
      </c>
      <c r="E3650" t="inlineStr">
        <is>
          <t>KUNGSBACKA</t>
        </is>
      </c>
      <c r="G3650" t="n">
        <v>6.6</v>
      </c>
      <c r="H3650" t="n">
        <v>0</v>
      </c>
      <c r="I3650" t="n">
        <v>0</v>
      </c>
      <c r="J3650" t="n">
        <v>0</v>
      </c>
      <c r="K3650" t="n">
        <v>0</v>
      </c>
      <c r="L3650" t="n">
        <v>0</v>
      </c>
      <c r="M3650" t="n">
        <v>0</v>
      </c>
      <c r="N3650" t="n">
        <v>0</v>
      </c>
      <c r="O3650" t="n">
        <v>0</v>
      </c>
      <c r="P3650" t="n">
        <v>0</v>
      </c>
      <c r="Q3650" t="n">
        <v>0</v>
      </c>
      <c r="R3650" s="2" t="inlineStr"/>
    </row>
    <row r="3651" ht="15" customHeight="1">
      <c r="A3651" t="inlineStr">
        <is>
          <t>A 58557-2023</t>
        </is>
      </c>
      <c r="B3651" s="1" t="n">
        <v>45246</v>
      </c>
      <c r="C3651" s="1" t="n">
        <v>45358</v>
      </c>
      <c r="D3651" t="inlineStr">
        <is>
          <t>HALLANDS LÄN</t>
        </is>
      </c>
      <c r="E3651" t="inlineStr">
        <is>
          <t>HYLTE</t>
        </is>
      </c>
      <c r="G3651" t="n">
        <v>0.9</v>
      </c>
      <c r="H3651" t="n">
        <v>0</v>
      </c>
      <c r="I3651" t="n">
        <v>0</v>
      </c>
      <c r="J3651" t="n">
        <v>0</v>
      </c>
      <c r="K3651" t="n">
        <v>0</v>
      </c>
      <c r="L3651" t="n">
        <v>0</v>
      </c>
      <c r="M3651" t="n">
        <v>0</v>
      </c>
      <c r="N3651" t="n">
        <v>0</v>
      </c>
      <c r="O3651" t="n">
        <v>0</v>
      </c>
      <c r="P3651" t="n">
        <v>0</v>
      </c>
      <c r="Q3651" t="n">
        <v>0</v>
      </c>
      <c r="R3651" s="2" t="inlineStr"/>
    </row>
    <row r="3652" ht="15" customHeight="1">
      <c r="A3652" t="inlineStr">
        <is>
          <t>A 57667-2023</t>
        </is>
      </c>
      <c r="B3652" s="1" t="n">
        <v>45246</v>
      </c>
      <c r="C3652" s="1" t="n">
        <v>45358</v>
      </c>
      <c r="D3652" t="inlineStr">
        <is>
          <t>HALLANDS LÄN</t>
        </is>
      </c>
      <c r="E3652" t="inlineStr">
        <is>
          <t>VARBERG</t>
        </is>
      </c>
      <c r="G3652" t="n">
        <v>6</v>
      </c>
      <c r="H3652" t="n">
        <v>0</v>
      </c>
      <c r="I3652" t="n">
        <v>0</v>
      </c>
      <c r="J3652" t="n">
        <v>0</v>
      </c>
      <c r="K3652" t="n">
        <v>0</v>
      </c>
      <c r="L3652" t="n">
        <v>0</v>
      </c>
      <c r="M3652" t="n">
        <v>0</v>
      </c>
      <c r="N3652" t="n">
        <v>0</v>
      </c>
      <c r="O3652" t="n">
        <v>0</v>
      </c>
      <c r="P3652" t="n">
        <v>0</v>
      </c>
      <c r="Q3652" t="n">
        <v>0</v>
      </c>
      <c r="R3652" s="2" t="inlineStr"/>
    </row>
    <row r="3653" ht="15" customHeight="1">
      <c r="A3653" t="inlineStr">
        <is>
          <t>A 58534-2023</t>
        </is>
      </c>
      <c r="B3653" s="1" t="n">
        <v>45246</v>
      </c>
      <c r="C3653" s="1" t="n">
        <v>45358</v>
      </c>
      <c r="D3653" t="inlineStr">
        <is>
          <t>HALLANDS LÄN</t>
        </is>
      </c>
      <c r="E3653" t="inlineStr">
        <is>
          <t>HALMSTAD</t>
        </is>
      </c>
      <c r="G3653" t="n">
        <v>2.3</v>
      </c>
      <c r="H3653" t="n">
        <v>0</v>
      </c>
      <c r="I3653" t="n">
        <v>0</v>
      </c>
      <c r="J3653" t="n">
        <v>0</v>
      </c>
      <c r="K3653" t="n">
        <v>0</v>
      </c>
      <c r="L3653" t="n">
        <v>0</v>
      </c>
      <c r="M3653" t="n">
        <v>0</v>
      </c>
      <c r="N3653" t="n">
        <v>0</v>
      </c>
      <c r="O3653" t="n">
        <v>0</v>
      </c>
      <c r="P3653" t="n">
        <v>0</v>
      </c>
      <c r="Q3653" t="n">
        <v>0</v>
      </c>
      <c r="R3653" s="2" t="inlineStr"/>
    </row>
    <row r="3654" ht="15" customHeight="1">
      <c r="A3654" t="inlineStr">
        <is>
          <t>A 58030-2023</t>
        </is>
      </c>
      <c r="B3654" s="1" t="n">
        <v>45247</v>
      </c>
      <c r="C3654" s="1" t="n">
        <v>45358</v>
      </c>
      <c r="D3654" t="inlineStr">
        <is>
          <t>HALLANDS LÄN</t>
        </is>
      </c>
      <c r="E3654" t="inlineStr">
        <is>
          <t>FALKENBERG</t>
        </is>
      </c>
      <c r="G3654" t="n">
        <v>1.9</v>
      </c>
      <c r="H3654" t="n">
        <v>0</v>
      </c>
      <c r="I3654" t="n">
        <v>0</v>
      </c>
      <c r="J3654" t="n">
        <v>0</v>
      </c>
      <c r="K3654" t="n">
        <v>0</v>
      </c>
      <c r="L3654" t="n">
        <v>0</v>
      </c>
      <c r="M3654" t="n">
        <v>0</v>
      </c>
      <c r="N3654" t="n">
        <v>0</v>
      </c>
      <c r="O3654" t="n">
        <v>0</v>
      </c>
      <c r="P3654" t="n">
        <v>0</v>
      </c>
      <c r="Q3654" t="n">
        <v>0</v>
      </c>
      <c r="R3654" s="2" t="inlineStr"/>
    </row>
    <row r="3655" ht="15" customHeight="1">
      <c r="A3655" t="inlineStr">
        <is>
          <t>A 58091-2023</t>
        </is>
      </c>
      <c r="B3655" s="1" t="n">
        <v>45248</v>
      </c>
      <c r="C3655" s="1" t="n">
        <v>45358</v>
      </c>
      <c r="D3655" t="inlineStr">
        <is>
          <t>HALLANDS LÄN</t>
        </is>
      </c>
      <c r="E3655" t="inlineStr">
        <is>
          <t>FALKENBERG</t>
        </is>
      </c>
      <c r="F3655" t="inlineStr">
        <is>
          <t>Bergvik skog väst AB</t>
        </is>
      </c>
      <c r="G3655" t="n">
        <v>0.8</v>
      </c>
      <c r="H3655" t="n">
        <v>0</v>
      </c>
      <c r="I3655" t="n">
        <v>0</v>
      </c>
      <c r="J3655" t="n">
        <v>0</v>
      </c>
      <c r="K3655" t="n">
        <v>0</v>
      </c>
      <c r="L3655" t="n">
        <v>0</v>
      </c>
      <c r="M3655" t="n">
        <v>0</v>
      </c>
      <c r="N3655" t="n">
        <v>0</v>
      </c>
      <c r="O3655" t="n">
        <v>0</v>
      </c>
      <c r="P3655" t="n">
        <v>0</v>
      </c>
      <c r="Q3655" t="n">
        <v>0</v>
      </c>
      <c r="R3655" s="2" t="inlineStr"/>
    </row>
    <row r="3656" ht="15" customHeight="1">
      <c r="A3656" t="inlineStr">
        <is>
          <t>A 58089-2023</t>
        </is>
      </c>
      <c r="B3656" s="1" t="n">
        <v>45248</v>
      </c>
      <c r="C3656" s="1" t="n">
        <v>45358</v>
      </c>
      <c r="D3656" t="inlineStr">
        <is>
          <t>HALLANDS LÄN</t>
        </is>
      </c>
      <c r="E3656" t="inlineStr">
        <is>
          <t>FALKENBERG</t>
        </is>
      </c>
      <c r="F3656" t="inlineStr">
        <is>
          <t>Bergvik skog väst AB</t>
        </is>
      </c>
      <c r="G3656" t="n">
        <v>2.2</v>
      </c>
      <c r="H3656" t="n">
        <v>0</v>
      </c>
      <c r="I3656" t="n">
        <v>0</v>
      </c>
      <c r="J3656" t="n">
        <v>0</v>
      </c>
      <c r="K3656" t="n">
        <v>0</v>
      </c>
      <c r="L3656" t="n">
        <v>0</v>
      </c>
      <c r="M3656" t="n">
        <v>0</v>
      </c>
      <c r="N3656" t="n">
        <v>0</v>
      </c>
      <c r="O3656" t="n">
        <v>0</v>
      </c>
      <c r="P3656" t="n">
        <v>0</v>
      </c>
      <c r="Q3656" t="n">
        <v>0</v>
      </c>
      <c r="R3656" s="2" t="inlineStr"/>
    </row>
    <row r="3657" ht="15" customHeight="1">
      <c r="A3657" t="inlineStr">
        <is>
          <t>A 58090-2023</t>
        </is>
      </c>
      <c r="B3657" s="1" t="n">
        <v>45248</v>
      </c>
      <c r="C3657" s="1" t="n">
        <v>45358</v>
      </c>
      <c r="D3657" t="inlineStr">
        <is>
          <t>HALLANDS LÄN</t>
        </is>
      </c>
      <c r="E3657" t="inlineStr">
        <is>
          <t>FALKENBERG</t>
        </is>
      </c>
      <c r="F3657" t="inlineStr">
        <is>
          <t>Bergvik skog väst AB</t>
        </is>
      </c>
      <c r="G3657" t="n">
        <v>4.7</v>
      </c>
      <c r="H3657" t="n">
        <v>0</v>
      </c>
      <c r="I3657" t="n">
        <v>0</v>
      </c>
      <c r="J3657" t="n">
        <v>0</v>
      </c>
      <c r="K3657" t="n">
        <v>0</v>
      </c>
      <c r="L3657" t="n">
        <v>0</v>
      </c>
      <c r="M3657" t="n">
        <v>0</v>
      </c>
      <c r="N3657" t="n">
        <v>0</v>
      </c>
      <c r="O3657" t="n">
        <v>0</v>
      </c>
      <c r="P3657" t="n">
        <v>0</v>
      </c>
      <c r="Q3657" t="n">
        <v>0</v>
      </c>
      <c r="R3657" s="2" t="inlineStr"/>
    </row>
    <row r="3658" ht="15" customHeight="1">
      <c r="A3658" t="inlineStr">
        <is>
          <t>A 58107-2023</t>
        </is>
      </c>
      <c r="B3658" s="1" t="n">
        <v>45249</v>
      </c>
      <c r="C3658" s="1" t="n">
        <v>45358</v>
      </c>
      <c r="D3658" t="inlineStr">
        <is>
          <t>HALLANDS LÄN</t>
        </is>
      </c>
      <c r="E3658" t="inlineStr">
        <is>
          <t>FALKENBERG</t>
        </is>
      </c>
      <c r="G3658" t="n">
        <v>2.7</v>
      </c>
      <c r="H3658" t="n">
        <v>0</v>
      </c>
      <c r="I3658" t="n">
        <v>0</v>
      </c>
      <c r="J3658" t="n">
        <v>0</v>
      </c>
      <c r="K3658" t="n">
        <v>0</v>
      </c>
      <c r="L3658" t="n">
        <v>0</v>
      </c>
      <c r="M3658" t="n">
        <v>0</v>
      </c>
      <c r="N3658" t="n">
        <v>0</v>
      </c>
      <c r="O3658" t="n">
        <v>0</v>
      </c>
      <c r="P3658" t="n">
        <v>0</v>
      </c>
      <c r="Q3658" t="n">
        <v>0</v>
      </c>
      <c r="R3658" s="2" t="inlineStr"/>
    </row>
    <row r="3659" ht="15" customHeight="1">
      <c r="A3659" t="inlineStr">
        <is>
          <t>A 58108-2023</t>
        </is>
      </c>
      <c r="B3659" s="1" t="n">
        <v>45249</v>
      </c>
      <c r="C3659" s="1" t="n">
        <v>45358</v>
      </c>
      <c r="D3659" t="inlineStr">
        <is>
          <t>HALLANDS LÄN</t>
        </is>
      </c>
      <c r="E3659" t="inlineStr">
        <is>
          <t>FALKENBERG</t>
        </is>
      </c>
      <c r="G3659" t="n">
        <v>1.3</v>
      </c>
      <c r="H3659" t="n">
        <v>0</v>
      </c>
      <c r="I3659" t="n">
        <v>0</v>
      </c>
      <c r="J3659" t="n">
        <v>0</v>
      </c>
      <c r="K3659" t="n">
        <v>0</v>
      </c>
      <c r="L3659" t="n">
        <v>0</v>
      </c>
      <c r="M3659" t="n">
        <v>0</v>
      </c>
      <c r="N3659" t="n">
        <v>0</v>
      </c>
      <c r="O3659" t="n">
        <v>0</v>
      </c>
      <c r="P3659" t="n">
        <v>0</v>
      </c>
      <c r="Q3659" t="n">
        <v>0</v>
      </c>
      <c r="R3659" s="2" t="inlineStr"/>
    </row>
    <row r="3660" ht="15" customHeight="1">
      <c r="A3660" t="inlineStr">
        <is>
          <t>A 58106-2023</t>
        </is>
      </c>
      <c r="B3660" s="1" t="n">
        <v>45249</v>
      </c>
      <c r="C3660" s="1" t="n">
        <v>45358</v>
      </c>
      <c r="D3660" t="inlineStr">
        <is>
          <t>HALLANDS LÄN</t>
        </is>
      </c>
      <c r="E3660" t="inlineStr">
        <is>
          <t>FALKENBERG</t>
        </is>
      </c>
      <c r="G3660" t="n">
        <v>3.6</v>
      </c>
      <c r="H3660" t="n">
        <v>0</v>
      </c>
      <c r="I3660" t="n">
        <v>0</v>
      </c>
      <c r="J3660" t="n">
        <v>0</v>
      </c>
      <c r="K3660" t="n">
        <v>0</v>
      </c>
      <c r="L3660" t="n">
        <v>0</v>
      </c>
      <c r="M3660" t="n">
        <v>0</v>
      </c>
      <c r="N3660" t="n">
        <v>0</v>
      </c>
      <c r="O3660" t="n">
        <v>0</v>
      </c>
      <c r="P3660" t="n">
        <v>0</v>
      </c>
      <c r="Q3660" t="n">
        <v>0</v>
      </c>
      <c r="R3660" s="2" t="inlineStr"/>
    </row>
    <row r="3661" ht="15" customHeight="1">
      <c r="A3661" t="inlineStr">
        <is>
          <t>A 58110-2023</t>
        </is>
      </c>
      <c r="B3661" s="1" t="n">
        <v>45249</v>
      </c>
      <c r="C3661" s="1" t="n">
        <v>45358</v>
      </c>
      <c r="D3661" t="inlineStr">
        <is>
          <t>HALLANDS LÄN</t>
        </is>
      </c>
      <c r="E3661" t="inlineStr">
        <is>
          <t>FALKENBERG</t>
        </is>
      </c>
      <c r="G3661" t="n">
        <v>2.5</v>
      </c>
      <c r="H3661" t="n">
        <v>0</v>
      </c>
      <c r="I3661" t="n">
        <v>0</v>
      </c>
      <c r="J3661" t="n">
        <v>0</v>
      </c>
      <c r="K3661" t="n">
        <v>0</v>
      </c>
      <c r="L3661" t="n">
        <v>0</v>
      </c>
      <c r="M3661" t="n">
        <v>0</v>
      </c>
      <c r="N3661" t="n">
        <v>0</v>
      </c>
      <c r="O3661" t="n">
        <v>0</v>
      </c>
      <c r="P3661" t="n">
        <v>0</v>
      </c>
      <c r="Q3661" t="n">
        <v>0</v>
      </c>
      <c r="R3661" s="2" t="inlineStr"/>
    </row>
    <row r="3662" ht="15" customHeight="1">
      <c r="A3662" t="inlineStr">
        <is>
          <t>A 58109-2023</t>
        </is>
      </c>
      <c r="B3662" s="1" t="n">
        <v>45249</v>
      </c>
      <c r="C3662" s="1" t="n">
        <v>45358</v>
      </c>
      <c r="D3662" t="inlineStr">
        <is>
          <t>HALLANDS LÄN</t>
        </is>
      </c>
      <c r="E3662" t="inlineStr">
        <is>
          <t>FALKENBERG</t>
        </is>
      </c>
      <c r="G3662" t="n">
        <v>0.8</v>
      </c>
      <c r="H3662" t="n">
        <v>0</v>
      </c>
      <c r="I3662" t="n">
        <v>0</v>
      </c>
      <c r="J3662" t="n">
        <v>0</v>
      </c>
      <c r="K3662" t="n">
        <v>0</v>
      </c>
      <c r="L3662" t="n">
        <v>0</v>
      </c>
      <c r="M3662" t="n">
        <v>0</v>
      </c>
      <c r="N3662" t="n">
        <v>0</v>
      </c>
      <c r="O3662" t="n">
        <v>0</v>
      </c>
      <c r="P3662" t="n">
        <v>0</v>
      </c>
      <c r="Q3662" t="n">
        <v>0</v>
      </c>
      <c r="R3662" s="2" t="inlineStr"/>
    </row>
    <row r="3663" ht="15" customHeight="1">
      <c r="A3663" t="inlineStr">
        <is>
          <t>A 58319-2023</t>
        </is>
      </c>
      <c r="B3663" s="1" t="n">
        <v>45250</v>
      </c>
      <c r="C3663" s="1" t="n">
        <v>45358</v>
      </c>
      <c r="D3663" t="inlineStr">
        <is>
          <t>HALLANDS LÄN</t>
        </is>
      </c>
      <c r="E3663" t="inlineStr">
        <is>
          <t>HYLTE</t>
        </is>
      </c>
      <c r="G3663" t="n">
        <v>2.4</v>
      </c>
      <c r="H3663" t="n">
        <v>0</v>
      </c>
      <c r="I3663" t="n">
        <v>0</v>
      </c>
      <c r="J3663" t="n">
        <v>0</v>
      </c>
      <c r="K3663" t="n">
        <v>0</v>
      </c>
      <c r="L3663" t="n">
        <v>0</v>
      </c>
      <c r="M3663" t="n">
        <v>0</v>
      </c>
      <c r="N3663" t="n">
        <v>0</v>
      </c>
      <c r="O3663" t="n">
        <v>0</v>
      </c>
      <c r="P3663" t="n">
        <v>0</v>
      </c>
      <c r="Q3663" t="n">
        <v>0</v>
      </c>
      <c r="R3663" s="2" t="inlineStr"/>
    </row>
    <row r="3664" ht="15" customHeight="1">
      <c r="A3664" t="inlineStr">
        <is>
          <t>A 58417-2023</t>
        </is>
      </c>
      <c r="B3664" s="1" t="n">
        <v>45250</v>
      </c>
      <c r="C3664" s="1" t="n">
        <v>45358</v>
      </c>
      <c r="D3664" t="inlineStr">
        <is>
          <t>HALLANDS LÄN</t>
        </is>
      </c>
      <c r="E3664" t="inlineStr">
        <is>
          <t>FALKENBERG</t>
        </is>
      </c>
      <c r="G3664" t="n">
        <v>5.4</v>
      </c>
      <c r="H3664" t="n">
        <v>0</v>
      </c>
      <c r="I3664" t="n">
        <v>0</v>
      </c>
      <c r="J3664" t="n">
        <v>0</v>
      </c>
      <c r="K3664" t="n">
        <v>0</v>
      </c>
      <c r="L3664" t="n">
        <v>0</v>
      </c>
      <c r="M3664" t="n">
        <v>0</v>
      </c>
      <c r="N3664" t="n">
        <v>0</v>
      </c>
      <c r="O3664" t="n">
        <v>0</v>
      </c>
      <c r="P3664" t="n">
        <v>0</v>
      </c>
      <c r="Q3664" t="n">
        <v>0</v>
      </c>
      <c r="R3664" s="2" t="inlineStr"/>
    </row>
    <row r="3665" ht="15" customHeight="1">
      <c r="A3665" t="inlineStr">
        <is>
          <t>A 58540-2023</t>
        </is>
      </c>
      <c r="B3665" s="1" t="n">
        <v>45251</v>
      </c>
      <c r="C3665" s="1" t="n">
        <v>45358</v>
      </c>
      <c r="D3665" t="inlineStr">
        <is>
          <t>HALLANDS LÄN</t>
        </is>
      </c>
      <c r="E3665" t="inlineStr">
        <is>
          <t>HYLTE</t>
        </is>
      </c>
      <c r="G3665" t="n">
        <v>0.8</v>
      </c>
      <c r="H3665" t="n">
        <v>0</v>
      </c>
      <c r="I3665" t="n">
        <v>0</v>
      </c>
      <c r="J3665" t="n">
        <v>0</v>
      </c>
      <c r="K3665" t="n">
        <v>0</v>
      </c>
      <c r="L3665" t="n">
        <v>0</v>
      </c>
      <c r="M3665" t="n">
        <v>0</v>
      </c>
      <c r="N3665" t="n">
        <v>0</v>
      </c>
      <c r="O3665" t="n">
        <v>0</v>
      </c>
      <c r="P3665" t="n">
        <v>0</v>
      </c>
      <c r="Q3665" t="n">
        <v>0</v>
      </c>
      <c r="R3665" s="2" t="inlineStr"/>
    </row>
    <row r="3666" ht="15" customHeight="1">
      <c r="A3666" t="inlineStr">
        <is>
          <t>A 58536-2023</t>
        </is>
      </c>
      <c r="B3666" s="1" t="n">
        <v>45251</v>
      </c>
      <c r="C3666" s="1" t="n">
        <v>45358</v>
      </c>
      <c r="D3666" t="inlineStr">
        <is>
          <t>HALLANDS LÄN</t>
        </is>
      </c>
      <c r="E3666" t="inlineStr">
        <is>
          <t>HYLTE</t>
        </is>
      </c>
      <c r="G3666" t="n">
        <v>2.2</v>
      </c>
      <c r="H3666" t="n">
        <v>0</v>
      </c>
      <c r="I3666" t="n">
        <v>0</v>
      </c>
      <c r="J3666" t="n">
        <v>0</v>
      </c>
      <c r="K3666" t="n">
        <v>0</v>
      </c>
      <c r="L3666" t="n">
        <v>0</v>
      </c>
      <c r="M3666" t="n">
        <v>0</v>
      </c>
      <c r="N3666" t="n">
        <v>0</v>
      </c>
      <c r="O3666" t="n">
        <v>0</v>
      </c>
      <c r="P3666" t="n">
        <v>0</v>
      </c>
      <c r="Q3666" t="n">
        <v>0</v>
      </c>
      <c r="R3666" s="2" t="inlineStr"/>
    </row>
    <row r="3667" ht="15" customHeight="1">
      <c r="A3667" t="inlineStr">
        <is>
          <t>A 58541-2023</t>
        </is>
      </c>
      <c r="B3667" s="1" t="n">
        <v>45251</v>
      </c>
      <c r="C3667" s="1" t="n">
        <v>45358</v>
      </c>
      <c r="D3667" t="inlineStr">
        <is>
          <t>HALLANDS LÄN</t>
        </is>
      </c>
      <c r="E3667" t="inlineStr">
        <is>
          <t>HYLTE</t>
        </is>
      </c>
      <c r="G3667" t="n">
        <v>0.7</v>
      </c>
      <c r="H3667" t="n">
        <v>0</v>
      </c>
      <c r="I3667" t="n">
        <v>0</v>
      </c>
      <c r="J3667" t="n">
        <v>0</v>
      </c>
      <c r="K3667" t="n">
        <v>0</v>
      </c>
      <c r="L3667" t="n">
        <v>0</v>
      </c>
      <c r="M3667" t="n">
        <v>0</v>
      </c>
      <c r="N3667" t="n">
        <v>0</v>
      </c>
      <c r="O3667" t="n">
        <v>0</v>
      </c>
      <c r="P3667" t="n">
        <v>0</v>
      </c>
      <c r="Q3667" t="n">
        <v>0</v>
      </c>
      <c r="R3667" s="2" t="inlineStr"/>
    </row>
    <row r="3668" ht="15" customHeight="1">
      <c r="A3668" t="inlineStr">
        <is>
          <t>A 58679-2023</t>
        </is>
      </c>
      <c r="B3668" s="1" t="n">
        <v>45251</v>
      </c>
      <c r="C3668" s="1" t="n">
        <v>45358</v>
      </c>
      <c r="D3668" t="inlineStr">
        <is>
          <t>HALLANDS LÄN</t>
        </is>
      </c>
      <c r="E3668" t="inlineStr">
        <is>
          <t>VARBERG</t>
        </is>
      </c>
      <c r="G3668" t="n">
        <v>7.8</v>
      </c>
      <c r="H3668" t="n">
        <v>0</v>
      </c>
      <c r="I3668" t="n">
        <v>0</v>
      </c>
      <c r="J3668" t="n">
        <v>0</v>
      </c>
      <c r="K3668" t="n">
        <v>0</v>
      </c>
      <c r="L3668" t="n">
        <v>0</v>
      </c>
      <c r="M3668" t="n">
        <v>0</v>
      </c>
      <c r="N3668" t="n">
        <v>0</v>
      </c>
      <c r="O3668" t="n">
        <v>0</v>
      </c>
      <c r="P3668" t="n">
        <v>0</v>
      </c>
      <c r="Q3668" t="n">
        <v>0</v>
      </c>
      <c r="R3668" s="2" t="inlineStr"/>
    </row>
    <row r="3669" ht="15" customHeight="1">
      <c r="A3669" t="inlineStr">
        <is>
          <t>A 58738-2023</t>
        </is>
      </c>
      <c r="B3669" s="1" t="n">
        <v>45251</v>
      </c>
      <c r="C3669" s="1" t="n">
        <v>45358</v>
      </c>
      <c r="D3669" t="inlineStr">
        <is>
          <t>HALLANDS LÄN</t>
        </is>
      </c>
      <c r="E3669" t="inlineStr">
        <is>
          <t>HALMSTAD</t>
        </is>
      </c>
      <c r="G3669" t="n">
        <v>0.8</v>
      </c>
      <c r="H3669" t="n">
        <v>0</v>
      </c>
      <c r="I3669" t="n">
        <v>0</v>
      </c>
      <c r="J3669" t="n">
        <v>0</v>
      </c>
      <c r="K3669" t="n">
        <v>0</v>
      </c>
      <c r="L3669" t="n">
        <v>0</v>
      </c>
      <c r="M3669" t="n">
        <v>0</v>
      </c>
      <c r="N3669" t="n">
        <v>0</v>
      </c>
      <c r="O3669" t="n">
        <v>0</v>
      </c>
      <c r="P3669" t="n">
        <v>0</v>
      </c>
      <c r="Q3669" t="n">
        <v>0</v>
      </c>
      <c r="R3669" s="2" t="inlineStr"/>
    </row>
    <row r="3670" ht="15" customHeight="1">
      <c r="A3670" t="inlineStr">
        <is>
          <t>A 58737-2023</t>
        </is>
      </c>
      <c r="B3670" s="1" t="n">
        <v>45251</v>
      </c>
      <c r="C3670" s="1" t="n">
        <v>45358</v>
      </c>
      <c r="D3670" t="inlineStr">
        <is>
          <t>HALLANDS LÄN</t>
        </is>
      </c>
      <c r="E3670" t="inlineStr">
        <is>
          <t>HALMSTAD</t>
        </is>
      </c>
      <c r="G3670" t="n">
        <v>1.2</v>
      </c>
      <c r="H3670" t="n">
        <v>0</v>
      </c>
      <c r="I3670" t="n">
        <v>0</v>
      </c>
      <c r="J3670" t="n">
        <v>0</v>
      </c>
      <c r="K3670" t="n">
        <v>0</v>
      </c>
      <c r="L3670" t="n">
        <v>0</v>
      </c>
      <c r="M3670" t="n">
        <v>0</v>
      </c>
      <c r="N3670" t="n">
        <v>0</v>
      </c>
      <c r="O3670" t="n">
        <v>0</v>
      </c>
      <c r="P3670" t="n">
        <v>0</v>
      </c>
      <c r="Q3670" t="n">
        <v>0</v>
      </c>
      <c r="R3670" s="2" t="inlineStr"/>
    </row>
    <row r="3671" ht="15" customHeight="1">
      <c r="A3671" t="inlineStr">
        <is>
          <t>A 58739-2023</t>
        </is>
      </c>
      <c r="B3671" s="1" t="n">
        <v>45251</v>
      </c>
      <c r="C3671" s="1" t="n">
        <v>45358</v>
      </c>
      <c r="D3671" t="inlineStr">
        <is>
          <t>HALLANDS LÄN</t>
        </is>
      </c>
      <c r="E3671" t="inlineStr">
        <is>
          <t>HALMSTAD</t>
        </is>
      </c>
      <c r="G3671" t="n">
        <v>2.4</v>
      </c>
      <c r="H3671" t="n">
        <v>0</v>
      </c>
      <c r="I3671" t="n">
        <v>0</v>
      </c>
      <c r="J3671" t="n">
        <v>0</v>
      </c>
      <c r="K3671" t="n">
        <v>0</v>
      </c>
      <c r="L3671" t="n">
        <v>0</v>
      </c>
      <c r="M3671" t="n">
        <v>0</v>
      </c>
      <c r="N3671" t="n">
        <v>0</v>
      </c>
      <c r="O3671" t="n">
        <v>0</v>
      </c>
      <c r="P3671" t="n">
        <v>0</v>
      </c>
      <c r="Q3671" t="n">
        <v>0</v>
      </c>
      <c r="R3671" s="2" t="inlineStr"/>
    </row>
    <row r="3672" ht="15" customHeight="1">
      <c r="A3672" t="inlineStr">
        <is>
          <t>A 58787-2023</t>
        </is>
      </c>
      <c r="B3672" s="1" t="n">
        <v>45252</v>
      </c>
      <c r="C3672" s="1" t="n">
        <v>45358</v>
      </c>
      <c r="D3672" t="inlineStr">
        <is>
          <t>HALLANDS LÄN</t>
        </is>
      </c>
      <c r="E3672" t="inlineStr">
        <is>
          <t>HALMSTAD</t>
        </is>
      </c>
      <c r="G3672" t="n">
        <v>3.3</v>
      </c>
      <c r="H3672" t="n">
        <v>0</v>
      </c>
      <c r="I3672" t="n">
        <v>0</v>
      </c>
      <c r="J3672" t="n">
        <v>0</v>
      </c>
      <c r="K3672" t="n">
        <v>0</v>
      </c>
      <c r="L3672" t="n">
        <v>0</v>
      </c>
      <c r="M3672" t="n">
        <v>0</v>
      </c>
      <c r="N3672" t="n">
        <v>0</v>
      </c>
      <c r="O3672" t="n">
        <v>0</v>
      </c>
      <c r="P3672" t="n">
        <v>0</v>
      </c>
      <c r="Q3672" t="n">
        <v>0</v>
      </c>
      <c r="R3672" s="2" t="inlineStr"/>
    </row>
    <row r="3673" ht="15" customHeight="1">
      <c r="A3673" t="inlineStr">
        <is>
          <t>A 58993-2023</t>
        </is>
      </c>
      <c r="B3673" s="1" t="n">
        <v>45252</v>
      </c>
      <c r="C3673" s="1" t="n">
        <v>45358</v>
      </c>
      <c r="D3673" t="inlineStr">
        <is>
          <t>HALLANDS LÄN</t>
        </is>
      </c>
      <c r="E3673" t="inlineStr">
        <is>
          <t>HYLTE</t>
        </is>
      </c>
      <c r="G3673" t="n">
        <v>0.7</v>
      </c>
      <c r="H3673" t="n">
        <v>0</v>
      </c>
      <c r="I3673" t="n">
        <v>0</v>
      </c>
      <c r="J3673" t="n">
        <v>0</v>
      </c>
      <c r="K3673" t="n">
        <v>0</v>
      </c>
      <c r="L3673" t="n">
        <v>0</v>
      </c>
      <c r="M3673" t="n">
        <v>0</v>
      </c>
      <c r="N3673" t="n">
        <v>0</v>
      </c>
      <c r="O3673" t="n">
        <v>0</v>
      </c>
      <c r="P3673" t="n">
        <v>0</v>
      </c>
      <c r="Q3673" t="n">
        <v>0</v>
      </c>
      <c r="R3673" s="2" t="inlineStr"/>
    </row>
    <row r="3674" ht="15" customHeight="1">
      <c r="A3674" t="inlineStr">
        <is>
          <t>A 58995-2023</t>
        </is>
      </c>
      <c r="B3674" s="1" t="n">
        <v>45252</v>
      </c>
      <c r="C3674" s="1" t="n">
        <v>45358</v>
      </c>
      <c r="D3674" t="inlineStr">
        <is>
          <t>HALLANDS LÄN</t>
        </is>
      </c>
      <c r="E3674" t="inlineStr">
        <is>
          <t>HYLTE</t>
        </is>
      </c>
      <c r="G3674" t="n">
        <v>2.7</v>
      </c>
      <c r="H3674" t="n">
        <v>0</v>
      </c>
      <c r="I3674" t="n">
        <v>0</v>
      </c>
      <c r="J3674" t="n">
        <v>0</v>
      </c>
      <c r="K3674" t="n">
        <v>0</v>
      </c>
      <c r="L3674" t="n">
        <v>0</v>
      </c>
      <c r="M3674" t="n">
        <v>0</v>
      </c>
      <c r="N3674" t="n">
        <v>0</v>
      </c>
      <c r="O3674" t="n">
        <v>0</v>
      </c>
      <c r="P3674" t="n">
        <v>0</v>
      </c>
      <c r="Q3674" t="n">
        <v>0</v>
      </c>
      <c r="R3674" s="2" t="inlineStr"/>
    </row>
    <row r="3675" ht="15" customHeight="1">
      <c r="A3675" t="inlineStr">
        <is>
          <t>A 59209-2023</t>
        </is>
      </c>
      <c r="B3675" s="1" t="n">
        <v>45252</v>
      </c>
      <c r="C3675" s="1" t="n">
        <v>45358</v>
      </c>
      <c r="D3675" t="inlineStr">
        <is>
          <t>HALLANDS LÄN</t>
        </is>
      </c>
      <c r="E3675" t="inlineStr">
        <is>
          <t>FALKENBERG</t>
        </is>
      </c>
      <c r="G3675" t="n">
        <v>6.3</v>
      </c>
      <c r="H3675" t="n">
        <v>0</v>
      </c>
      <c r="I3675" t="n">
        <v>0</v>
      </c>
      <c r="J3675" t="n">
        <v>0</v>
      </c>
      <c r="K3675" t="n">
        <v>0</v>
      </c>
      <c r="L3675" t="n">
        <v>0</v>
      </c>
      <c r="M3675" t="n">
        <v>0</v>
      </c>
      <c r="N3675" t="n">
        <v>0</v>
      </c>
      <c r="O3675" t="n">
        <v>0</v>
      </c>
      <c r="P3675" t="n">
        <v>0</v>
      </c>
      <c r="Q3675" t="n">
        <v>0</v>
      </c>
      <c r="R3675" s="2" t="inlineStr"/>
    </row>
    <row r="3676" ht="15" customHeight="1">
      <c r="A3676" t="inlineStr">
        <is>
          <t>A 59208-2023</t>
        </is>
      </c>
      <c r="B3676" s="1" t="n">
        <v>45252</v>
      </c>
      <c r="C3676" s="1" t="n">
        <v>45358</v>
      </c>
      <c r="D3676" t="inlineStr">
        <is>
          <t>HALLANDS LÄN</t>
        </is>
      </c>
      <c r="E3676" t="inlineStr">
        <is>
          <t>FALKENBERG</t>
        </is>
      </c>
      <c r="G3676" t="n">
        <v>0.8</v>
      </c>
      <c r="H3676" t="n">
        <v>0</v>
      </c>
      <c r="I3676" t="n">
        <v>0</v>
      </c>
      <c r="J3676" t="n">
        <v>0</v>
      </c>
      <c r="K3676" t="n">
        <v>0</v>
      </c>
      <c r="L3676" t="n">
        <v>0</v>
      </c>
      <c r="M3676" t="n">
        <v>0</v>
      </c>
      <c r="N3676" t="n">
        <v>0</v>
      </c>
      <c r="O3676" t="n">
        <v>0</v>
      </c>
      <c r="P3676" t="n">
        <v>0</v>
      </c>
      <c r="Q3676" t="n">
        <v>0</v>
      </c>
      <c r="R3676" s="2" t="inlineStr"/>
    </row>
    <row r="3677" ht="15" customHeight="1">
      <c r="A3677" t="inlineStr">
        <is>
          <t>A 59353-2023</t>
        </is>
      </c>
      <c r="B3677" s="1" t="n">
        <v>45252</v>
      </c>
      <c r="C3677" s="1" t="n">
        <v>45358</v>
      </c>
      <c r="D3677" t="inlineStr">
        <is>
          <t>HALLANDS LÄN</t>
        </is>
      </c>
      <c r="E3677" t="inlineStr">
        <is>
          <t>HYLTE</t>
        </is>
      </c>
      <c r="G3677" t="n">
        <v>0.8</v>
      </c>
      <c r="H3677" t="n">
        <v>0</v>
      </c>
      <c r="I3677" t="n">
        <v>0</v>
      </c>
      <c r="J3677" t="n">
        <v>0</v>
      </c>
      <c r="K3677" t="n">
        <v>0</v>
      </c>
      <c r="L3677" t="n">
        <v>0</v>
      </c>
      <c r="M3677" t="n">
        <v>0</v>
      </c>
      <c r="N3677" t="n">
        <v>0</v>
      </c>
      <c r="O3677" t="n">
        <v>0</v>
      </c>
      <c r="P3677" t="n">
        <v>0</v>
      </c>
      <c r="Q3677" t="n">
        <v>0</v>
      </c>
      <c r="R3677" s="2" t="inlineStr"/>
    </row>
    <row r="3678" ht="15" customHeight="1">
      <c r="A3678" t="inlineStr">
        <is>
          <t>A 59338-2023</t>
        </is>
      </c>
      <c r="B3678" s="1" t="n">
        <v>45252</v>
      </c>
      <c r="C3678" s="1" t="n">
        <v>45358</v>
      </c>
      <c r="D3678" t="inlineStr">
        <is>
          <t>HALLANDS LÄN</t>
        </is>
      </c>
      <c r="E3678" t="inlineStr">
        <is>
          <t>HYLTE</t>
        </is>
      </c>
      <c r="G3678" t="n">
        <v>0.6</v>
      </c>
      <c r="H3678" t="n">
        <v>0</v>
      </c>
      <c r="I3678" t="n">
        <v>0</v>
      </c>
      <c r="J3678" t="n">
        <v>0</v>
      </c>
      <c r="K3678" t="n">
        <v>0</v>
      </c>
      <c r="L3678" t="n">
        <v>0</v>
      </c>
      <c r="M3678" t="n">
        <v>0</v>
      </c>
      <c r="N3678" t="n">
        <v>0</v>
      </c>
      <c r="O3678" t="n">
        <v>0</v>
      </c>
      <c r="P3678" t="n">
        <v>0</v>
      </c>
      <c r="Q3678" t="n">
        <v>0</v>
      </c>
      <c r="R3678" s="2" t="inlineStr"/>
    </row>
    <row r="3679" ht="15" customHeight="1">
      <c r="A3679" t="inlineStr">
        <is>
          <t>A 59130-2023</t>
        </is>
      </c>
      <c r="B3679" s="1" t="n">
        <v>45253</v>
      </c>
      <c r="C3679" s="1" t="n">
        <v>45358</v>
      </c>
      <c r="D3679" t="inlineStr">
        <is>
          <t>HALLANDS LÄN</t>
        </is>
      </c>
      <c r="E3679" t="inlineStr">
        <is>
          <t>HYLTE</t>
        </is>
      </c>
      <c r="G3679" t="n">
        <v>4.7</v>
      </c>
      <c r="H3679" t="n">
        <v>0</v>
      </c>
      <c r="I3679" t="n">
        <v>0</v>
      </c>
      <c r="J3679" t="n">
        <v>0</v>
      </c>
      <c r="K3679" t="n">
        <v>0</v>
      </c>
      <c r="L3679" t="n">
        <v>0</v>
      </c>
      <c r="M3679" t="n">
        <v>0</v>
      </c>
      <c r="N3679" t="n">
        <v>0</v>
      </c>
      <c r="O3679" t="n">
        <v>0</v>
      </c>
      <c r="P3679" t="n">
        <v>0</v>
      </c>
      <c r="Q3679" t="n">
        <v>0</v>
      </c>
      <c r="R3679" s="2" t="inlineStr"/>
    </row>
    <row r="3680" ht="15" customHeight="1">
      <c r="A3680" t="inlineStr">
        <is>
          <t>A 59116-2023</t>
        </is>
      </c>
      <c r="B3680" s="1" t="n">
        <v>45253</v>
      </c>
      <c r="C3680" s="1" t="n">
        <v>45358</v>
      </c>
      <c r="D3680" t="inlineStr">
        <is>
          <t>HALLANDS LÄN</t>
        </is>
      </c>
      <c r="E3680" t="inlineStr">
        <is>
          <t>LAHOLM</t>
        </is>
      </c>
      <c r="G3680" t="n">
        <v>1</v>
      </c>
      <c r="H3680" t="n">
        <v>0</v>
      </c>
      <c r="I3680" t="n">
        <v>0</v>
      </c>
      <c r="J3680" t="n">
        <v>0</v>
      </c>
      <c r="K3680" t="n">
        <v>0</v>
      </c>
      <c r="L3680" t="n">
        <v>0</v>
      </c>
      <c r="M3680" t="n">
        <v>0</v>
      </c>
      <c r="N3680" t="n">
        <v>0</v>
      </c>
      <c r="O3680" t="n">
        <v>0</v>
      </c>
      <c r="P3680" t="n">
        <v>0</v>
      </c>
      <c r="Q3680" t="n">
        <v>0</v>
      </c>
      <c r="R3680" s="2" t="inlineStr"/>
    </row>
    <row r="3681" ht="15" customHeight="1">
      <c r="A3681" t="inlineStr">
        <is>
          <t>A 59119-2023</t>
        </is>
      </c>
      <c r="B3681" s="1" t="n">
        <v>45253</v>
      </c>
      <c r="C3681" s="1" t="n">
        <v>45358</v>
      </c>
      <c r="D3681" t="inlineStr">
        <is>
          <t>HALLANDS LÄN</t>
        </is>
      </c>
      <c r="E3681" t="inlineStr">
        <is>
          <t>LAHOLM</t>
        </is>
      </c>
      <c r="G3681" t="n">
        <v>2.6</v>
      </c>
      <c r="H3681" t="n">
        <v>0</v>
      </c>
      <c r="I3681" t="n">
        <v>0</v>
      </c>
      <c r="J3681" t="n">
        <v>0</v>
      </c>
      <c r="K3681" t="n">
        <v>0</v>
      </c>
      <c r="L3681" t="n">
        <v>0</v>
      </c>
      <c r="M3681" t="n">
        <v>0</v>
      </c>
      <c r="N3681" t="n">
        <v>0</v>
      </c>
      <c r="O3681" t="n">
        <v>0</v>
      </c>
      <c r="P3681" t="n">
        <v>0</v>
      </c>
      <c r="Q3681" t="n">
        <v>0</v>
      </c>
      <c r="R3681" s="2" t="inlineStr"/>
    </row>
    <row r="3682" ht="15" customHeight="1">
      <c r="A3682" t="inlineStr">
        <is>
          <t>A 59320-2023</t>
        </is>
      </c>
      <c r="B3682" s="1" t="n">
        <v>45253</v>
      </c>
      <c r="C3682" s="1" t="n">
        <v>45358</v>
      </c>
      <c r="D3682" t="inlineStr">
        <is>
          <t>HALLANDS LÄN</t>
        </is>
      </c>
      <c r="E3682" t="inlineStr">
        <is>
          <t>HALMSTAD</t>
        </is>
      </c>
      <c r="G3682" t="n">
        <v>0.8</v>
      </c>
      <c r="H3682" t="n">
        <v>0</v>
      </c>
      <c r="I3682" t="n">
        <v>0</v>
      </c>
      <c r="J3682" t="n">
        <v>0</v>
      </c>
      <c r="K3682" t="n">
        <v>0</v>
      </c>
      <c r="L3682" t="n">
        <v>0</v>
      </c>
      <c r="M3682" t="n">
        <v>0</v>
      </c>
      <c r="N3682" t="n">
        <v>0</v>
      </c>
      <c r="O3682" t="n">
        <v>0</v>
      </c>
      <c r="P3682" t="n">
        <v>0</v>
      </c>
      <c r="Q3682" t="n">
        <v>0</v>
      </c>
      <c r="R3682" s="2" t="inlineStr"/>
    </row>
    <row r="3683" ht="15" customHeight="1">
      <c r="A3683" t="inlineStr">
        <is>
          <t>A 59158-2023</t>
        </is>
      </c>
      <c r="B3683" s="1" t="n">
        <v>45253</v>
      </c>
      <c r="C3683" s="1" t="n">
        <v>45358</v>
      </c>
      <c r="D3683" t="inlineStr">
        <is>
          <t>HALLANDS LÄN</t>
        </is>
      </c>
      <c r="E3683" t="inlineStr">
        <is>
          <t>HYLTE</t>
        </is>
      </c>
      <c r="G3683" t="n">
        <v>1.3</v>
      </c>
      <c r="H3683" t="n">
        <v>0</v>
      </c>
      <c r="I3683" t="n">
        <v>0</v>
      </c>
      <c r="J3683" t="n">
        <v>0</v>
      </c>
      <c r="K3683" t="n">
        <v>0</v>
      </c>
      <c r="L3683" t="n">
        <v>0</v>
      </c>
      <c r="M3683" t="n">
        <v>0</v>
      </c>
      <c r="N3683" t="n">
        <v>0</v>
      </c>
      <c r="O3683" t="n">
        <v>0</v>
      </c>
      <c r="P3683" t="n">
        <v>0</v>
      </c>
      <c r="Q3683" t="n">
        <v>0</v>
      </c>
      <c r="R3683" s="2" t="inlineStr"/>
    </row>
    <row r="3684" ht="15" customHeight="1">
      <c r="A3684" t="inlineStr">
        <is>
          <t>A 59313-2023</t>
        </is>
      </c>
      <c r="B3684" s="1" t="n">
        <v>45253</v>
      </c>
      <c r="C3684" s="1" t="n">
        <v>45358</v>
      </c>
      <c r="D3684" t="inlineStr">
        <is>
          <t>HALLANDS LÄN</t>
        </is>
      </c>
      <c r="E3684" t="inlineStr">
        <is>
          <t>VARBERG</t>
        </is>
      </c>
      <c r="G3684" t="n">
        <v>5.1</v>
      </c>
      <c r="H3684" t="n">
        <v>0</v>
      </c>
      <c r="I3684" t="n">
        <v>0</v>
      </c>
      <c r="J3684" t="n">
        <v>0</v>
      </c>
      <c r="K3684" t="n">
        <v>0</v>
      </c>
      <c r="L3684" t="n">
        <v>0</v>
      </c>
      <c r="M3684" t="n">
        <v>0</v>
      </c>
      <c r="N3684" t="n">
        <v>0</v>
      </c>
      <c r="O3684" t="n">
        <v>0</v>
      </c>
      <c r="P3684" t="n">
        <v>0</v>
      </c>
      <c r="Q3684" t="n">
        <v>0</v>
      </c>
      <c r="R3684" s="2" t="inlineStr"/>
    </row>
    <row r="3685" ht="15" customHeight="1">
      <c r="A3685" t="inlineStr">
        <is>
          <t>A 59332-2023</t>
        </is>
      </c>
      <c r="B3685" s="1" t="n">
        <v>45253</v>
      </c>
      <c r="C3685" s="1" t="n">
        <v>45358</v>
      </c>
      <c r="D3685" t="inlineStr">
        <is>
          <t>HALLANDS LÄN</t>
        </is>
      </c>
      <c r="E3685" t="inlineStr">
        <is>
          <t>HALMSTAD</t>
        </is>
      </c>
      <c r="G3685" t="n">
        <v>1.8</v>
      </c>
      <c r="H3685" t="n">
        <v>0</v>
      </c>
      <c r="I3685" t="n">
        <v>0</v>
      </c>
      <c r="J3685" t="n">
        <v>0</v>
      </c>
      <c r="K3685" t="n">
        <v>0</v>
      </c>
      <c r="L3685" t="n">
        <v>0</v>
      </c>
      <c r="M3685" t="n">
        <v>0</v>
      </c>
      <c r="N3685" t="n">
        <v>0</v>
      </c>
      <c r="O3685" t="n">
        <v>0</v>
      </c>
      <c r="P3685" t="n">
        <v>0</v>
      </c>
      <c r="Q3685" t="n">
        <v>0</v>
      </c>
      <c r="R3685" s="2" t="inlineStr"/>
    </row>
    <row r="3686" ht="15" customHeight="1">
      <c r="A3686" t="inlineStr">
        <is>
          <t>A 59340-2023</t>
        </is>
      </c>
      <c r="B3686" s="1" t="n">
        <v>45253</v>
      </c>
      <c r="C3686" s="1" t="n">
        <v>45358</v>
      </c>
      <c r="D3686" t="inlineStr">
        <is>
          <t>HALLANDS LÄN</t>
        </is>
      </c>
      <c r="E3686" t="inlineStr">
        <is>
          <t>KUNGSBACKA</t>
        </is>
      </c>
      <c r="G3686" t="n">
        <v>7</v>
      </c>
      <c r="H3686" t="n">
        <v>0</v>
      </c>
      <c r="I3686" t="n">
        <v>0</v>
      </c>
      <c r="J3686" t="n">
        <v>0</v>
      </c>
      <c r="K3686" t="n">
        <v>0</v>
      </c>
      <c r="L3686" t="n">
        <v>0</v>
      </c>
      <c r="M3686" t="n">
        <v>0</v>
      </c>
      <c r="N3686" t="n">
        <v>0</v>
      </c>
      <c r="O3686" t="n">
        <v>0</v>
      </c>
      <c r="P3686" t="n">
        <v>0</v>
      </c>
      <c r="Q3686" t="n">
        <v>0</v>
      </c>
      <c r="R3686" s="2" t="inlineStr"/>
    </row>
    <row r="3687" ht="15" customHeight="1">
      <c r="A3687" t="inlineStr">
        <is>
          <t>A 59348-2023</t>
        </is>
      </c>
      <c r="B3687" s="1" t="n">
        <v>45253</v>
      </c>
      <c r="C3687" s="1" t="n">
        <v>45358</v>
      </c>
      <c r="D3687" t="inlineStr">
        <is>
          <t>HALLANDS LÄN</t>
        </is>
      </c>
      <c r="E3687" t="inlineStr">
        <is>
          <t>KUNGSBACKA</t>
        </is>
      </c>
      <c r="G3687" t="n">
        <v>0.5</v>
      </c>
      <c r="H3687" t="n">
        <v>0</v>
      </c>
      <c r="I3687" t="n">
        <v>0</v>
      </c>
      <c r="J3687" t="n">
        <v>0</v>
      </c>
      <c r="K3687" t="n">
        <v>0</v>
      </c>
      <c r="L3687" t="n">
        <v>0</v>
      </c>
      <c r="M3687" t="n">
        <v>0</v>
      </c>
      <c r="N3687" t="n">
        <v>0</v>
      </c>
      <c r="O3687" t="n">
        <v>0</v>
      </c>
      <c r="P3687" t="n">
        <v>0</v>
      </c>
      <c r="Q3687" t="n">
        <v>0</v>
      </c>
      <c r="R3687" s="2" t="inlineStr"/>
    </row>
    <row r="3688" ht="15" customHeight="1">
      <c r="A3688" t="inlineStr">
        <is>
          <t>A 59386-2023</t>
        </is>
      </c>
      <c r="B3688" s="1" t="n">
        <v>45253</v>
      </c>
      <c r="C3688" s="1" t="n">
        <v>45358</v>
      </c>
      <c r="D3688" t="inlineStr">
        <is>
          <t>HALLANDS LÄN</t>
        </is>
      </c>
      <c r="E3688" t="inlineStr">
        <is>
          <t>FALKENBERG</t>
        </is>
      </c>
      <c r="G3688" t="n">
        <v>2.1</v>
      </c>
      <c r="H3688" t="n">
        <v>0</v>
      </c>
      <c r="I3688" t="n">
        <v>0</v>
      </c>
      <c r="J3688" t="n">
        <v>0</v>
      </c>
      <c r="K3688" t="n">
        <v>0</v>
      </c>
      <c r="L3688" t="n">
        <v>0</v>
      </c>
      <c r="M3688" t="n">
        <v>0</v>
      </c>
      <c r="N3688" t="n">
        <v>0</v>
      </c>
      <c r="O3688" t="n">
        <v>0</v>
      </c>
      <c r="P3688" t="n">
        <v>0</v>
      </c>
      <c r="Q3688" t="n">
        <v>0</v>
      </c>
      <c r="R3688" s="2" t="inlineStr"/>
    </row>
    <row r="3689" ht="15" customHeight="1">
      <c r="A3689" t="inlineStr">
        <is>
          <t>A 59390-2023</t>
        </is>
      </c>
      <c r="B3689" s="1" t="n">
        <v>45253</v>
      </c>
      <c r="C3689" s="1" t="n">
        <v>45358</v>
      </c>
      <c r="D3689" t="inlineStr">
        <is>
          <t>HALLANDS LÄN</t>
        </is>
      </c>
      <c r="E3689" t="inlineStr">
        <is>
          <t>HALMSTAD</t>
        </is>
      </c>
      <c r="G3689" t="n">
        <v>1.3</v>
      </c>
      <c r="H3689" t="n">
        <v>0</v>
      </c>
      <c r="I3689" t="n">
        <v>0</v>
      </c>
      <c r="J3689" t="n">
        <v>0</v>
      </c>
      <c r="K3689" t="n">
        <v>0</v>
      </c>
      <c r="L3689" t="n">
        <v>0</v>
      </c>
      <c r="M3689" t="n">
        <v>0</v>
      </c>
      <c r="N3689" t="n">
        <v>0</v>
      </c>
      <c r="O3689" t="n">
        <v>0</v>
      </c>
      <c r="P3689" t="n">
        <v>0</v>
      </c>
      <c r="Q3689" t="n">
        <v>0</v>
      </c>
      <c r="R3689" s="2" t="inlineStr"/>
    </row>
    <row r="3690" ht="15" customHeight="1">
      <c r="A3690" t="inlineStr">
        <is>
          <t>A 59315-2023</t>
        </is>
      </c>
      <c r="B3690" s="1" t="n">
        <v>45253</v>
      </c>
      <c r="C3690" s="1" t="n">
        <v>45358</v>
      </c>
      <c r="D3690" t="inlineStr">
        <is>
          <t>HALLANDS LÄN</t>
        </is>
      </c>
      <c r="E3690" t="inlineStr">
        <is>
          <t>KUNGSBACKA</t>
        </is>
      </c>
      <c r="G3690" t="n">
        <v>4.1</v>
      </c>
      <c r="H3690" t="n">
        <v>0</v>
      </c>
      <c r="I3690" t="n">
        <v>0</v>
      </c>
      <c r="J3690" t="n">
        <v>0</v>
      </c>
      <c r="K3690" t="n">
        <v>0</v>
      </c>
      <c r="L3690" t="n">
        <v>0</v>
      </c>
      <c r="M3690" t="n">
        <v>0</v>
      </c>
      <c r="N3690" t="n">
        <v>0</v>
      </c>
      <c r="O3690" t="n">
        <v>0</v>
      </c>
      <c r="P3690" t="n">
        <v>0</v>
      </c>
      <c r="Q3690" t="n">
        <v>0</v>
      </c>
      <c r="R3690" s="2" t="inlineStr"/>
    </row>
    <row r="3691" ht="15" customHeight="1">
      <c r="A3691" t="inlineStr">
        <is>
          <t>A 59342-2023</t>
        </is>
      </c>
      <c r="B3691" s="1" t="n">
        <v>45253</v>
      </c>
      <c r="C3691" s="1" t="n">
        <v>45358</v>
      </c>
      <c r="D3691" t="inlineStr">
        <is>
          <t>HALLANDS LÄN</t>
        </is>
      </c>
      <c r="E3691" t="inlineStr">
        <is>
          <t>KUNGSBACKA</t>
        </is>
      </c>
      <c r="G3691" t="n">
        <v>0.8</v>
      </c>
      <c r="H3691" t="n">
        <v>0</v>
      </c>
      <c r="I3691" t="n">
        <v>0</v>
      </c>
      <c r="J3691" t="n">
        <v>0</v>
      </c>
      <c r="K3691" t="n">
        <v>0</v>
      </c>
      <c r="L3691" t="n">
        <v>0</v>
      </c>
      <c r="M3691" t="n">
        <v>0</v>
      </c>
      <c r="N3691" t="n">
        <v>0</v>
      </c>
      <c r="O3691" t="n">
        <v>0</v>
      </c>
      <c r="P3691" t="n">
        <v>0</v>
      </c>
      <c r="Q3691" t="n">
        <v>0</v>
      </c>
      <c r="R3691" s="2" t="inlineStr"/>
    </row>
    <row r="3692" ht="15" customHeight="1">
      <c r="A3692" t="inlineStr">
        <is>
          <t>A 59423-2023</t>
        </is>
      </c>
      <c r="B3692" s="1" t="n">
        <v>45254</v>
      </c>
      <c r="C3692" s="1" t="n">
        <v>45358</v>
      </c>
      <c r="D3692" t="inlineStr">
        <is>
          <t>HALLANDS LÄN</t>
        </is>
      </c>
      <c r="E3692" t="inlineStr">
        <is>
          <t>HYLTE</t>
        </is>
      </c>
      <c r="G3692" t="n">
        <v>0.6</v>
      </c>
      <c r="H3692" t="n">
        <v>0</v>
      </c>
      <c r="I3692" t="n">
        <v>0</v>
      </c>
      <c r="J3692" t="n">
        <v>0</v>
      </c>
      <c r="K3692" t="n">
        <v>0</v>
      </c>
      <c r="L3692" t="n">
        <v>0</v>
      </c>
      <c r="M3692" t="n">
        <v>0</v>
      </c>
      <c r="N3692" t="n">
        <v>0</v>
      </c>
      <c r="O3692" t="n">
        <v>0</v>
      </c>
      <c r="P3692" t="n">
        <v>0</v>
      </c>
      <c r="Q3692" t="n">
        <v>0</v>
      </c>
      <c r="R3692" s="2" t="inlineStr"/>
    </row>
    <row r="3693" ht="15" customHeight="1">
      <c r="A3693" t="inlineStr">
        <is>
          <t>A 59477-2023</t>
        </is>
      </c>
      <c r="B3693" s="1" t="n">
        <v>45254</v>
      </c>
      <c r="C3693" s="1" t="n">
        <v>45358</v>
      </c>
      <c r="D3693" t="inlineStr">
        <is>
          <t>HALLANDS LÄN</t>
        </is>
      </c>
      <c r="E3693" t="inlineStr">
        <is>
          <t>HYLTE</t>
        </is>
      </c>
      <c r="G3693" t="n">
        <v>0.6</v>
      </c>
      <c r="H3693" t="n">
        <v>0</v>
      </c>
      <c r="I3693" t="n">
        <v>0</v>
      </c>
      <c r="J3693" t="n">
        <v>0</v>
      </c>
      <c r="K3693" t="n">
        <v>0</v>
      </c>
      <c r="L3693" t="n">
        <v>0</v>
      </c>
      <c r="M3693" t="n">
        <v>0</v>
      </c>
      <c r="N3693" t="n">
        <v>0</v>
      </c>
      <c r="O3693" t="n">
        <v>0</v>
      </c>
      <c r="P3693" t="n">
        <v>0</v>
      </c>
      <c r="Q3693" t="n">
        <v>0</v>
      </c>
      <c r="R3693" s="2" t="inlineStr"/>
    </row>
    <row r="3694" ht="15" customHeight="1">
      <c r="A3694" t="inlineStr">
        <is>
          <t>A 59483-2023</t>
        </is>
      </c>
      <c r="B3694" s="1" t="n">
        <v>45254</v>
      </c>
      <c r="C3694" s="1" t="n">
        <v>45358</v>
      </c>
      <c r="D3694" t="inlineStr">
        <is>
          <t>HALLANDS LÄN</t>
        </is>
      </c>
      <c r="E3694" t="inlineStr">
        <is>
          <t>HYLTE</t>
        </is>
      </c>
      <c r="G3694" t="n">
        <v>1.5</v>
      </c>
      <c r="H3694" t="n">
        <v>0</v>
      </c>
      <c r="I3694" t="n">
        <v>0</v>
      </c>
      <c r="J3694" t="n">
        <v>0</v>
      </c>
      <c r="K3694" t="n">
        <v>0</v>
      </c>
      <c r="L3694" t="n">
        <v>0</v>
      </c>
      <c r="M3694" t="n">
        <v>0</v>
      </c>
      <c r="N3694" t="n">
        <v>0</v>
      </c>
      <c r="O3694" t="n">
        <v>0</v>
      </c>
      <c r="P3694" t="n">
        <v>0</v>
      </c>
      <c r="Q3694" t="n">
        <v>0</v>
      </c>
      <c r="R3694" s="2" t="inlineStr"/>
    </row>
    <row r="3695" ht="15" customHeight="1">
      <c r="A3695" t="inlineStr">
        <is>
          <t>A 59422-2023</t>
        </is>
      </c>
      <c r="B3695" s="1" t="n">
        <v>45254</v>
      </c>
      <c r="C3695" s="1" t="n">
        <v>45358</v>
      </c>
      <c r="D3695" t="inlineStr">
        <is>
          <t>HALLANDS LÄN</t>
        </is>
      </c>
      <c r="E3695" t="inlineStr">
        <is>
          <t>HYLTE</t>
        </is>
      </c>
      <c r="G3695" t="n">
        <v>1.7</v>
      </c>
      <c r="H3695" t="n">
        <v>0</v>
      </c>
      <c r="I3695" t="n">
        <v>0</v>
      </c>
      <c r="J3695" t="n">
        <v>0</v>
      </c>
      <c r="K3695" t="n">
        <v>0</v>
      </c>
      <c r="L3695" t="n">
        <v>0</v>
      </c>
      <c r="M3695" t="n">
        <v>0</v>
      </c>
      <c r="N3695" t="n">
        <v>0</v>
      </c>
      <c r="O3695" t="n">
        <v>0</v>
      </c>
      <c r="P3695" t="n">
        <v>0</v>
      </c>
      <c r="Q3695" t="n">
        <v>0</v>
      </c>
      <c r="R3695" s="2" t="inlineStr"/>
    </row>
    <row r="3696" ht="15" customHeight="1">
      <c r="A3696" t="inlineStr">
        <is>
          <t>A 59486-2023</t>
        </is>
      </c>
      <c r="B3696" s="1" t="n">
        <v>45254</v>
      </c>
      <c r="C3696" s="1" t="n">
        <v>45358</v>
      </c>
      <c r="D3696" t="inlineStr">
        <is>
          <t>HALLANDS LÄN</t>
        </is>
      </c>
      <c r="E3696" t="inlineStr">
        <is>
          <t>HYLTE</t>
        </is>
      </c>
      <c r="G3696" t="n">
        <v>3.3</v>
      </c>
      <c r="H3696" t="n">
        <v>0</v>
      </c>
      <c r="I3696" t="n">
        <v>0</v>
      </c>
      <c r="J3696" t="n">
        <v>0</v>
      </c>
      <c r="K3696" t="n">
        <v>0</v>
      </c>
      <c r="L3696" t="n">
        <v>0</v>
      </c>
      <c r="M3696" t="n">
        <v>0</v>
      </c>
      <c r="N3696" t="n">
        <v>0</v>
      </c>
      <c r="O3696" t="n">
        <v>0</v>
      </c>
      <c r="P3696" t="n">
        <v>0</v>
      </c>
      <c r="Q3696" t="n">
        <v>0</v>
      </c>
      <c r="R3696" s="2" t="inlineStr"/>
    </row>
    <row r="3697" ht="15" customHeight="1">
      <c r="A3697" t="inlineStr">
        <is>
          <t>A 59558-2023</t>
        </is>
      </c>
      <c r="B3697" s="1" t="n">
        <v>45254</v>
      </c>
      <c r="C3697" s="1" t="n">
        <v>45358</v>
      </c>
      <c r="D3697" t="inlineStr">
        <is>
          <t>HALLANDS LÄN</t>
        </is>
      </c>
      <c r="E3697" t="inlineStr">
        <is>
          <t>HALMSTAD</t>
        </is>
      </c>
      <c r="G3697" t="n">
        <v>0.9</v>
      </c>
      <c r="H3697" t="n">
        <v>0</v>
      </c>
      <c r="I3697" t="n">
        <v>0</v>
      </c>
      <c r="J3697" t="n">
        <v>0</v>
      </c>
      <c r="K3697" t="n">
        <v>0</v>
      </c>
      <c r="L3697" t="n">
        <v>0</v>
      </c>
      <c r="M3697" t="n">
        <v>0</v>
      </c>
      <c r="N3697" t="n">
        <v>0</v>
      </c>
      <c r="O3697" t="n">
        <v>0</v>
      </c>
      <c r="P3697" t="n">
        <v>0</v>
      </c>
      <c r="Q3697" t="n">
        <v>0</v>
      </c>
      <c r="R3697" s="2" t="inlineStr"/>
    </row>
    <row r="3698" ht="15" customHeight="1">
      <c r="A3698" t="inlineStr">
        <is>
          <t>A 59626-2023</t>
        </is>
      </c>
      <c r="B3698" s="1" t="n">
        <v>45254</v>
      </c>
      <c r="C3698" s="1" t="n">
        <v>45358</v>
      </c>
      <c r="D3698" t="inlineStr">
        <is>
          <t>HALLANDS LÄN</t>
        </is>
      </c>
      <c r="E3698" t="inlineStr">
        <is>
          <t>HYLTE</t>
        </is>
      </c>
      <c r="G3698" t="n">
        <v>0.5</v>
      </c>
      <c r="H3698" t="n">
        <v>0</v>
      </c>
      <c r="I3698" t="n">
        <v>0</v>
      </c>
      <c r="J3698" t="n">
        <v>0</v>
      </c>
      <c r="K3698" t="n">
        <v>0</v>
      </c>
      <c r="L3698" t="n">
        <v>0</v>
      </c>
      <c r="M3698" t="n">
        <v>0</v>
      </c>
      <c r="N3698" t="n">
        <v>0</v>
      </c>
      <c r="O3698" t="n">
        <v>0</v>
      </c>
      <c r="P3698" t="n">
        <v>0</v>
      </c>
      <c r="Q3698" t="n">
        <v>0</v>
      </c>
      <c r="R3698" s="2" t="inlineStr"/>
    </row>
    <row r="3699" ht="15" customHeight="1">
      <c r="A3699" t="inlineStr">
        <is>
          <t>A 59627-2023</t>
        </is>
      </c>
      <c r="B3699" s="1" t="n">
        <v>45254</v>
      </c>
      <c r="C3699" s="1" t="n">
        <v>45358</v>
      </c>
      <c r="D3699" t="inlineStr">
        <is>
          <t>HALLANDS LÄN</t>
        </is>
      </c>
      <c r="E3699" t="inlineStr">
        <is>
          <t>HYLTE</t>
        </is>
      </c>
      <c r="G3699" t="n">
        <v>0.7</v>
      </c>
      <c r="H3699" t="n">
        <v>0</v>
      </c>
      <c r="I3699" t="n">
        <v>0</v>
      </c>
      <c r="J3699" t="n">
        <v>0</v>
      </c>
      <c r="K3699" t="n">
        <v>0</v>
      </c>
      <c r="L3699" t="n">
        <v>0</v>
      </c>
      <c r="M3699" t="n">
        <v>0</v>
      </c>
      <c r="N3699" t="n">
        <v>0</v>
      </c>
      <c r="O3699" t="n">
        <v>0</v>
      </c>
      <c r="P3699" t="n">
        <v>0</v>
      </c>
      <c r="Q3699" t="n">
        <v>0</v>
      </c>
      <c r="R3699" s="2" t="inlineStr"/>
    </row>
    <row r="3700" ht="15" customHeight="1">
      <c r="A3700" t="inlineStr">
        <is>
          <t>A 59421-2023</t>
        </is>
      </c>
      <c r="B3700" s="1" t="n">
        <v>45254</v>
      </c>
      <c r="C3700" s="1" t="n">
        <v>45358</v>
      </c>
      <c r="D3700" t="inlineStr">
        <is>
          <t>HALLANDS LÄN</t>
        </is>
      </c>
      <c r="E3700" t="inlineStr">
        <is>
          <t>HYLTE</t>
        </is>
      </c>
      <c r="G3700" t="n">
        <v>0.7</v>
      </c>
      <c r="H3700" t="n">
        <v>0</v>
      </c>
      <c r="I3700" t="n">
        <v>0</v>
      </c>
      <c r="J3700" t="n">
        <v>0</v>
      </c>
      <c r="K3700" t="n">
        <v>0</v>
      </c>
      <c r="L3700" t="n">
        <v>0</v>
      </c>
      <c r="M3700" t="n">
        <v>0</v>
      </c>
      <c r="N3700" t="n">
        <v>0</v>
      </c>
      <c r="O3700" t="n">
        <v>0</v>
      </c>
      <c r="P3700" t="n">
        <v>0</v>
      </c>
      <c r="Q3700" t="n">
        <v>0</v>
      </c>
      <c r="R3700" s="2" t="inlineStr"/>
    </row>
    <row r="3701" ht="15" customHeight="1">
      <c r="A3701" t="inlineStr">
        <is>
          <t>A 59496-2023</t>
        </is>
      </c>
      <c r="B3701" s="1" t="n">
        <v>45254</v>
      </c>
      <c r="C3701" s="1" t="n">
        <v>45358</v>
      </c>
      <c r="D3701" t="inlineStr">
        <is>
          <t>HALLANDS LÄN</t>
        </is>
      </c>
      <c r="E3701" t="inlineStr">
        <is>
          <t>HYLTE</t>
        </is>
      </c>
      <c r="G3701" t="n">
        <v>1.7</v>
      </c>
      <c r="H3701" t="n">
        <v>0</v>
      </c>
      <c r="I3701" t="n">
        <v>0</v>
      </c>
      <c r="J3701" t="n">
        <v>0</v>
      </c>
      <c r="K3701" t="n">
        <v>0</v>
      </c>
      <c r="L3701" t="n">
        <v>0</v>
      </c>
      <c r="M3701" t="n">
        <v>0</v>
      </c>
      <c r="N3701" t="n">
        <v>0</v>
      </c>
      <c r="O3701" t="n">
        <v>0</v>
      </c>
      <c r="P3701" t="n">
        <v>0</v>
      </c>
      <c r="Q3701" t="n">
        <v>0</v>
      </c>
      <c r="R3701" s="2" t="inlineStr"/>
    </row>
    <row r="3702" ht="15" customHeight="1">
      <c r="A3702" t="inlineStr">
        <is>
          <t>A 59500-2023</t>
        </is>
      </c>
      <c r="B3702" s="1" t="n">
        <v>45254</v>
      </c>
      <c r="C3702" s="1" t="n">
        <v>45358</v>
      </c>
      <c r="D3702" t="inlineStr">
        <is>
          <t>HALLANDS LÄN</t>
        </is>
      </c>
      <c r="E3702" t="inlineStr">
        <is>
          <t>HYLTE</t>
        </is>
      </c>
      <c r="G3702" t="n">
        <v>1.4</v>
      </c>
      <c r="H3702" t="n">
        <v>0</v>
      </c>
      <c r="I3702" t="n">
        <v>0</v>
      </c>
      <c r="J3702" t="n">
        <v>0</v>
      </c>
      <c r="K3702" t="n">
        <v>0</v>
      </c>
      <c r="L3702" t="n">
        <v>0</v>
      </c>
      <c r="M3702" t="n">
        <v>0</v>
      </c>
      <c r="N3702" t="n">
        <v>0</v>
      </c>
      <c r="O3702" t="n">
        <v>0</v>
      </c>
      <c r="P3702" t="n">
        <v>0</v>
      </c>
      <c r="Q3702" t="n">
        <v>0</v>
      </c>
      <c r="R3702" s="2" t="inlineStr"/>
    </row>
    <row r="3703" ht="15" customHeight="1">
      <c r="A3703" t="inlineStr">
        <is>
          <t>A 59518-2023</t>
        </is>
      </c>
      <c r="B3703" s="1" t="n">
        <v>45254</v>
      </c>
      <c r="C3703" s="1" t="n">
        <v>45358</v>
      </c>
      <c r="D3703" t="inlineStr">
        <is>
          <t>HALLANDS LÄN</t>
        </is>
      </c>
      <c r="E3703" t="inlineStr">
        <is>
          <t>HYLTE</t>
        </is>
      </c>
      <c r="G3703" t="n">
        <v>0.3</v>
      </c>
      <c r="H3703" t="n">
        <v>0</v>
      </c>
      <c r="I3703" t="n">
        <v>0</v>
      </c>
      <c r="J3703" t="n">
        <v>0</v>
      </c>
      <c r="K3703" t="n">
        <v>0</v>
      </c>
      <c r="L3703" t="n">
        <v>0</v>
      </c>
      <c r="M3703" t="n">
        <v>0</v>
      </c>
      <c r="N3703" t="n">
        <v>0</v>
      </c>
      <c r="O3703" t="n">
        <v>0</v>
      </c>
      <c r="P3703" t="n">
        <v>0</v>
      </c>
      <c r="Q3703" t="n">
        <v>0</v>
      </c>
      <c r="R3703" s="2" t="inlineStr"/>
    </row>
    <row r="3704" ht="15" customHeight="1">
      <c r="A3704" t="inlineStr">
        <is>
          <t>A 59624-2023</t>
        </is>
      </c>
      <c r="B3704" s="1" t="n">
        <v>45254</v>
      </c>
      <c r="C3704" s="1" t="n">
        <v>45358</v>
      </c>
      <c r="D3704" t="inlineStr">
        <is>
          <t>HALLANDS LÄN</t>
        </is>
      </c>
      <c r="E3704" t="inlineStr">
        <is>
          <t>HYLTE</t>
        </is>
      </c>
      <c r="G3704" t="n">
        <v>0.8</v>
      </c>
      <c r="H3704" t="n">
        <v>0</v>
      </c>
      <c r="I3704" t="n">
        <v>0</v>
      </c>
      <c r="J3704" t="n">
        <v>0</v>
      </c>
      <c r="K3704" t="n">
        <v>0</v>
      </c>
      <c r="L3704" t="n">
        <v>0</v>
      </c>
      <c r="M3704" t="n">
        <v>0</v>
      </c>
      <c r="N3704" t="n">
        <v>0</v>
      </c>
      <c r="O3704" t="n">
        <v>0</v>
      </c>
      <c r="P3704" t="n">
        <v>0</v>
      </c>
      <c r="Q3704" t="n">
        <v>0</v>
      </c>
      <c r="R3704" s="2" t="inlineStr"/>
    </row>
    <row r="3705" ht="15" customHeight="1">
      <c r="A3705" t="inlineStr">
        <is>
          <t>A 59628-2023</t>
        </is>
      </c>
      <c r="B3705" s="1" t="n">
        <v>45254</v>
      </c>
      <c r="C3705" s="1" t="n">
        <v>45358</v>
      </c>
      <c r="D3705" t="inlineStr">
        <is>
          <t>HALLANDS LÄN</t>
        </is>
      </c>
      <c r="E3705" t="inlineStr">
        <is>
          <t>HYLTE</t>
        </is>
      </c>
      <c r="G3705" t="n">
        <v>2</v>
      </c>
      <c r="H3705" t="n">
        <v>0</v>
      </c>
      <c r="I3705" t="n">
        <v>0</v>
      </c>
      <c r="J3705" t="n">
        <v>0</v>
      </c>
      <c r="K3705" t="n">
        <v>0</v>
      </c>
      <c r="L3705" t="n">
        <v>0</v>
      </c>
      <c r="M3705" t="n">
        <v>0</v>
      </c>
      <c r="N3705" t="n">
        <v>0</v>
      </c>
      <c r="O3705" t="n">
        <v>0</v>
      </c>
      <c r="P3705" t="n">
        <v>0</v>
      </c>
      <c r="Q3705" t="n">
        <v>0</v>
      </c>
      <c r="R3705" s="2" t="inlineStr"/>
    </row>
    <row r="3706" ht="15" customHeight="1">
      <c r="A3706" t="inlineStr">
        <is>
          <t>A 59766-2023</t>
        </is>
      </c>
      <c r="B3706" s="1" t="n">
        <v>45257</v>
      </c>
      <c r="C3706" s="1" t="n">
        <v>45358</v>
      </c>
      <c r="D3706" t="inlineStr">
        <is>
          <t>HALLANDS LÄN</t>
        </is>
      </c>
      <c r="E3706" t="inlineStr">
        <is>
          <t>HALMSTAD</t>
        </is>
      </c>
      <c r="G3706" t="n">
        <v>3.5</v>
      </c>
      <c r="H3706" t="n">
        <v>0</v>
      </c>
      <c r="I3706" t="n">
        <v>0</v>
      </c>
      <c r="J3706" t="n">
        <v>0</v>
      </c>
      <c r="K3706" t="n">
        <v>0</v>
      </c>
      <c r="L3706" t="n">
        <v>0</v>
      </c>
      <c r="M3706" t="n">
        <v>0</v>
      </c>
      <c r="N3706" t="n">
        <v>0</v>
      </c>
      <c r="O3706" t="n">
        <v>0</v>
      </c>
      <c r="P3706" t="n">
        <v>0</v>
      </c>
      <c r="Q3706" t="n">
        <v>0</v>
      </c>
      <c r="R3706" s="2" t="inlineStr"/>
    </row>
    <row r="3707" ht="15" customHeight="1">
      <c r="A3707" t="inlineStr">
        <is>
          <t>A 59762-2023</t>
        </is>
      </c>
      <c r="B3707" s="1" t="n">
        <v>45257</v>
      </c>
      <c r="C3707" s="1" t="n">
        <v>45358</v>
      </c>
      <c r="D3707" t="inlineStr">
        <is>
          <t>HALLANDS LÄN</t>
        </is>
      </c>
      <c r="E3707" t="inlineStr">
        <is>
          <t>HALMSTAD</t>
        </is>
      </c>
      <c r="G3707" t="n">
        <v>0.5</v>
      </c>
      <c r="H3707" t="n">
        <v>0</v>
      </c>
      <c r="I3707" t="n">
        <v>0</v>
      </c>
      <c r="J3707" t="n">
        <v>0</v>
      </c>
      <c r="K3707" t="n">
        <v>0</v>
      </c>
      <c r="L3707" t="n">
        <v>0</v>
      </c>
      <c r="M3707" t="n">
        <v>0</v>
      </c>
      <c r="N3707" t="n">
        <v>0</v>
      </c>
      <c r="O3707" t="n">
        <v>0</v>
      </c>
      <c r="P3707" t="n">
        <v>0</v>
      </c>
      <c r="Q3707" t="n">
        <v>0</v>
      </c>
      <c r="R3707" s="2" t="inlineStr"/>
    </row>
    <row r="3708" ht="15" customHeight="1">
      <c r="A3708" t="inlineStr">
        <is>
          <t>A 59782-2023</t>
        </is>
      </c>
      <c r="B3708" s="1" t="n">
        <v>45257</v>
      </c>
      <c r="C3708" s="1" t="n">
        <v>45358</v>
      </c>
      <c r="D3708" t="inlineStr">
        <is>
          <t>HALLANDS LÄN</t>
        </is>
      </c>
      <c r="E3708" t="inlineStr">
        <is>
          <t>HYLTE</t>
        </is>
      </c>
      <c r="G3708" t="n">
        <v>2.7</v>
      </c>
      <c r="H3708" t="n">
        <v>0</v>
      </c>
      <c r="I3708" t="n">
        <v>0</v>
      </c>
      <c r="J3708" t="n">
        <v>0</v>
      </c>
      <c r="K3708" t="n">
        <v>0</v>
      </c>
      <c r="L3708" t="n">
        <v>0</v>
      </c>
      <c r="M3708" t="n">
        <v>0</v>
      </c>
      <c r="N3708" t="n">
        <v>0</v>
      </c>
      <c r="O3708" t="n">
        <v>0</v>
      </c>
      <c r="P3708" t="n">
        <v>0</v>
      </c>
      <c r="Q3708" t="n">
        <v>0</v>
      </c>
      <c r="R3708" s="2" t="inlineStr"/>
    </row>
    <row r="3709" ht="15" customHeight="1">
      <c r="A3709" t="inlineStr">
        <is>
          <t>A 59913-2023</t>
        </is>
      </c>
      <c r="B3709" s="1" t="n">
        <v>45257</v>
      </c>
      <c r="C3709" s="1" t="n">
        <v>45358</v>
      </c>
      <c r="D3709" t="inlineStr">
        <is>
          <t>HALLANDS LÄN</t>
        </is>
      </c>
      <c r="E3709" t="inlineStr">
        <is>
          <t>HALMSTAD</t>
        </is>
      </c>
      <c r="G3709" t="n">
        <v>0.8</v>
      </c>
      <c r="H3709" t="n">
        <v>0</v>
      </c>
      <c r="I3709" t="n">
        <v>0</v>
      </c>
      <c r="J3709" t="n">
        <v>0</v>
      </c>
      <c r="K3709" t="n">
        <v>0</v>
      </c>
      <c r="L3709" t="n">
        <v>0</v>
      </c>
      <c r="M3709" t="n">
        <v>0</v>
      </c>
      <c r="N3709" t="n">
        <v>0</v>
      </c>
      <c r="O3709" t="n">
        <v>0</v>
      </c>
      <c r="P3709" t="n">
        <v>0</v>
      </c>
      <c r="Q3709" t="n">
        <v>0</v>
      </c>
      <c r="R3709" s="2" t="inlineStr"/>
    </row>
    <row r="3710" ht="15" customHeight="1">
      <c r="A3710" t="inlineStr">
        <is>
          <t>A 60176-2023</t>
        </is>
      </c>
      <c r="B3710" s="1" t="n">
        <v>45257</v>
      </c>
      <c r="C3710" s="1" t="n">
        <v>45358</v>
      </c>
      <c r="D3710" t="inlineStr">
        <is>
          <t>HALLANDS LÄN</t>
        </is>
      </c>
      <c r="E3710" t="inlineStr">
        <is>
          <t>HYLTE</t>
        </is>
      </c>
      <c r="F3710" t="inlineStr">
        <is>
          <t>Kommuner</t>
        </is>
      </c>
      <c r="G3710" t="n">
        <v>1.4</v>
      </c>
      <c r="H3710" t="n">
        <v>0</v>
      </c>
      <c r="I3710" t="n">
        <v>0</v>
      </c>
      <c r="J3710" t="n">
        <v>0</v>
      </c>
      <c r="K3710" t="n">
        <v>0</v>
      </c>
      <c r="L3710" t="n">
        <v>0</v>
      </c>
      <c r="M3710" t="n">
        <v>0</v>
      </c>
      <c r="N3710" t="n">
        <v>0</v>
      </c>
      <c r="O3710" t="n">
        <v>0</v>
      </c>
      <c r="P3710" t="n">
        <v>0</v>
      </c>
      <c r="Q3710" t="n">
        <v>0</v>
      </c>
      <c r="R3710" s="2" t="inlineStr"/>
    </row>
    <row r="3711" ht="15" customHeight="1">
      <c r="A3711" t="inlineStr">
        <is>
          <t>A 60181-2023</t>
        </is>
      </c>
      <c r="B3711" s="1" t="n">
        <v>45257</v>
      </c>
      <c r="C3711" s="1" t="n">
        <v>45358</v>
      </c>
      <c r="D3711" t="inlineStr">
        <is>
          <t>HALLANDS LÄN</t>
        </is>
      </c>
      <c r="E3711" t="inlineStr">
        <is>
          <t>HYLTE</t>
        </is>
      </c>
      <c r="G3711" t="n">
        <v>1.9</v>
      </c>
      <c r="H3711" t="n">
        <v>0</v>
      </c>
      <c r="I3711" t="n">
        <v>0</v>
      </c>
      <c r="J3711" t="n">
        <v>0</v>
      </c>
      <c r="K3711" t="n">
        <v>0</v>
      </c>
      <c r="L3711" t="n">
        <v>0</v>
      </c>
      <c r="M3711" t="n">
        <v>0</v>
      </c>
      <c r="N3711" t="n">
        <v>0</v>
      </c>
      <c r="O3711" t="n">
        <v>0</v>
      </c>
      <c r="P3711" t="n">
        <v>0</v>
      </c>
      <c r="Q3711" t="n">
        <v>0</v>
      </c>
      <c r="R3711" s="2" t="inlineStr"/>
    </row>
    <row r="3712" ht="15" customHeight="1">
      <c r="A3712" t="inlineStr">
        <is>
          <t>A 59897-2023</t>
        </is>
      </c>
      <c r="B3712" s="1" t="n">
        <v>45257</v>
      </c>
      <c r="C3712" s="1" t="n">
        <v>45358</v>
      </c>
      <c r="D3712" t="inlineStr">
        <is>
          <t>HALLANDS LÄN</t>
        </is>
      </c>
      <c r="E3712" t="inlineStr">
        <is>
          <t>HYLTE</t>
        </is>
      </c>
      <c r="G3712" t="n">
        <v>4</v>
      </c>
      <c r="H3712" t="n">
        <v>0</v>
      </c>
      <c r="I3712" t="n">
        <v>0</v>
      </c>
      <c r="J3712" t="n">
        <v>0</v>
      </c>
      <c r="K3712" t="n">
        <v>0</v>
      </c>
      <c r="L3712" t="n">
        <v>0</v>
      </c>
      <c r="M3712" t="n">
        <v>0</v>
      </c>
      <c r="N3712" t="n">
        <v>0</v>
      </c>
      <c r="O3712" t="n">
        <v>0</v>
      </c>
      <c r="P3712" t="n">
        <v>0</v>
      </c>
      <c r="Q3712" t="n">
        <v>0</v>
      </c>
      <c r="R3712" s="2" t="inlineStr"/>
    </row>
    <row r="3713" ht="15" customHeight="1">
      <c r="A3713" t="inlineStr">
        <is>
          <t>A 60168-2023</t>
        </is>
      </c>
      <c r="B3713" s="1" t="n">
        <v>45257</v>
      </c>
      <c r="C3713" s="1" t="n">
        <v>45358</v>
      </c>
      <c r="D3713" t="inlineStr">
        <is>
          <t>HALLANDS LÄN</t>
        </is>
      </c>
      <c r="E3713" t="inlineStr">
        <is>
          <t>HYLTE</t>
        </is>
      </c>
      <c r="G3713" t="n">
        <v>0.7</v>
      </c>
      <c r="H3713" t="n">
        <v>0</v>
      </c>
      <c r="I3713" t="n">
        <v>0</v>
      </c>
      <c r="J3713" t="n">
        <v>0</v>
      </c>
      <c r="K3713" t="n">
        <v>0</v>
      </c>
      <c r="L3713" t="n">
        <v>0</v>
      </c>
      <c r="M3713" t="n">
        <v>0</v>
      </c>
      <c r="N3713" t="n">
        <v>0</v>
      </c>
      <c r="O3713" t="n">
        <v>0</v>
      </c>
      <c r="P3713" t="n">
        <v>0</v>
      </c>
      <c r="Q3713" t="n">
        <v>0</v>
      </c>
      <c r="R3713" s="2" t="inlineStr"/>
    </row>
    <row r="3714" ht="15" customHeight="1">
      <c r="A3714" t="inlineStr">
        <is>
          <t>A 60017-2023</t>
        </is>
      </c>
      <c r="B3714" s="1" t="n">
        <v>45258</v>
      </c>
      <c r="C3714" s="1" t="n">
        <v>45358</v>
      </c>
      <c r="D3714" t="inlineStr">
        <is>
          <t>HALLANDS LÄN</t>
        </is>
      </c>
      <c r="E3714" t="inlineStr">
        <is>
          <t>HYLTE</t>
        </is>
      </c>
      <c r="G3714" t="n">
        <v>1.1</v>
      </c>
      <c r="H3714" t="n">
        <v>0</v>
      </c>
      <c r="I3714" t="n">
        <v>0</v>
      </c>
      <c r="J3714" t="n">
        <v>0</v>
      </c>
      <c r="K3714" t="n">
        <v>0</v>
      </c>
      <c r="L3714" t="n">
        <v>0</v>
      </c>
      <c r="M3714" t="n">
        <v>0</v>
      </c>
      <c r="N3714" t="n">
        <v>0</v>
      </c>
      <c r="O3714" t="n">
        <v>0</v>
      </c>
      <c r="P3714" t="n">
        <v>0</v>
      </c>
      <c r="Q3714" t="n">
        <v>0</v>
      </c>
      <c r="R3714" s="2" t="inlineStr"/>
    </row>
    <row r="3715" ht="15" customHeight="1">
      <c r="A3715" t="inlineStr">
        <is>
          <t>A 60031-2023</t>
        </is>
      </c>
      <c r="B3715" s="1" t="n">
        <v>45258</v>
      </c>
      <c r="C3715" s="1" t="n">
        <v>45358</v>
      </c>
      <c r="D3715" t="inlineStr">
        <is>
          <t>HALLANDS LÄN</t>
        </is>
      </c>
      <c r="E3715" t="inlineStr">
        <is>
          <t>HALMSTAD</t>
        </is>
      </c>
      <c r="G3715" t="n">
        <v>1.1</v>
      </c>
      <c r="H3715" t="n">
        <v>0</v>
      </c>
      <c r="I3715" t="n">
        <v>0</v>
      </c>
      <c r="J3715" t="n">
        <v>0</v>
      </c>
      <c r="K3715" t="n">
        <v>0</v>
      </c>
      <c r="L3715" t="n">
        <v>0</v>
      </c>
      <c r="M3715" t="n">
        <v>0</v>
      </c>
      <c r="N3715" t="n">
        <v>0</v>
      </c>
      <c r="O3715" t="n">
        <v>0</v>
      </c>
      <c r="P3715" t="n">
        <v>0</v>
      </c>
      <c r="Q3715" t="n">
        <v>0</v>
      </c>
      <c r="R3715" s="2" t="inlineStr"/>
    </row>
    <row r="3716" ht="15" customHeight="1">
      <c r="A3716" t="inlineStr">
        <is>
          <t>A 60139-2023</t>
        </is>
      </c>
      <c r="B3716" s="1" t="n">
        <v>45258</v>
      </c>
      <c r="C3716" s="1" t="n">
        <v>45358</v>
      </c>
      <c r="D3716" t="inlineStr">
        <is>
          <t>HALLANDS LÄN</t>
        </is>
      </c>
      <c r="E3716" t="inlineStr">
        <is>
          <t>HALMSTAD</t>
        </is>
      </c>
      <c r="G3716" t="n">
        <v>1.1</v>
      </c>
      <c r="H3716" t="n">
        <v>0</v>
      </c>
      <c r="I3716" t="n">
        <v>0</v>
      </c>
      <c r="J3716" t="n">
        <v>0</v>
      </c>
      <c r="K3716" t="n">
        <v>0</v>
      </c>
      <c r="L3716" t="n">
        <v>0</v>
      </c>
      <c r="M3716" t="n">
        <v>0</v>
      </c>
      <c r="N3716" t="n">
        <v>0</v>
      </c>
      <c r="O3716" t="n">
        <v>0</v>
      </c>
      <c r="P3716" t="n">
        <v>0</v>
      </c>
      <c r="Q3716" t="n">
        <v>0</v>
      </c>
      <c r="R3716" s="2" t="inlineStr"/>
    </row>
    <row r="3717" ht="15" customHeight="1">
      <c r="A3717" t="inlineStr">
        <is>
          <t>A 60032-2023</t>
        </is>
      </c>
      <c r="B3717" s="1" t="n">
        <v>45258</v>
      </c>
      <c r="C3717" s="1" t="n">
        <v>45358</v>
      </c>
      <c r="D3717" t="inlineStr">
        <is>
          <t>HALLANDS LÄN</t>
        </is>
      </c>
      <c r="E3717" t="inlineStr">
        <is>
          <t>HALMSTAD</t>
        </is>
      </c>
      <c r="G3717" t="n">
        <v>0.5</v>
      </c>
      <c r="H3717" t="n">
        <v>0</v>
      </c>
      <c r="I3717" t="n">
        <v>0</v>
      </c>
      <c r="J3717" t="n">
        <v>0</v>
      </c>
      <c r="K3717" t="n">
        <v>0</v>
      </c>
      <c r="L3717" t="n">
        <v>0</v>
      </c>
      <c r="M3717" t="n">
        <v>0</v>
      </c>
      <c r="N3717" t="n">
        <v>0</v>
      </c>
      <c r="O3717" t="n">
        <v>0</v>
      </c>
      <c r="P3717" t="n">
        <v>0</v>
      </c>
      <c r="Q3717" t="n">
        <v>0</v>
      </c>
      <c r="R3717" s="2" t="inlineStr"/>
    </row>
    <row r="3718" ht="15" customHeight="1">
      <c r="A3718" t="inlineStr">
        <is>
          <t>A 60230-2023</t>
        </is>
      </c>
      <c r="B3718" s="1" t="n">
        <v>45258</v>
      </c>
      <c r="C3718" s="1" t="n">
        <v>45358</v>
      </c>
      <c r="D3718" t="inlineStr">
        <is>
          <t>HALLANDS LÄN</t>
        </is>
      </c>
      <c r="E3718" t="inlineStr">
        <is>
          <t>HALMSTAD</t>
        </is>
      </c>
      <c r="G3718" t="n">
        <v>1.9</v>
      </c>
      <c r="H3718" t="n">
        <v>0</v>
      </c>
      <c r="I3718" t="n">
        <v>0</v>
      </c>
      <c r="J3718" t="n">
        <v>0</v>
      </c>
      <c r="K3718" t="n">
        <v>0</v>
      </c>
      <c r="L3718" t="n">
        <v>0</v>
      </c>
      <c r="M3718" t="n">
        <v>0</v>
      </c>
      <c r="N3718" t="n">
        <v>0</v>
      </c>
      <c r="O3718" t="n">
        <v>0</v>
      </c>
      <c r="P3718" t="n">
        <v>0</v>
      </c>
      <c r="Q3718" t="n">
        <v>0</v>
      </c>
      <c r="R3718" s="2" t="inlineStr"/>
    </row>
    <row r="3719" ht="15" customHeight="1">
      <c r="A3719" t="inlineStr">
        <is>
          <t>A 60544-2023</t>
        </is>
      </c>
      <c r="B3719" s="1" t="n">
        <v>45259</v>
      </c>
      <c r="C3719" s="1" t="n">
        <v>45358</v>
      </c>
      <c r="D3719" t="inlineStr">
        <is>
          <t>HALLANDS LÄN</t>
        </is>
      </c>
      <c r="E3719" t="inlineStr">
        <is>
          <t>FALKENBERG</t>
        </is>
      </c>
      <c r="G3719" t="n">
        <v>3.1</v>
      </c>
      <c r="H3719" t="n">
        <v>0</v>
      </c>
      <c r="I3719" t="n">
        <v>0</v>
      </c>
      <c r="J3719" t="n">
        <v>0</v>
      </c>
      <c r="K3719" t="n">
        <v>0</v>
      </c>
      <c r="L3719" t="n">
        <v>0</v>
      </c>
      <c r="M3719" t="n">
        <v>0</v>
      </c>
      <c r="N3719" t="n">
        <v>0</v>
      </c>
      <c r="O3719" t="n">
        <v>0</v>
      </c>
      <c r="P3719" t="n">
        <v>0</v>
      </c>
      <c r="Q3719" t="n">
        <v>0</v>
      </c>
      <c r="R3719" s="2" t="inlineStr"/>
    </row>
    <row r="3720" ht="15" customHeight="1">
      <c r="A3720" t="inlineStr">
        <is>
          <t>A 60556-2023</t>
        </is>
      </c>
      <c r="B3720" s="1" t="n">
        <v>45259</v>
      </c>
      <c r="C3720" s="1" t="n">
        <v>45358</v>
      </c>
      <c r="D3720" t="inlineStr">
        <is>
          <t>HALLANDS LÄN</t>
        </is>
      </c>
      <c r="E3720" t="inlineStr">
        <is>
          <t>VARBERG</t>
        </is>
      </c>
      <c r="G3720" t="n">
        <v>1.8</v>
      </c>
      <c r="H3720" t="n">
        <v>0</v>
      </c>
      <c r="I3720" t="n">
        <v>0</v>
      </c>
      <c r="J3720" t="n">
        <v>0</v>
      </c>
      <c r="K3720" t="n">
        <v>0</v>
      </c>
      <c r="L3720" t="n">
        <v>0</v>
      </c>
      <c r="M3720" t="n">
        <v>0</v>
      </c>
      <c r="N3720" t="n">
        <v>0</v>
      </c>
      <c r="O3720" t="n">
        <v>0</v>
      </c>
      <c r="P3720" t="n">
        <v>0</v>
      </c>
      <c r="Q3720" t="n">
        <v>0</v>
      </c>
      <c r="R3720" s="2" t="inlineStr"/>
    </row>
    <row r="3721" ht="15" customHeight="1">
      <c r="A3721" t="inlineStr">
        <is>
          <t>A 60397-2023</t>
        </is>
      </c>
      <c r="B3721" s="1" t="n">
        <v>45259</v>
      </c>
      <c r="C3721" s="1" t="n">
        <v>45358</v>
      </c>
      <c r="D3721" t="inlineStr">
        <is>
          <t>HALLANDS LÄN</t>
        </is>
      </c>
      <c r="E3721" t="inlineStr">
        <is>
          <t>HALMSTAD</t>
        </is>
      </c>
      <c r="G3721" t="n">
        <v>0.6</v>
      </c>
      <c r="H3721" t="n">
        <v>0</v>
      </c>
      <c r="I3721" t="n">
        <v>0</v>
      </c>
      <c r="J3721" t="n">
        <v>0</v>
      </c>
      <c r="K3721" t="n">
        <v>0</v>
      </c>
      <c r="L3721" t="n">
        <v>0</v>
      </c>
      <c r="M3721" t="n">
        <v>0</v>
      </c>
      <c r="N3721" t="n">
        <v>0</v>
      </c>
      <c r="O3721" t="n">
        <v>0</v>
      </c>
      <c r="P3721" t="n">
        <v>0</v>
      </c>
      <c r="Q3721" t="n">
        <v>0</v>
      </c>
      <c r="R3721" s="2" t="inlineStr"/>
    </row>
    <row r="3722" ht="15" customHeight="1">
      <c r="A3722" t="inlineStr">
        <is>
          <t>A 60393-2023</t>
        </is>
      </c>
      <c r="B3722" s="1" t="n">
        <v>45259</v>
      </c>
      <c r="C3722" s="1" t="n">
        <v>45358</v>
      </c>
      <c r="D3722" t="inlineStr">
        <is>
          <t>HALLANDS LÄN</t>
        </is>
      </c>
      <c r="E3722" t="inlineStr">
        <is>
          <t>HALMSTAD</t>
        </is>
      </c>
      <c r="G3722" t="n">
        <v>1.2</v>
      </c>
      <c r="H3722" t="n">
        <v>0</v>
      </c>
      <c r="I3722" t="n">
        <v>0</v>
      </c>
      <c r="J3722" t="n">
        <v>0</v>
      </c>
      <c r="K3722" t="n">
        <v>0</v>
      </c>
      <c r="L3722" t="n">
        <v>0</v>
      </c>
      <c r="M3722" t="n">
        <v>0</v>
      </c>
      <c r="N3722" t="n">
        <v>0</v>
      </c>
      <c r="O3722" t="n">
        <v>0</v>
      </c>
      <c r="P3722" t="n">
        <v>0</v>
      </c>
      <c r="Q3722" t="n">
        <v>0</v>
      </c>
      <c r="R3722" s="2" t="inlineStr"/>
    </row>
    <row r="3723" ht="15" customHeight="1">
      <c r="A3723" t="inlineStr">
        <is>
          <t>A 60385-2023</t>
        </is>
      </c>
      <c r="B3723" s="1" t="n">
        <v>45259</v>
      </c>
      <c r="C3723" s="1" t="n">
        <v>45358</v>
      </c>
      <c r="D3723" t="inlineStr">
        <is>
          <t>HALLANDS LÄN</t>
        </is>
      </c>
      <c r="E3723" t="inlineStr">
        <is>
          <t>HALMSTAD</t>
        </is>
      </c>
      <c r="G3723" t="n">
        <v>0.8</v>
      </c>
      <c r="H3723" t="n">
        <v>0</v>
      </c>
      <c r="I3723" t="n">
        <v>0</v>
      </c>
      <c r="J3723" t="n">
        <v>0</v>
      </c>
      <c r="K3723" t="n">
        <v>0</v>
      </c>
      <c r="L3723" t="n">
        <v>0</v>
      </c>
      <c r="M3723" t="n">
        <v>0</v>
      </c>
      <c r="N3723" t="n">
        <v>0</v>
      </c>
      <c r="O3723" t="n">
        <v>0</v>
      </c>
      <c r="P3723" t="n">
        <v>0</v>
      </c>
      <c r="Q3723" t="n">
        <v>0</v>
      </c>
      <c r="R3723" s="2" t="inlineStr"/>
    </row>
    <row r="3724" ht="15" customHeight="1">
      <c r="A3724" t="inlineStr">
        <is>
          <t>A 60358-2023</t>
        </is>
      </c>
      <c r="B3724" s="1" t="n">
        <v>45259</v>
      </c>
      <c r="C3724" s="1" t="n">
        <v>45358</v>
      </c>
      <c r="D3724" t="inlineStr">
        <is>
          <t>HALLANDS LÄN</t>
        </is>
      </c>
      <c r="E3724" t="inlineStr">
        <is>
          <t>HYLTE</t>
        </is>
      </c>
      <c r="G3724" t="n">
        <v>4</v>
      </c>
      <c r="H3724" t="n">
        <v>0</v>
      </c>
      <c r="I3724" t="n">
        <v>0</v>
      </c>
      <c r="J3724" t="n">
        <v>0</v>
      </c>
      <c r="K3724" t="n">
        <v>0</v>
      </c>
      <c r="L3724" t="n">
        <v>0</v>
      </c>
      <c r="M3724" t="n">
        <v>0</v>
      </c>
      <c r="N3724" t="n">
        <v>0</v>
      </c>
      <c r="O3724" t="n">
        <v>0</v>
      </c>
      <c r="P3724" t="n">
        <v>0</v>
      </c>
      <c r="Q3724" t="n">
        <v>0</v>
      </c>
      <c r="R3724" s="2" t="inlineStr"/>
    </row>
    <row r="3725" ht="15" customHeight="1">
      <c r="A3725" t="inlineStr">
        <is>
          <t>A 60394-2023</t>
        </is>
      </c>
      <c r="B3725" s="1" t="n">
        <v>45259</v>
      </c>
      <c r="C3725" s="1" t="n">
        <v>45358</v>
      </c>
      <c r="D3725" t="inlineStr">
        <is>
          <t>HALLANDS LÄN</t>
        </is>
      </c>
      <c r="E3725" t="inlineStr">
        <is>
          <t>HALMSTAD</t>
        </is>
      </c>
      <c r="G3725" t="n">
        <v>0.8</v>
      </c>
      <c r="H3725" t="n">
        <v>0</v>
      </c>
      <c r="I3725" t="n">
        <v>0</v>
      </c>
      <c r="J3725" t="n">
        <v>0</v>
      </c>
      <c r="K3725" t="n">
        <v>0</v>
      </c>
      <c r="L3725" t="n">
        <v>0</v>
      </c>
      <c r="M3725" t="n">
        <v>0</v>
      </c>
      <c r="N3725" t="n">
        <v>0</v>
      </c>
      <c r="O3725" t="n">
        <v>0</v>
      </c>
      <c r="P3725" t="n">
        <v>0</v>
      </c>
      <c r="Q3725" t="n">
        <v>0</v>
      </c>
      <c r="R3725" s="2" t="inlineStr"/>
    </row>
    <row r="3726" ht="15" customHeight="1">
      <c r="A3726" t="inlineStr">
        <is>
          <t>A 60399-2023</t>
        </is>
      </c>
      <c r="B3726" s="1" t="n">
        <v>45259</v>
      </c>
      <c r="C3726" s="1" t="n">
        <v>45358</v>
      </c>
      <c r="D3726" t="inlineStr">
        <is>
          <t>HALLANDS LÄN</t>
        </is>
      </c>
      <c r="E3726" t="inlineStr">
        <is>
          <t>HYLTE</t>
        </is>
      </c>
      <c r="G3726" t="n">
        <v>3.6</v>
      </c>
      <c r="H3726" t="n">
        <v>0</v>
      </c>
      <c r="I3726" t="n">
        <v>0</v>
      </c>
      <c r="J3726" t="n">
        <v>0</v>
      </c>
      <c r="K3726" t="n">
        <v>0</v>
      </c>
      <c r="L3726" t="n">
        <v>0</v>
      </c>
      <c r="M3726" t="n">
        <v>0</v>
      </c>
      <c r="N3726" t="n">
        <v>0</v>
      </c>
      <c r="O3726" t="n">
        <v>0</v>
      </c>
      <c r="P3726" t="n">
        <v>0</v>
      </c>
      <c r="Q3726" t="n">
        <v>0</v>
      </c>
      <c r="R3726" s="2" t="inlineStr"/>
    </row>
    <row r="3727" ht="15" customHeight="1">
      <c r="A3727" t="inlineStr">
        <is>
          <t>A 60421-2023</t>
        </is>
      </c>
      <c r="B3727" s="1" t="n">
        <v>45259</v>
      </c>
      <c r="C3727" s="1" t="n">
        <v>45358</v>
      </c>
      <c r="D3727" t="inlineStr">
        <is>
          <t>HALLANDS LÄN</t>
        </is>
      </c>
      <c r="E3727" t="inlineStr">
        <is>
          <t>HYLTE</t>
        </is>
      </c>
      <c r="G3727" t="n">
        <v>9</v>
      </c>
      <c r="H3727" t="n">
        <v>0</v>
      </c>
      <c r="I3727" t="n">
        <v>0</v>
      </c>
      <c r="J3727" t="n">
        <v>0</v>
      </c>
      <c r="K3727" t="n">
        <v>0</v>
      </c>
      <c r="L3727" t="n">
        <v>0</v>
      </c>
      <c r="M3727" t="n">
        <v>0</v>
      </c>
      <c r="N3727" t="n">
        <v>0</v>
      </c>
      <c r="O3727" t="n">
        <v>0</v>
      </c>
      <c r="P3727" t="n">
        <v>0</v>
      </c>
      <c r="Q3727" t="n">
        <v>0</v>
      </c>
      <c r="R3727" s="2" t="inlineStr"/>
    </row>
    <row r="3728" ht="15" customHeight="1">
      <c r="A3728" t="inlineStr">
        <is>
          <t>A 60414-2023</t>
        </is>
      </c>
      <c r="B3728" s="1" t="n">
        <v>45259</v>
      </c>
      <c r="C3728" s="1" t="n">
        <v>45358</v>
      </c>
      <c r="D3728" t="inlineStr">
        <is>
          <t>HALLANDS LÄN</t>
        </is>
      </c>
      <c r="E3728" t="inlineStr">
        <is>
          <t>HALMSTAD</t>
        </is>
      </c>
      <c r="G3728" t="n">
        <v>0.6</v>
      </c>
      <c r="H3728" t="n">
        <v>0</v>
      </c>
      <c r="I3728" t="n">
        <v>0</v>
      </c>
      <c r="J3728" t="n">
        <v>0</v>
      </c>
      <c r="K3728" t="n">
        <v>0</v>
      </c>
      <c r="L3728" t="n">
        <v>0</v>
      </c>
      <c r="M3728" t="n">
        <v>0</v>
      </c>
      <c r="N3728" t="n">
        <v>0</v>
      </c>
      <c r="O3728" t="n">
        <v>0</v>
      </c>
      <c r="P3728" t="n">
        <v>0</v>
      </c>
      <c r="Q3728" t="n">
        <v>0</v>
      </c>
      <c r="R3728" s="2" t="inlineStr"/>
    </row>
    <row r="3729" ht="15" customHeight="1">
      <c r="A3729" t="inlineStr">
        <is>
          <t>A 60391-2023</t>
        </is>
      </c>
      <c r="B3729" s="1" t="n">
        <v>45259</v>
      </c>
      <c r="C3729" s="1" t="n">
        <v>45358</v>
      </c>
      <c r="D3729" t="inlineStr">
        <is>
          <t>HALLANDS LÄN</t>
        </is>
      </c>
      <c r="E3729" t="inlineStr">
        <is>
          <t>HALMSTAD</t>
        </is>
      </c>
      <c r="G3729" t="n">
        <v>1.4</v>
      </c>
      <c r="H3729" t="n">
        <v>0</v>
      </c>
      <c r="I3729" t="n">
        <v>0</v>
      </c>
      <c r="J3729" t="n">
        <v>0</v>
      </c>
      <c r="K3729" t="n">
        <v>0</v>
      </c>
      <c r="L3729" t="n">
        <v>0</v>
      </c>
      <c r="M3729" t="n">
        <v>0</v>
      </c>
      <c r="N3729" t="n">
        <v>0</v>
      </c>
      <c r="O3729" t="n">
        <v>0</v>
      </c>
      <c r="P3729" t="n">
        <v>0</v>
      </c>
      <c r="Q3729" t="n">
        <v>0</v>
      </c>
      <c r="R3729" s="2" t="inlineStr"/>
    </row>
    <row r="3730" ht="15" customHeight="1">
      <c r="A3730" t="inlineStr">
        <is>
          <t>A 60400-2023</t>
        </is>
      </c>
      <c r="B3730" s="1" t="n">
        <v>45259</v>
      </c>
      <c r="C3730" s="1" t="n">
        <v>45358</v>
      </c>
      <c r="D3730" t="inlineStr">
        <is>
          <t>HALLANDS LÄN</t>
        </is>
      </c>
      <c r="E3730" t="inlineStr">
        <is>
          <t>HYLTE</t>
        </is>
      </c>
      <c r="G3730" t="n">
        <v>3.6</v>
      </c>
      <c r="H3730" t="n">
        <v>0</v>
      </c>
      <c r="I3730" t="n">
        <v>0</v>
      </c>
      <c r="J3730" t="n">
        <v>0</v>
      </c>
      <c r="K3730" t="n">
        <v>0</v>
      </c>
      <c r="L3730" t="n">
        <v>0</v>
      </c>
      <c r="M3730" t="n">
        <v>0</v>
      </c>
      <c r="N3730" t="n">
        <v>0</v>
      </c>
      <c r="O3730" t="n">
        <v>0</v>
      </c>
      <c r="P3730" t="n">
        <v>0</v>
      </c>
      <c r="Q3730" t="n">
        <v>0</v>
      </c>
      <c r="R3730" s="2" t="inlineStr"/>
    </row>
    <row r="3731" ht="15" customHeight="1">
      <c r="A3731" t="inlineStr">
        <is>
          <t>A 60396-2023</t>
        </is>
      </c>
      <c r="B3731" s="1" t="n">
        <v>45259</v>
      </c>
      <c r="C3731" s="1" t="n">
        <v>45358</v>
      </c>
      <c r="D3731" t="inlineStr">
        <is>
          <t>HALLANDS LÄN</t>
        </is>
      </c>
      <c r="E3731" t="inlineStr">
        <is>
          <t>HALMSTAD</t>
        </is>
      </c>
      <c r="G3731" t="n">
        <v>1</v>
      </c>
      <c r="H3731" t="n">
        <v>0</v>
      </c>
      <c r="I3731" t="n">
        <v>0</v>
      </c>
      <c r="J3731" t="n">
        <v>0</v>
      </c>
      <c r="K3731" t="n">
        <v>0</v>
      </c>
      <c r="L3731" t="n">
        <v>0</v>
      </c>
      <c r="M3731" t="n">
        <v>0</v>
      </c>
      <c r="N3731" t="n">
        <v>0</v>
      </c>
      <c r="O3731" t="n">
        <v>0</v>
      </c>
      <c r="P3731" t="n">
        <v>0</v>
      </c>
      <c r="Q3731" t="n">
        <v>0</v>
      </c>
      <c r="R3731" s="2" t="inlineStr"/>
    </row>
    <row r="3732" ht="15" customHeight="1">
      <c r="A3732" t="inlineStr">
        <is>
          <t>A 60777-2023</t>
        </is>
      </c>
      <c r="B3732" s="1" t="n">
        <v>45260</v>
      </c>
      <c r="C3732" s="1" t="n">
        <v>45358</v>
      </c>
      <c r="D3732" t="inlineStr">
        <is>
          <t>HALLANDS LÄN</t>
        </is>
      </c>
      <c r="E3732" t="inlineStr">
        <is>
          <t>HYLTE</t>
        </is>
      </c>
      <c r="G3732" t="n">
        <v>2.3</v>
      </c>
      <c r="H3732" t="n">
        <v>0</v>
      </c>
      <c r="I3732" t="n">
        <v>0</v>
      </c>
      <c r="J3732" t="n">
        <v>0</v>
      </c>
      <c r="K3732" t="n">
        <v>0</v>
      </c>
      <c r="L3732" t="n">
        <v>0</v>
      </c>
      <c r="M3732" t="n">
        <v>0</v>
      </c>
      <c r="N3732" t="n">
        <v>0</v>
      </c>
      <c r="O3732" t="n">
        <v>0</v>
      </c>
      <c r="P3732" t="n">
        <v>0</v>
      </c>
      <c r="Q3732" t="n">
        <v>0</v>
      </c>
      <c r="R3732" s="2" t="inlineStr"/>
    </row>
    <row r="3733" ht="15" customHeight="1">
      <c r="A3733" t="inlineStr">
        <is>
          <t>A 60594-2023</t>
        </is>
      </c>
      <c r="B3733" s="1" t="n">
        <v>45260</v>
      </c>
      <c r="C3733" s="1" t="n">
        <v>45358</v>
      </c>
      <c r="D3733" t="inlineStr">
        <is>
          <t>HALLANDS LÄN</t>
        </is>
      </c>
      <c r="E3733" t="inlineStr">
        <is>
          <t>FALKENBERG</t>
        </is>
      </c>
      <c r="G3733" t="n">
        <v>5.1</v>
      </c>
      <c r="H3733" t="n">
        <v>0</v>
      </c>
      <c r="I3733" t="n">
        <v>0</v>
      </c>
      <c r="J3733" t="n">
        <v>0</v>
      </c>
      <c r="K3733" t="n">
        <v>0</v>
      </c>
      <c r="L3733" t="n">
        <v>0</v>
      </c>
      <c r="M3733" t="n">
        <v>0</v>
      </c>
      <c r="N3733" t="n">
        <v>0</v>
      </c>
      <c r="O3733" t="n">
        <v>0</v>
      </c>
      <c r="P3733" t="n">
        <v>0</v>
      </c>
      <c r="Q3733" t="n">
        <v>0</v>
      </c>
      <c r="R3733" s="2" t="inlineStr"/>
    </row>
    <row r="3734" ht="15" customHeight="1">
      <c r="A3734" t="inlineStr">
        <is>
          <t>A 60771-2023</t>
        </is>
      </c>
      <c r="B3734" s="1" t="n">
        <v>45260</v>
      </c>
      <c r="C3734" s="1" t="n">
        <v>45358</v>
      </c>
      <c r="D3734" t="inlineStr">
        <is>
          <t>HALLANDS LÄN</t>
        </is>
      </c>
      <c r="E3734" t="inlineStr">
        <is>
          <t>HALMSTAD</t>
        </is>
      </c>
      <c r="G3734" t="n">
        <v>1</v>
      </c>
      <c r="H3734" t="n">
        <v>0</v>
      </c>
      <c r="I3734" t="n">
        <v>0</v>
      </c>
      <c r="J3734" t="n">
        <v>0</v>
      </c>
      <c r="K3734" t="n">
        <v>0</v>
      </c>
      <c r="L3734" t="n">
        <v>0</v>
      </c>
      <c r="M3734" t="n">
        <v>0</v>
      </c>
      <c r="N3734" t="n">
        <v>0</v>
      </c>
      <c r="O3734" t="n">
        <v>0</v>
      </c>
      <c r="P3734" t="n">
        <v>0</v>
      </c>
      <c r="Q3734" t="n">
        <v>0</v>
      </c>
      <c r="R3734" s="2" t="inlineStr"/>
    </row>
    <row r="3735" ht="15" customHeight="1">
      <c r="A3735" t="inlineStr">
        <is>
          <t>A 60831-2023</t>
        </is>
      </c>
      <c r="B3735" s="1" t="n">
        <v>45260</v>
      </c>
      <c r="C3735" s="1" t="n">
        <v>45358</v>
      </c>
      <c r="D3735" t="inlineStr">
        <is>
          <t>HALLANDS LÄN</t>
        </is>
      </c>
      <c r="E3735" t="inlineStr">
        <is>
          <t>HALMSTAD</t>
        </is>
      </c>
      <c r="G3735" t="n">
        <v>5.2</v>
      </c>
      <c r="H3735" t="n">
        <v>0</v>
      </c>
      <c r="I3735" t="n">
        <v>0</v>
      </c>
      <c r="J3735" t="n">
        <v>0</v>
      </c>
      <c r="K3735" t="n">
        <v>0</v>
      </c>
      <c r="L3735" t="n">
        <v>0</v>
      </c>
      <c r="M3735" t="n">
        <v>0</v>
      </c>
      <c r="N3735" t="n">
        <v>0</v>
      </c>
      <c r="O3735" t="n">
        <v>0</v>
      </c>
      <c r="P3735" t="n">
        <v>0</v>
      </c>
      <c r="Q3735" t="n">
        <v>0</v>
      </c>
      <c r="R3735" s="2" t="inlineStr"/>
    </row>
    <row r="3736" ht="15" customHeight="1">
      <c r="A3736" t="inlineStr">
        <is>
          <t>A 60990-2023</t>
        </is>
      </c>
      <c r="B3736" s="1" t="n">
        <v>45261</v>
      </c>
      <c r="C3736" s="1" t="n">
        <v>45358</v>
      </c>
      <c r="D3736" t="inlineStr">
        <is>
          <t>HALLANDS LÄN</t>
        </is>
      </c>
      <c r="E3736" t="inlineStr">
        <is>
          <t>HALMSTAD</t>
        </is>
      </c>
      <c r="G3736" t="n">
        <v>2.3</v>
      </c>
      <c r="H3736" t="n">
        <v>0</v>
      </c>
      <c r="I3736" t="n">
        <v>0</v>
      </c>
      <c r="J3736" t="n">
        <v>0</v>
      </c>
      <c r="K3736" t="n">
        <v>0</v>
      </c>
      <c r="L3736" t="n">
        <v>0</v>
      </c>
      <c r="M3736" t="n">
        <v>0</v>
      </c>
      <c r="N3736" t="n">
        <v>0</v>
      </c>
      <c r="O3736" t="n">
        <v>0</v>
      </c>
      <c r="P3736" t="n">
        <v>0</v>
      </c>
      <c r="Q3736" t="n">
        <v>0</v>
      </c>
      <c r="R3736" s="2" t="inlineStr"/>
    </row>
    <row r="3737" ht="15" customHeight="1">
      <c r="A3737" t="inlineStr">
        <is>
          <t>A 60974-2023</t>
        </is>
      </c>
      <c r="B3737" s="1" t="n">
        <v>45261</v>
      </c>
      <c r="C3737" s="1" t="n">
        <v>45358</v>
      </c>
      <c r="D3737" t="inlineStr">
        <is>
          <t>HALLANDS LÄN</t>
        </is>
      </c>
      <c r="E3737" t="inlineStr">
        <is>
          <t>VARBERG</t>
        </is>
      </c>
      <c r="G3737" t="n">
        <v>1.2</v>
      </c>
      <c r="H3737" t="n">
        <v>0</v>
      </c>
      <c r="I3737" t="n">
        <v>0</v>
      </c>
      <c r="J3737" t="n">
        <v>0</v>
      </c>
      <c r="K3737" t="n">
        <v>0</v>
      </c>
      <c r="L3737" t="n">
        <v>0</v>
      </c>
      <c r="M3737" t="n">
        <v>0</v>
      </c>
      <c r="N3737" t="n">
        <v>0</v>
      </c>
      <c r="O3737" t="n">
        <v>0</v>
      </c>
      <c r="P3737" t="n">
        <v>0</v>
      </c>
      <c r="Q3737" t="n">
        <v>0</v>
      </c>
      <c r="R3737" s="2" t="inlineStr"/>
    </row>
    <row r="3738" ht="15" customHeight="1">
      <c r="A3738" t="inlineStr">
        <is>
          <t>A 61075-2023</t>
        </is>
      </c>
      <c r="B3738" s="1" t="n">
        <v>45261</v>
      </c>
      <c r="C3738" s="1" t="n">
        <v>45358</v>
      </c>
      <c r="D3738" t="inlineStr">
        <is>
          <t>HALLANDS LÄN</t>
        </is>
      </c>
      <c r="E3738" t="inlineStr">
        <is>
          <t>VARBERG</t>
        </is>
      </c>
      <c r="G3738" t="n">
        <v>0.6</v>
      </c>
      <c r="H3738" t="n">
        <v>0</v>
      </c>
      <c r="I3738" t="n">
        <v>0</v>
      </c>
      <c r="J3738" t="n">
        <v>0</v>
      </c>
      <c r="K3738" t="n">
        <v>0</v>
      </c>
      <c r="L3738" t="n">
        <v>0</v>
      </c>
      <c r="M3738" t="n">
        <v>0</v>
      </c>
      <c r="N3738" t="n">
        <v>0</v>
      </c>
      <c r="O3738" t="n">
        <v>0</v>
      </c>
      <c r="P3738" t="n">
        <v>0</v>
      </c>
      <c r="Q3738" t="n">
        <v>0</v>
      </c>
      <c r="R3738" s="2" t="inlineStr"/>
    </row>
    <row r="3739" ht="15" customHeight="1">
      <c r="A3739" t="inlineStr">
        <is>
          <t>A 60945-2023</t>
        </is>
      </c>
      <c r="B3739" s="1" t="n">
        <v>45261</v>
      </c>
      <c r="C3739" s="1" t="n">
        <v>45358</v>
      </c>
      <c r="D3739" t="inlineStr">
        <is>
          <t>HALLANDS LÄN</t>
        </is>
      </c>
      <c r="E3739" t="inlineStr">
        <is>
          <t>HYLTE</t>
        </is>
      </c>
      <c r="G3739" t="n">
        <v>1.2</v>
      </c>
      <c r="H3739" t="n">
        <v>0</v>
      </c>
      <c r="I3739" t="n">
        <v>0</v>
      </c>
      <c r="J3739" t="n">
        <v>0</v>
      </c>
      <c r="K3739" t="n">
        <v>0</v>
      </c>
      <c r="L3739" t="n">
        <v>0</v>
      </c>
      <c r="M3739" t="n">
        <v>0</v>
      </c>
      <c r="N3739" t="n">
        <v>0</v>
      </c>
      <c r="O3739" t="n">
        <v>0</v>
      </c>
      <c r="P3739" t="n">
        <v>0</v>
      </c>
      <c r="Q3739" t="n">
        <v>0</v>
      </c>
      <c r="R3739" s="2" t="inlineStr"/>
    </row>
    <row r="3740" ht="15" customHeight="1">
      <c r="A3740" t="inlineStr">
        <is>
          <t>A 61170-2023</t>
        </is>
      </c>
      <c r="B3740" s="1" t="n">
        <v>45262</v>
      </c>
      <c r="C3740" s="1" t="n">
        <v>45358</v>
      </c>
      <c r="D3740" t="inlineStr">
        <is>
          <t>HALLANDS LÄN</t>
        </is>
      </c>
      <c r="E3740" t="inlineStr">
        <is>
          <t>VARBERG</t>
        </is>
      </c>
      <c r="G3740" t="n">
        <v>1</v>
      </c>
      <c r="H3740" t="n">
        <v>0</v>
      </c>
      <c r="I3740" t="n">
        <v>0</v>
      </c>
      <c r="J3740" t="n">
        <v>0</v>
      </c>
      <c r="K3740" t="n">
        <v>0</v>
      </c>
      <c r="L3740" t="n">
        <v>0</v>
      </c>
      <c r="M3740" t="n">
        <v>0</v>
      </c>
      <c r="N3740" t="n">
        <v>0</v>
      </c>
      <c r="O3740" t="n">
        <v>0</v>
      </c>
      <c r="P3740" t="n">
        <v>0</v>
      </c>
      <c r="Q3740" t="n">
        <v>0</v>
      </c>
      <c r="R3740" s="2" t="inlineStr"/>
    </row>
    <row r="3741" ht="15" customHeight="1">
      <c r="A3741" t="inlineStr">
        <is>
          <t>A 61179-2023</t>
        </is>
      </c>
      <c r="B3741" s="1" t="n">
        <v>45263</v>
      </c>
      <c r="C3741" s="1" t="n">
        <v>45358</v>
      </c>
      <c r="D3741" t="inlineStr">
        <is>
          <t>HALLANDS LÄN</t>
        </is>
      </c>
      <c r="E3741" t="inlineStr">
        <is>
          <t>FALKENBERG</t>
        </is>
      </c>
      <c r="G3741" t="n">
        <v>1</v>
      </c>
      <c r="H3741" t="n">
        <v>0</v>
      </c>
      <c r="I3741" t="n">
        <v>0</v>
      </c>
      <c r="J3741" t="n">
        <v>0</v>
      </c>
      <c r="K3741" t="n">
        <v>0</v>
      </c>
      <c r="L3741" t="n">
        <v>0</v>
      </c>
      <c r="M3741" t="n">
        <v>0</v>
      </c>
      <c r="N3741" t="n">
        <v>0</v>
      </c>
      <c r="O3741" t="n">
        <v>0</v>
      </c>
      <c r="P3741" t="n">
        <v>0</v>
      </c>
      <c r="Q3741" t="n">
        <v>0</v>
      </c>
      <c r="R3741" s="2" t="inlineStr"/>
    </row>
    <row r="3742" ht="15" customHeight="1">
      <c r="A3742" t="inlineStr">
        <is>
          <t>A 61665-2023</t>
        </is>
      </c>
      <c r="B3742" s="1" t="n">
        <v>45264</v>
      </c>
      <c r="C3742" s="1" t="n">
        <v>45358</v>
      </c>
      <c r="D3742" t="inlineStr">
        <is>
          <t>HALLANDS LÄN</t>
        </is>
      </c>
      <c r="E3742" t="inlineStr">
        <is>
          <t>HALMSTAD</t>
        </is>
      </c>
      <c r="F3742" t="inlineStr">
        <is>
          <t>Bergvik skog väst AB</t>
        </is>
      </c>
      <c r="G3742" t="n">
        <v>0.6</v>
      </c>
      <c r="H3742" t="n">
        <v>0</v>
      </c>
      <c r="I3742" t="n">
        <v>0</v>
      </c>
      <c r="J3742" t="n">
        <v>0</v>
      </c>
      <c r="K3742" t="n">
        <v>0</v>
      </c>
      <c r="L3742" t="n">
        <v>0</v>
      </c>
      <c r="M3742" t="n">
        <v>0</v>
      </c>
      <c r="N3742" t="n">
        <v>0</v>
      </c>
      <c r="O3742" t="n">
        <v>0</v>
      </c>
      <c r="P3742" t="n">
        <v>0</v>
      </c>
      <c r="Q3742" t="n">
        <v>0</v>
      </c>
      <c r="R3742" s="2" t="inlineStr"/>
    </row>
    <row r="3743" ht="15" customHeight="1">
      <c r="A3743" t="inlineStr">
        <is>
          <t>A 61663-2023</t>
        </is>
      </c>
      <c r="B3743" s="1" t="n">
        <v>45264</v>
      </c>
      <c r="C3743" s="1" t="n">
        <v>45358</v>
      </c>
      <c r="D3743" t="inlineStr">
        <is>
          <t>HALLANDS LÄN</t>
        </is>
      </c>
      <c r="E3743" t="inlineStr">
        <is>
          <t>HALMSTAD</t>
        </is>
      </c>
      <c r="F3743" t="inlineStr">
        <is>
          <t>Bergvik skog väst AB</t>
        </is>
      </c>
      <c r="G3743" t="n">
        <v>1</v>
      </c>
      <c r="H3743" t="n">
        <v>0</v>
      </c>
      <c r="I3743" t="n">
        <v>0</v>
      </c>
      <c r="J3743" t="n">
        <v>0</v>
      </c>
      <c r="K3743" t="n">
        <v>0</v>
      </c>
      <c r="L3743" t="n">
        <v>0</v>
      </c>
      <c r="M3743" t="n">
        <v>0</v>
      </c>
      <c r="N3743" t="n">
        <v>0</v>
      </c>
      <c r="O3743" t="n">
        <v>0</v>
      </c>
      <c r="P3743" t="n">
        <v>0</v>
      </c>
      <c r="Q3743" t="n">
        <v>0</v>
      </c>
      <c r="R3743" s="2" t="inlineStr"/>
    </row>
    <row r="3744" ht="15" customHeight="1">
      <c r="A3744" t="inlineStr">
        <is>
          <t>A 61667-2023</t>
        </is>
      </c>
      <c r="B3744" s="1" t="n">
        <v>45264</v>
      </c>
      <c r="C3744" s="1" t="n">
        <v>45358</v>
      </c>
      <c r="D3744" t="inlineStr">
        <is>
          <t>HALLANDS LÄN</t>
        </is>
      </c>
      <c r="E3744" t="inlineStr">
        <is>
          <t>HALMSTAD</t>
        </is>
      </c>
      <c r="F3744" t="inlineStr">
        <is>
          <t>Bergvik skog väst AB</t>
        </is>
      </c>
      <c r="G3744" t="n">
        <v>3.5</v>
      </c>
      <c r="H3744" t="n">
        <v>0</v>
      </c>
      <c r="I3744" t="n">
        <v>0</v>
      </c>
      <c r="J3744" t="n">
        <v>0</v>
      </c>
      <c r="K3744" t="n">
        <v>0</v>
      </c>
      <c r="L3744" t="n">
        <v>0</v>
      </c>
      <c r="M3744" t="n">
        <v>0</v>
      </c>
      <c r="N3744" t="n">
        <v>0</v>
      </c>
      <c r="O3744" t="n">
        <v>0</v>
      </c>
      <c r="P3744" t="n">
        <v>0</v>
      </c>
      <c r="Q3744" t="n">
        <v>0</v>
      </c>
      <c r="R3744" s="2" t="inlineStr"/>
    </row>
    <row r="3745" ht="15" customHeight="1">
      <c r="A3745" t="inlineStr">
        <is>
          <t>A 61658-2023</t>
        </is>
      </c>
      <c r="B3745" s="1" t="n">
        <v>45264</v>
      </c>
      <c r="C3745" s="1" t="n">
        <v>45358</v>
      </c>
      <c r="D3745" t="inlineStr">
        <is>
          <t>HALLANDS LÄN</t>
        </is>
      </c>
      <c r="E3745" t="inlineStr">
        <is>
          <t>HALMSTAD</t>
        </is>
      </c>
      <c r="F3745" t="inlineStr">
        <is>
          <t>Bergvik skog väst AB</t>
        </is>
      </c>
      <c r="G3745" t="n">
        <v>14.7</v>
      </c>
      <c r="H3745" t="n">
        <v>0</v>
      </c>
      <c r="I3745" t="n">
        <v>0</v>
      </c>
      <c r="J3745" t="n">
        <v>0</v>
      </c>
      <c r="K3745" t="n">
        <v>0</v>
      </c>
      <c r="L3745" t="n">
        <v>0</v>
      </c>
      <c r="M3745" t="n">
        <v>0</v>
      </c>
      <c r="N3745" t="n">
        <v>0</v>
      </c>
      <c r="O3745" t="n">
        <v>0</v>
      </c>
      <c r="P3745" t="n">
        <v>0</v>
      </c>
      <c r="Q3745" t="n">
        <v>0</v>
      </c>
      <c r="R3745" s="2" t="inlineStr"/>
    </row>
    <row r="3746" ht="15" customHeight="1">
      <c r="A3746" t="inlineStr">
        <is>
          <t>A 61670-2023</t>
        </is>
      </c>
      <c r="B3746" s="1" t="n">
        <v>45264</v>
      </c>
      <c r="C3746" s="1" t="n">
        <v>45358</v>
      </c>
      <c r="D3746" t="inlineStr">
        <is>
          <t>HALLANDS LÄN</t>
        </is>
      </c>
      <c r="E3746" t="inlineStr">
        <is>
          <t>HALMSTAD</t>
        </is>
      </c>
      <c r="F3746" t="inlineStr">
        <is>
          <t>Bergvik skog väst AB</t>
        </is>
      </c>
      <c r="G3746" t="n">
        <v>1</v>
      </c>
      <c r="H3746" t="n">
        <v>0</v>
      </c>
      <c r="I3746" t="n">
        <v>0</v>
      </c>
      <c r="J3746" t="n">
        <v>0</v>
      </c>
      <c r="K3746" t="n">
        <v>0</v>
      </c>
      <c r="L3746" t="n">
        <v>0</v>
      </c>
      <c r="M3746" t="n">
        <v>0</v>
      </c>
      <c r="N3746" t="n">
        <v>0</v>
      </c>
      <c r="O3746" t="n">
        <v>0</v>
      </c>
      <c r="P3746" t="n">
        <v>0</v>
      </c>
      <c r="Q3746" t="n">
        <v>0</v>
      </c>
      <c r="R3746" s="2" t="inlineStr"/>
    </row>
    <row r="3747" ht="15" customHeight="1">
      <c r="A3747" t="inlineStr">
        <is>
          <t>A 61903-2023</t>
        </is>
      </c>
      <c r="B3747" s="1" t="n">
        <v>45264</v>
      </c>
      <c r="C3747" s="1" t="n">
        <v>45358</v>
      </c>
      <c r="D3747" t="inlineStr">
        <is>
          <t>HALLANDS LÄN</t>
        </is>
      </c>
      <c r="E3747" t="inlineStr">
        <is>
          <t>LAHOLM</t>
        </is>
      </c>
      <c r="G3747" t="n">
        <v>1.7</v>
      </c>
      <c r="H3747" t="n">
        <v>0</v>
      </c>
      <c r="I3747" t="n">
        <v>0</v>
      </c>
      <c r="J3747" t="n">
        <v>0</v>
      </c>
      <c r="K3747" t="n">
        <v>0</v>
      </c>
      <c r="L3747" t="n">
        <v>0</v>
      </c>
      <c r="M3747" t="n">
        <v>0</v>
      </c>
      <c r="N3747" t="n">
        <v>0</v>
      </c>
      <c r="O3747" t="n">
        <v>0</v>
      </c>
      <c r="P3747" t="n">
        <v>0</v>
      </c>
      <c r="Q3747" t="n">
        <v>0</v>
      </c>
      <c r="R3747" s="2" t="inlineStr"/>
    </row>
    <row r="3748" ht="15" customHeight="1">
      <c r="A3748" t="inlineStr">
        <is>
          <t>A 61519-2023</t>
        </is>
      </c>
      <c r="B3748" s="1" t="n">
        <v>45265</v>
      </c>
      <c r="C3748" s="1" t="n">
        <v>45358</v>
      </c>
      <c r="D3748" t="inlineStr">
        <is>
          <t>HALLANDS LÄN</t>
        </is>
      </c>
      <c r="E3748" t="inlineStr">
        <is>
          <t>LAHOLM</t>
        </is>
      </c>
      <c r="F3748" t="inlineStr">
        <is>
          <t>Sveaskog</t>
        </is>
      </c>
      <c r="G3748" t="n">
        <v>15.9</v>
      </c>
      <c r="H3748" t="n">
        <v>0</v>
      </c>
      <c r="I3748" t="n">
        <v>0</v>
      </c>
      <c r="J3748" t="n">
        <v>0</v>
      </c>
      <c r="K3748" t="n">
        <v>0</v>
      </c>
      <c r="L3748" t="n">
        <v>0</v>
      </c>
      <c r="M3748" t="n">
        <v>0</v>
      </c>
      <c r="N3748" t="n">
        <v>0</v>
      </c>
      <c r="O3748" t="n">
        <v>0</v>
      </c>
      <c r="P3748" t="n">
        <v>0</v>
      </c>
      <c r="Q3748" t="n">
        <v>0</v>
      </c>
      <c r="R3748" s="2" t="inlineStr"/>
    </row>
    <row r="3749" ht="15" customHeight="1">
      <c r="A3749" t="inlineStr">
        <is>
          <t>A 61527-2023</t>
        </is>
      </c>
      <c r="B3749" s="1" t="n">
        <v>45265</v>
      </c>
      <c r="C3749" s="1" t="n">
        <v>45358</v>
      </c>
      <c r="D3749" t="inlineStr">
        <is>
          <t>HALLANDS LÄN</t>
        </is>
      </c>
      <c r="E3749" t="inlineStr">
        <is>
          <t>FALKENBERG</t>
        </is>
      </c>
      <c r="G3749" t="n">
        <v>1.6</v>
      </c>
      <c r="H3749" t="n">
        <v>0</v>
      </c>
      <c r="I3749" t="n">
        <v>0</v>
      </c>
      <c r="J3749" t="n">
        <v>0</v>
      </c>
      <c r="K3749" t="n">
        <v>0</v>
      </c>
      <c r="L3749" t="n">
        <v>0</v>
      </c>
      <c r="M3749" t="n">
        <v>0</v>
      </c>
      <c r="N3749" t="n">
        <v>0</v>
      </c>
      <c r="O3749" t="n">
        <v>0</v>
      </c>
      <c r="P3749" t="n">
        <v>0</v>
      </c>
      <c r="Q3749" t="n">
        <v>0</v>
      </c>
      <c r="R3749" s="2" t="inlineStr"/>
    </row>
    <row r="3750" ht="15" customHeight="1">
      <c r="A3750" t="inlineStr">
        <is>
          <t>A 61679-2023</t>
        </is>
      </c>
      <c r="B3750" s="1" t="n">
        <v>45265</v>
      </c>
      <c r="C3750" s="1" t="n">
        <v>45358</v>
      </c>
      <c r="D3750" t="inlineStr">
        <is>
          <t>HALLANDS LÄN</t>
        </is>
      </c>
      <c r="E3750" t="inlineStr">
        <is>
          <t>HYLTE</t>
        </is>
      </c>
      <c r="G3750" t="n">
        <v>3.7</v>
      </c>
      <c r="H3750" t="n">
        <v>0</v>
      </c>
      <c r="I3750" t="n">
        <v>0</v>
      </c>
      <c r="J3750" t="n">
        <v>0</v>
      </c>
      <c r="K3750" t="n">
        <v>0</v>
      </c>
      <c r="L3750" t="n">
        <v>0</v>
      </c>
      <c r="M3750" t="n">
        <v>0</v>
      </c>
      <c r="N3750" t="n">
        <v>0</v>
      </c>
      <c r="O3750" t="n">
        <v>0</v>
      </c>
      <c r="P3750" t="n">
        <v>0</v>
      </c>
      <c r="Q3750" t="n">
        <v>0</v>
      </c>
      <c r="R3750" s="2" t="inlineStr"/>
    </row>
    <row r="3751" ht="15" customHeight="1">
      <c r="A3751" t="inlineStr">
        <is>
          <t>A 61675-2023</t>
        </is>
      </c>
      <c r="B3751" s="1" t="n">
        <v>45265</v>
      </c>
      <c r="C3751" s="1" t="n">
        <v>45358</v>
      </c>
      <c r="D3751" t="inlineStr">
        <is>
          <t>HALLANDS LÄN</t>
        </is>
      </c>
      <c r="E3751" t="inlineStr">
        <is>
          <t>HYLTE</t>
        </is>
      </c>
      <c r="G3751" t="n">
        <v>0.7</v>
      </c>
      <c r="H3751" t="n">
        <v>0</v>
      </c>
      <c r="I3751" t="n">
        <v>0</v>
      </c>
      <c r="J3751" t="n">
        <v>0</v>
      </c>
      <c r="K3751" t="n">
        <v>0</v>
      </c>
      <c r="L3751" t="n">
        <v>0</v>
      </c>
      <c r="M3751" t="n">
        <v>0</v>
      </c>
      <c r="N3751" t="n">
        <v>0</v>
      </c>
      <c r="O3751" t="n">
        <v>0</v>
      </c>
      <c r="P3751" t="n">
        <v>0</v>
      </c>
      <c r="Q3751" t="n">
        <v>0</v>
      </c>
      <c r="R3751" s="2" t="inlineStr"/>
    </row>
    <row r="3752" ht="15" customHeight="1">
      <c r="A3752" t="inlineStr">
        <is>
          <t>A 61581-2023</t>
        </is>
      </c>
      <c r="B3752" s="1" t="n">
        <v>45265</v>
      </c>
      <c r="C3752" s="1" t="n">
        <v>45358</v>
      </c>
      <c r="D3752" t="inlineStr">
        <is>
          <t>HALLANDS LÄN</t>
        </is>
      </c>
      <c r="E3752" t="inlineStr">
        <is>
          <t>HALMSTAD</t>
        </is>
      </c>
      <c r="G3752" t="n">
        <v>0.5</v>
      </c>
      <c r="H3752" t="n">
        <v>0</v>
      </c>
      <c r="I3752" t="n">
        <v>0</v>
      </c>
      <c r="J3752" t="n">
        <v>0</v>
      </c>
      <c r="K3752" t="n">
        <v>0</v>
      </c>
      <c r="L3752" t="n">
        <v>0</v>
      </c>
      <c r="M3752" t="n">
        <v>0</v>
      </c>
      <c r="N3752" t="n">
        <v>0</v>
      </c>
      <c r="O3752" t="n">
        <v>0</v>
      </c>
      <c r="P3752" t="n">
        <v>0</v>
      </c>
      <c r="Q3752" t="n">
        <v>0</v>
      </c>
      <c r="R3752" s="2" t="inlineStr"/>
    </row>
    <row r="3753" ht="15" customHeight="1">
      <c r="A3753" t="inlineStr">
        <is>
          <t>A 61741-2023</t>
        </is>
      </c>
      <c r="B3753" s="1" t="n">
        <v>45265</v>
      </c>
      <c r="C3753" s="1" t="n">
        <v>45358</v>
      </c>
      <c r="D3753" t="inlineStr">
        <is>
          <t>HALLANDS LÄN</t>
        </is>
      </c>
      <c r="E3753" t="inlineStr">
        <is>
          <t>KUNGSBACKA</t>
        </is>
      </c>
      <c r="G3753" t="n">
        <v>2.5</v>
      </c>
      <c r="H3753" t="n">
        <v>0</v>
      </c>
      <c r="I3753" t="n">
        <v>0</v>
      </c>
      <c r="J3753" t="n">
        <v>0</v>
      </c>
      <c r="K3753" t="n">
        <v>0</v>
      </c>
      <c r="L3753" t="n">
        <v>0</v>
      </c>
      <c r="M3753" t="n">
        <v>0</v>
      </c>
      <c r="N3753" t="n">
        <v>0</v>
      </c>
      <c r="O3753" t="n">
        <v>0</v>
      </c>
      <c r="P3753" t="n">
        <v>0</v>
      </c>
      <c r="Q3753" t="n">
        <v>0</v>
      </c>
      <c r="R3753" s="2" t="inlineStr"/>
    </row>
    <row r="3754" ht="15" customHeight="1">
      <c r="A3754" t="inlineStr">
        <is>
          <t>A 61853-2023</t>
        </is>
      </c>
      <c r="B3754" s="1" t="n">
        <v>45265</v>
      </c>
      <c r="C3754" s="1" t="n">
        <v>45358</v>
      </c>
      <c r="D3754" t="inlineStr">
        <is>
          <t>HALLANDS LÄN</t>
        </is>
      </c>
      <c r="E3754" t="inlineStr">
        <is>
          <t>HALMSTAD</t>
        </is>
      </c>
      <c r="G3754" t="n">
        <v>1.6</v>
      </c>
      <c r="H3754" t="n">
        <v>0</v>
      </c>
      <c r="I3754" t="n">
        <v>0</v>
      </c>
      <c r="J3754" t="n">
        <v>0</v>
      </c>
      <c r="K3754" t="n">
        <v>0</v>
      </c>
      <c r="L3754" t="n">
        <v>0</v>
      </c>
      <c r="M3754" t="n">
        <v>0</v>
      </c>
      <c r="N3754" t="n">
        <v>0</v>
      </c>
      <c r="O3754" t="n">
        <v>0</v>
      </c>
      <c r="P3754" t="n">
        <v>0</v>
      </c>
      <c r="Q3754" t="n">
        <v>0</v>
      </c>
      <c r="R3754" s="2" t="inlineStr"/>
    </row>
    <row r="3755" ht="15" customHeight="1">
      <c r="A3755" t="inlineStr">
        <is>
          <t>A 61540-2023</t>
        </is>
      </c>
      <c r="B3755" s="1" t="n">
        <v>45265</v>
      </c>
      <c r="C3755" s="1" t="n">
        <v>45358</v>
      </c>
      <c r="D3755" t="inlineStr">
        <is>
          <t>HALLANDS LÄN</t>
        </is>
      </c>
      <c r="E3755" t="inlineStr">
        <is>
          <t>HALMSTAD</t>
        </is>
      </c>
      <c r="G3755" t="n">
        <v>2.3</v>
      </c>
      <c r="H3755" t="n">
        <v>0</v>
      </c>
      <c r="I3755" t="n">
        <v>0</v>
      </c>
      <c r="J3755" t="n">
        <v>0</v>
      </c>
      <c r="K3755" t="n">
        <v>0</v>
      </c>
      <c r="L3755" t="n">
        <v>0</v>
      </c>
      <c r="M3755" t="n">
        <v>0</v>
      </c>
      <c r="N3755" t="n">
        <v>0</v>
      </c>
      <c r="O3755" t="n">
        <v>0</v>
      </c>
      <c r="P3755" t="n">
        <v>0</v>
      </c>
      <c r="Q3755" t="n">
        <v>0</v>
      </c>
      <c r="R3755" s="2" t="inlineStr"/>
    </row>
    <row r="3756" ht="15" customHeight="1">
      <c r="A3756" t="inlineStr">
        <is>
          <t>A 61739-2023</t>
        </is>
      </c>
      <c r="B3756" s="1" t="n">
        <v>45265</v>
      </c>
      <c r="C3756" s="1" t="n">
        <v>45358</v>
      </c>
      <c r="D3756" t="inlineStr">
        <is>
          <t>HALLANDS LÄN</t>
        </is>
      </c>
      <c r="E3756" t="inlineStr">
        <is>
          <t>KUNGSBACKA</t>
        </is>
      </c>
      <c r="G3756" t="n">
        <v>13.8</v>
      </c>
      <c r="H3756" t="n">
        <v>0</v>
      </c>
      <c r="I3756" t="n">
        <v>0</v>
      </c>
      <c r="J3756" t="n">
        <v>0</v>
      </c>
      <c r="K3756" t="n">
        <v>0</v>
      </c>
      <c r="L3756" t="n">
        <v>0</v>
      </c>
      <c r="M3756" t="n">
        <v>0</v>
      </c>
      <c r="N3756" t="n">
        <v>0</v>
      </c>
      <c r="O3756" t="n">
        <v>0</v>
      </c>
      <c r="P3756" t="n">
        <v>0</v>
      </c>
      <c r="Q3756" t="n">
        <v>0</v>
      </c>
      <c r="R3756" s="2" t="inlineStr"/>
    </row>
    <row r="3757" ht="15" customHeight="1">
      <c r="A3757" t="inlineStr">
        <is>
          <t>A 61676-2023</t>
        </is>
      </c>
      <c r="B3757" s="1" t="n">
        <v>45265</v>
      </c>
      <c r="C3757" s="1" t="n">
        <v>45358</v>
      </c>
      <c r="D3757" t="inlineStr">
        <is>
          <t>HALLANDS LÄN</t>
        </is>
      </c>
      <c r="E3757" t="inlineStr">
        <is>
          <t>HYLTE</t>
        </is>
      </c>
      <c r="G3757" t="n">
        <v>1.7</v>
      </c>
      <c r="H3757" t="n">
        <v>0</v>
      </c>
      <c r="I3757" t="n">
        <v>0</v>
      </c>
      <c r="J3757" t="n">
        <v>0</v>
      </c>
      <c r="K3757" t="n">
        <v>0</v>
      </c>
      <c r="L3757" t="n">
        <v>0</v>
      </c>
      <c r="M3757" t="n">
        <v>0</v>
      </c>
      <c r="N3757" t="n">
        <v>0</v>
      </c>
      <c r="O3757" t="n">
        <v>0</v>
      </c>
      <c r="P3757" t="n">
        <v>0</v>
      </c>
      <c r="Q3757" t="n">
        <v>0</v>
      </c>
      <c r="R3757" s="2" t="inlineStr"/>
    </row>
    <row r="3758" ht="15" customHeight="1">
      <c r="A3758" t="inlineStr">
        <is>
          <t>A 61683-2023</t>
        </is>
      </c>
      <c r="B3758" s="1" t="n">
        <v>45265</v>
      </c>
      <c r="C3758" s="1" t="n">
        <v>45358</v>
      </c>
      <c r="D3758" t="inlineStr">
        <is>
          <t>HALLANDS LÄN</t>
        </is>
      </c>
      <c r="E3758" t="inlineStr">
        <is>
          <t>HYLTE</t>
        </is>
      </c>
      <c r="G3758" t="n">
        <v>1.3</v>
      </c>
      <c r="H3758" t="n">
        <v>0</v>
      </c>
      <c r="I3758" t="n">
        <v>0</v>
      </c>
      <c r="J3758" t="n">
        <v>0</v>
      </c>
      <c r="K3758" t="n">
        <v>0</v>
      </c>
      <c r="L3758" t="n">
        <v>0</v>
      </c>
      <c r="M3758" t="n">
        <v>0</v>
      </c>
      <c r="N3758" t="n">
        <v>0</v>
      </c>
      <c r="O3758" t="n">
        <v>0</v>
      </c>
      <c r="P3758" t="n">
        <v>0</v>
      </c>
      <c r="Q3758" t="n">
        <v>0</v>
      </c>
      <c r="R3758" s="2" t="inlineStr"/>
    </row>
    <row r="3759" ht="15" customHeight="1">
      <c r="A3759" t="inlineStr">
        <is>
          <t>A 61744-2023</t>
        </is>
      </c>
      <c r="B3759" s="1" t="n">
        <v>45265</v>
      </c>
      <c r="C3759" s="1" t="n">
        <v>45358</v>
      </c>
      <c r="D3759" t="inlineStr">
        <is>
          <t>HALLANDS LÄN</t>
        </is>
      </c>
      <c r="E3759" t="inlineStr">
        <is>
          <t>KUNGSBACKA</t>
        </is>
      </c>
      <c r="G3759" t="n">
        <v>5.5</v>
      </c>
      <c r="H3759" t="n">
        <v>0</v>
      </c>
      <c r="I3759" t="n">
        <v>0</v>
      </c>
      <c r="J3759" t="n">
        <v>0</v>
      </c>
      <c r="K3759" t="n">
        <v>0</v>
      </c>
      <c r="L3759" t="n">
        <v>0</v>
      </c>
      <c r="M3759" t="n">
        <v>0</v>
      </c>
      <c r="N3759" t="n">
        <v>0</v>
      </c>
      <c r="O3759" t="n">
        <v>0</v>
      </c>
      <c r="P3759" t="n">
        <v>0</v>
      </c>
      <c r="Q3759" t="n">
        <v>0</v>
      </c>
      <c r="R3759" s="2" t="inlineStr"/>
    </row>
    <row r="3760" ht="15" customHeight="1">
      <c r="A3760" t="inlineStr">
        <is>
          <t>A 61888-2023</t>
        </is>
      </c>
      <c r="B3760" s="1" t="n">
        <v>45266</v>
      </c>
      <c r="C3760" s="1" t="n">
        <v>45358</v>
      </c>
      <c r="D3760" t="inlineStr">
        <is>
          <t>HALLANDS LÄN</t>
        </is>
      </c>
      <c r="E3760" t="inlineStr">
        <is>
          <t>FALKENBERG</t>
        </is>
      </c>
      <c r="G3760" t="n">
        <v>1.2</v>
      </c>
      <c r="H3760" t="n">
        <v>0</v>
      </c>
      <c r="I3760" t="n">
        <v>0</v>
      </c>
      <c r="J3760" t="n">
        <v>0</v>
      </c>
      <c r="K3760" t="n">
        <v>0</v>
      </c>
      <c r="L3760" t="n">
        <v>0</v>
      </c>
      <c r="M3760" t="n">
        <v>0</v>
      </c>
      <c r="N3760" t="n">
        <v>0</v>
      </c>
      <c r="O3760" t="n">
        <v>0</v>
      </c>
      <c r="P3760" t="n">
        <v>0</v>
      </c>
      <c r="Q3760" t="n">
        <v>0</v>
      </c>
      <c r="R3760" s="2" t="inlineStr"/>
    </row>
    <row r="3761" ht="15" customHeight="1">
      <c r="A3761" t="inlineStr">
        <is>
          <t>A 61835-2023</t>
        </is>
      </c>
      <c r="B3761" s="1" t="n">
        <v>45266</v>
      </c>
      <c r="C3761" s="1" t="n">
        <v>45358</v>
      </c>
      <c r="D3761" t="inlineStr">
        <is>
          <t>HALLANDS LÄN</t>
        </is>
      </c>
      <c r="E3761" t="inlineStr">
        <is>
          <t>HALMSTAD</t>
        </is>
      </c>
      <c r="G3761" t="n">
        <v>12</v>
      </c>
      <c r="H3761" t="n">
        <v>0</v>
      </c>
      <c r="I3761" t="n">
        <v>0</v>
      </c>
      <c r="J3761" t="n">
        <v>0</v>
      </c>
      <c r="K3761" t="n">
        <v>0</v>
      </c>
      <c r="L3761" t="n">
        <v>0</v>
      </c>
      <c r="M3761" t="n">
        <v>0</v>
      </c>
      <c r="N3761" t="n">
        <v>0</v>
      </c>
      <c r="O3761" t="n">
        <v>0</v>
      </c>
      <c r="P3761" t="n">
        <v>0</v>
      </c>
      <c r="Q3761" t="n">
        <v>0</v>
      </c>
      <c r="R3761" s="2" t="inlineStr"/>
    </row>
    <row r="3762" ht="15" customHeight="1">
      <c r="A3762" t="inlineStr">
        <is>
          <t>A 61896-2023</t>
        </is>
      </c>
      <c r="B3762" s="1" t="n">
        <v>45266</v>
      </c>
      <c r="C3762" s="1" t="n">
        <v>45358</v>
      </c>
      <c r="D3762" t="inlineStr">
        <is>
          <t>HALLANDS LÄN</t>
        </is>
      </c>
      <c r="E3762" t="inlineStr">
        <is>
          <t>FALKENBERG</t>
        </is>
      </c>
      <c r="G3762" t="n">
        <v>3.7</v>
      </c>
      <c r="H3762" t="n">
        <v>0</v>
      </c>
      <c r="I3762" t="n">
        <v>0</v>
      </c>
      <c r="J3762" t="n">
        <v>0</v>
      </c>
      <c r="K3762" t="n">
        <v>0</v>
      </c>
      <c r="L3762" t="n">
        <v>0</v>
      </c>
      <c r="M3762" t="n">
        <v>0</v>
      </c>
      <c r="N3762" t="n">
        <v>0</v>
      </c>
      <c r="O3762" t="n">
        <v>0</v>
      </c>
      <c r="P3762" t="n">
        <v>0</v>
      </c>
      <c r="Q3762" t="n">
        <v>0</v>
      </c>
      <c r="R3762" s="2" t="inlineStr"/>
    </row>
    <row r="3763" ht="15" customHeight="1">
      <c r="A3763" t="inlineStr">
        <is>
          <t>A 61889-2023</t>
        </is>
      </c>
      <c r="B3763" s="1" t="n">
        <v>45266</v>
      </c>
      <c r="C3763" s="1" t="n">
        <v>45358</v>
      </c>
      <c r="D3763" t="inlineStr">
        <is>
          <t>HALLANDS LÄN</t>
        </is>
      </c>
      <c r="E3763" t="inlineStr">
        <is>
          <t>FALKENBERG</t>
        </is>
      </c>
      <c r="G3763" t="n">
        <v>1.1</v>
      </c>
      <c r="H3763" t="n">
        <v>0</v>
      </c>
      <c r="I3763" t="n">
        <v>0</v>
      </c>
      <c r="J3763" t="n">
        <v>0</v>
      </c>
      <c r="K3763" t="n">
        <v>0</v>
      </c>
      <c r="L3763" t="n">
        <v>0</v>
      </c>
      <c r="M3763" t="n">
        <v>0</v>
      </c>
      <c r="N3763" t="n">
        <v>0</v>
      </c>
      <c r="O3763" t="n">
        <v>0</v>
      </c>
      <c r="P3763" t="n">
        <v>0</v>
      </c>
      <c r="Q3763" t="n">
        <v>0</v>
      </c>
      <c r="R3763" s="2" t="inlineStr"/>
    </row>
    <row r="3764" ht="15" customHeight="1">
      <c r="A3764" t="inlineStr">
        <is>
          <t>A 61868-2023</t>
        </is>
      </c>
      <c r="B3764" s="1" t="n">
        <v>45266</v>
      </c>
      <c r="C3764" s="1" t="n">
        <v>45358</v>
      </c>
      <c r="D3764" t="inlineStr">
        <is>
          <t>HALLANDS LÄN</t>
        </is>
      </c>
      <c r="E3764" t="inlineStr">
        <is>
          <t>FALKENBERG</t>
        </is>
      </c>
      <c r="G3764" t="n">
        <v>1.6</v>
      </c>
      <c r="H3764" t="n">
        <v>0</v>
      </c>
      <c r="I3764" t="n">
        <v>0</v>
      </c>
      <c r="J3764" t="n">
        <v>0</v>
      </c>
      <c r="K3764" t="n">
        <v>0</v>
      </c>
      <c r="L3764" t="n">
        <v>0</v>
      </c>
      <c r="M3764" t="n">
        <v>0</v>
      </c>
      <c r="N3764" t="n">
        <v>0</v>
      </c>
      <c r="O3764" t="n">
        <v>0</v>
      </c>
      <c r="P3764" t="n">
        <v>0</v>
      </c>
      <c r="Q3764" t="n">
        <v>0</v>
      </c>
      <c r="R3764" s="2" t="inlineStr"/>
    </row>
    <row r="3765" ht="15" customHeight="1">
      <c r="A3765" t="inlineStr">
        <is>
          <t>A 62159-2023</t>
        </is>
      </c>
      <c r="B3765" s="1" t="n">
        <v>45267</v>
      </c>
      <c r="C3765" s="1" t="n">
        <v>45358</v>
      </c>
      <c r="D3765" t="inlineStr">
        <is>
          <t>HALLANDS LÄN</t>
        </is>
      </c>
      <c r="E3765" t="inlineStr">
        <is>
          <t>HYLTE</t>
        </is>
      </c>
      <c r="G3765" t="n">
        <v>3.2</v>
      </c>
      <c r="H3765" t="n">
        <v>0</v>
      </c>
      <c r="I3765" t="n">
        <v>0</v>
      </c>
      <c r="J3765" t="n">
        <v>0</v>
      </c>
      <c r="K3765" t="n">
        <v>0</v>
      </c>
      <c r="L3765" t="n">
        <v>0</v>
      </c>
      <c r="M3765" t="n">
        <v>0</v>
      </c>
      <c r="N3765" t="n">
        <v>0</v>
      </c>
      <c r="O3765" t="n">
        <v>0</v>
      </c>
      <c r="P3765" t="n">
        <v>0</v>
      </c>
      <c r="Q3765" t="n">
        <v>0</v>
      </c>
      <c r="R3765" s="2" t="inlineStr"/>
    </row>
    <row r="3766" ht="15" customHeight="1">
      <c r="A3766" t="inlineStr">
        <is>
          <t>A 62184-2023</t>
        </is>
      </c>
      <c r="B3766" s="1" t="n">
        <v>45267</v>
      </c>
      <c r="C3766" s="1" t="n">
        <v>45358</v>
      </c>
      <c r="D3766" t="inlineStr">
        <is>
          <t>HALLANDS LÄN</t>
        </is>
      </c>
      <c r="E3766" t="inlineStr">
        <is>
          <t>LAHOLM</t>
        </is>
      </c>
      <c r="G3766" t="n">
        <v>0.6</v>
      </c>
      <c r="H3766" t="n">
        <v>0</v>
      </c>
      <c r="I3766" t="n">
        <v>0</v>
      </c>
      <c r="J3766" t="n">
        <v>0</v>
      </c>
      <c r="K3766" t="n">
        <v>0</v>
      </c>
      <c r="L3766" t="n">
        <v>0</v>
      </c>
      <c r="M3766" t="n">
        <v>0</v>
      </c>
      <c r="N3766" t="n">
        <v>0</v>
      </c>
      <c r="O3766" t="n">
        <v>0</v>
      </c>
      <c r="P3766" t="n">
        <v>0</v>
      </c>
      <c r="Q3766" t="n">
        <v>0</v>
      </c>
      <c r="R3766" s="2" t="inlineStr"/>
    </row>
    <row r="3767" ht="15" customHeight="1">
      <c r="A3767" t="inlineStr">
        <is>
          <t>A 62125-2023</t>
        </is>
      </c>
      <c r="B3767" s="1" t="n">
        <v>45267</v>
      </c>
      <c r="C3767" s="1" t="n">
        <v>45358</v>
      </c>
      <c r="D3767" t="inlineStr">
        <is>
          <t>HALLANDS LÄN</t>
        </is>
      </c>
      <c r="E3767" t="inlineStr">
        <is>
          <t>FALKENBERG</t>
        </is>
      </c>
      <c r="G3767" t="n">
        <v>2.9</v>
      </c>
      <c r="H3767" t="n">
        <v>0</v>
      </c>
      <c r="I3767" t="n">
        <v>0</v>
      </c>
      <c r="J3767" t="n">
        <v>0</v>
      </c>
      <c r="K3767" t="n">
        <v>0</v>
      </c>
      <c r="L3767" t="n">
        <v>0</v>
      </c>
      <c r="M3767" t="n">
        <v>0</v>
      </c>
      <c r="N3767" t="n">
        <v>0</v>
      </c>
      <c r="O3767" t="n">
        <v>0</v>
      </c>
      <c r="P3767" t="n">
        <v>0</v>
      </c>
      <c r="Q3767" t="n">
        <v>0</v>
      </c>
      <c r="R3767" s="2" t="inlineStr"/>
    </row>
    <row r="3768" ht="15" customHeight="1">
      <c r="A3768" t="inlineStr">
        <is>
          <t>A 62167-2023</t>
        </is>
      </c>
      <c r="B3768" s="1" t="n">
        <v>45267</v>
      </c>
      <c r="C3768" s="1" t="n">
        <v>45358</v>
      </c>
      <c r="D3768" t="inlineStr">
        <is>
          <t>HALLANDS LÄN</t>
        </is>
      </c>
      <c r="E3768" t="inlineStr">
        <is>
          <t>LAHOLM</t>
        </is>
      </c>
      <c r="G3768" t="n">
        <v>2.5</v>
      </c>
      <c r="H3768" t="n">
        <v>0</v>
      </c>
      <c r="I3768" t="n">
        <v>0</v>
      </c>
      <c r="J3768" t="n">
        <v>0</v>
      </c>
      <c r="K3768" t="n">
        <v>0</v>
      </c>
      <c r="L3768" t="n">
        <v>0</v>
      </c>
      <c r="M3768" t="n">
        <v>0</v>
      </c>
      <c r="N3768" t="n">
        <v>0</v>
      </c>
      <c r="O3768" t="n">
        <v>0</v>
      </c>
      <c r="P3768" t="n">
        <v>0</v>
      </c>
      <c r="Q3768" t="n">
        <v>0</v>
      </c>
      <c r="R3768" s="2" t="inlineStr"/>
    </row>
    <row r="3769" ht="15" customHeight="1">
      <c r="A3769" t="inlineStr">
        <is>
          <t>A 62181-2023</t>
        </is>
      </c>
      <c r="B3769" s="1" t="n">
        <v>45267</v>
      </c>
      <c r="C3769" s="1" t="n">
        <v>45358</v>
      </c>
      <c r="D3769" t="inlineStr">
        <is>
          <t>HALLANDS LÄN</t>
        </is>
      </c>
      <c r="E3769" t="inlineStr">
        <is>
          <t>LAHOLM</t>
        </is>
      </c>
      <c r="G3769" t="n">
        <v>2.9</v>
      </c>
      <c r="H3769" t="n">
        <v>0</v>
      </c>
      <c r="I3769" t="n">
        <v>0</v>
      </c>
      <c r="J3769" t="n">
        <v>0</v>
      </c>
      <c r="K3769" t="n">
        <v>0</v>
      </c>
      <c r="L3769" t="n">
        <v>0</v>
      </c>
      <c r="M3769" t="n">
        <v>0</v>
      </c>
      <c r="N3769" t="n">
        <v>0</v>
      </c>
      <c r="O3769" t="n">
        <v>0</v>
      </c>
      <c r="P3769" t="n">
        <v>0</v>
      </c>
      <c r="Q3769" t="n">
        <v>0</v>
      </c>
      <c r="R3769" s="2" t="inlineStr"/>
    </row>
    <row r="3770" ht="15" customHeight="1">
      <c r="A3770" t="inlineStr">
        <is>
          <t>A 62131-2023</t>
        </is>
      </c>
      <c r="B3770" s="1" t="n">
        <v>45267</v>
      </c>
      <c r="C3770" s="1" t="n">
        <v>45358</v>
      </c>
      <c r="D3770" t="inlineStr">
        <is>
          <t>HALLANDS LÄN</t>
        </is>
      </c>
      <c r="E3770" t="inlineStr">
        <is>
          <t>HALMSTAD</t>
        </is>
      </c>
      <c r="G3770" t="n">
        <v>1.1</v>
      </c>
      <c r="H3770" t="n">
        <v>0</v>
      </c>
      <c r="I3770" t="n">
        <v>0</v>
      </c>
      <c r="J3770" t="n">
        <v>0</v>
      </c>
      <c r="K3770" t="n">
        <v>0</v>
      </c>
      <c r="L3770" t="n">
        <v>0</v>
      </c>
      <c r="M3770" t="n">
        <v>0</v>
      </c>
      <c r="N3770" t="n">
        <v>0</v>
      </c>
      <c r="O3770" t="n">
        <v>0</v>
      </c>
      <c r="P3770" t="n">
        <v>0</v>
      </c>
      <c r="Q3770" t="n">
        <v>0</v>
      </c>
      <c r="R3770" s="2" t="inlineStr"/>
    </row>
    <row r="3771" ht="15" customHeight="1">
      <c r="A3771" t="inlineStr">
        <is>
          <t>A 62170-2023</t>
        </is>
      </c>
      <c r="B3771" s="1" t="n">
        <v>45267</v>
      </c>
      <c r="C3771" s="1" t="n">
        <v>45358</v>
      </c>
      <c r="D3771" t="inlineStr">
        <is>
          <t>HALLANDS LÄN</t>
        </is>
      </c>
      <c r="E3771" t="inlineStr">
        <is>
          <t>HALMSTAD</t>
        </is>
      </c>
      <c r="G3771" t="n">
        <v>1.1</v>
      </c>
      <c r="H3771" t="n">
        <v>0</v>
      </c>
      <c r="I3771" t="n">
        <v>0</v>
      </c>
      <c r="J3771" t="n">
        <v>0</v>
      </c>
      <c r="K3771" t="n">
        <v>0</v>
      </c>
      <c r="L3771" t="n">
        <v>0</v>
      </c>
      <c r="M3771" t="n">
        <v>0</v>
      </c>
      <c r="N3771" t="n">
        <v>0</v>
      </c>
      <c r="O3771" t="n">
        <v>0</v>
      </c>
      <c r="P3771" t="n">
        <v>0</v>
      </c>
      <c r="Q3771" t="n">
        <v>0</v>
      </c>
      <c r="R3771" s="2" t="inlineStr"/>
    </row>
    <row r="3772" ht="15" customHeight="1">
      <c r="A3772" t="inlineStr">
        <is>
          <t>A 62187-2023</t>
        </is>
      </c>
      <c r="B3772" s="1" t="n">
        <v>45267</v>
      </c>
      <c r="C3772" s="1" t="n">
        <v>45358</v>
      </c>
      <c r="D3772" t="inlineStr">
        <is>
          <t>HALLANDS LÄN</t>
        </is>
      </c>
      <c r="E3772" t="inlineStr">
        <is>
          <t>HALMSTAD</t>
        </is>
      </c>
      <c r="G3772" t="n">
        <v>1.7</v>
      </c>
      <c r="H3772" t="n">
        <v>0</v>
      </c>
      <c r="I3772" t="n">
        <v>0</v>
      </c>
      <c r="J3772" t="n">
        <v>0</v>
      </c>
      <c r="K3772" t="n">
        <v>0</v>
      </c>
      <c r="L3772" t="n">
        <v>0</v>
      </c>
      <c r="M3772" t="n">
        <v>0</v>
      </c>
      <c r="N3772" t="n">
        <v>0</v>
      </c>
      <c r="O3772" t="n">
        <v>0</v>
      </c>
      <c r="P3772" t="n">
        <v>0</v>
      </c>
      <c r="Q3772" t="n">
        <v>0</v>
      </c>
      <c r="R3772" s="2" t="inlineStr"/>
    </row>
    <row r="3773" ht="15" customHeight="1">
      <c r="A3773" t="inlineStr">
        <is>
          <t>A 62426-2023</t>
        </is>
      </c>
      <c r="B3773" s="1" t="n">
        <v>45268</v>
      </c>
      <c r="C3773" s="1" t="n">
        <v>45358</v>
      </c>
      <c r="D3773" t="inlineStr">
        <is>
          <t>HALLANDS LÄN</t>
        </is>
      </c>
      <c r="E3773" t="inlineStr">
        <is>
          <t>HALMSTAD</t>
        </is>
      </c>
      <c r="G3773" t="n">
        <v>4.9</v>
      </c>
      <c r="H3773" t="n">
        <v>0</v>
      </c>
      <c r="I3773" t="n">
        <v>0</v>
      </c>
      <c r="J3773" t="n">
        <v>0</v>
      </c>
      <c r="K3773" t="n">
        <v>0</v>
      </c>
      <c r="L3773" t="n">
        <v>0</v>
      </c>
      <c r="M3773" t="n">
        <v>0</v>
      </c>
      <c r="N3773" t="n">
        <v>0</v>
      </c>
      <c r="O3773" t="n">
        <v>0</v>
      </c>
      <c r="P3773" t="n">
        <v>0</v>
      </c>
      <c r="Q3773" t="n">
        <v>0</v>
      </c>
      <c r="R3773" s="2" t="inlineStr"/>
    </row>
    <row r="3774" ht="15" customHeight="1">
      <c r="A3774" t="inlineStr">
        <is>
          <t>A 62766-2023</t>
        </is>
      </c>
      <c r="B3774" s="1" t="n">
        <v>45268</v>
      </c>
      <c r="C3774" s="1" t="n">
        <v>45358</v>
      </c>
      <c r="D3774" t="inlineStr">
        <is>
          <t>HALLANDS LÄN</t>
        </is>
      </c>
      <c r="E3774" t="inlineStr">
        <is>
          <t>HALMSTAD</t>
        </is>
      </c>
      <c r="F3774" t="inlineStr">
        <is>
          <t>Sveaskog</t>
        </is>
      </c>
      <c r="G3774" t="n">
        <v>7.8</v>
      </c>
      <c r="H3774" t="n">
        <v>0</v>
      </c>
      <c r="I3774" t="n">
        <v>0</v>
      </c>
      <c r="J3774" t="n">
        <v>0</v>
      </c>
      <c r="K3774" t="n">
        <v>0</v>
      </c>
      <c r="L3774" t="n">
        <v>0</v>
      </c>
      <c r="M3774" t="n">
        <v>0</v>
      </c>
      <c r="N3774" t="n">
        <v>0</v>
      </c>
      <c r="O3774" t="n">
        <v>0</v>
      </c>
      <c r="P3774" t="n">
        <v>0</v>
      </c>
      <c r="Q3774" t="n">
        <v>0</v>
      </c>
      <c r="R3774" s="2" t="inlineStr"/>
    </row>
    <row r="3775" ht="15" customHeight="1">
      <c r="A3775" t="inlineStr">
        <is>
          <t>A 62486-2023</t>
        </is>
      </c>
      <c r="B3775" s="1" t="n">
        <v>45268</v>
      </c>
      <c r="C3775" s="1" t="n">
        <v>45358</v>
      </c>
      <c r="D3775" t="inlineStr">
        <is>
          <t>HALLANDS LÄN</t>
        </is>
      </c>
      <c r="E3775" t="inlineStr">
        <is>
          <t>FALKENBERG</t>
        </is>
      </c>
      <c r="G3775" t="n">
        <v>2.7</v>
      </c>
      <c r="H3775" t="n">
        <v>0</v>
      </c>
      <c r="I3775" t="n">
        <v>0</v>
      </c>
      <c r="J3775" t="n">
        <v>0</v>
      </c>
      <c r="K3775" t="n">
        <v>0</v>
      </c>
      <c r="L3775" t="n">
        <v>0</v>
      </c>
      <c r="M3775" t="n">
        <v>0</v>
      </c>
      <c r="N3775" t="n">
        <v>0</v>
      </c>
      <c r="O3775" t="n">
        <v>0</v>
      </c>
      <c r="P3775" t="n">
        <v>0</v>
      </c>
      <c r="Q3775" t="n">
        <v>0</v>
      </c>
      <c r="R3775" s="2" t="inlineStr"/>
    </row>
    <row r="3776" ht="15" customHeight="1">
      <c r="A3776" t="inlineStr">
        <is>
          <t>A 62441-2023</t>
        </is>
      </c>
      <c r="B3776" s="1" t="n">
        <v>45268</v>
      </c>
      <c r="C3776" s="1" t="n">
        <v>45358</v>
      </c>
      <c r="D3776" t="inlineStr">
        <is>
          <t>HALLANDS LÄN</t>
        </is>
      </c>
      <c r="E3776" t="inlineStr">
        <is>
          <t>HYLTE</t>
        </is>
      </c>
      <c r="G3776" t="n">
        <v>0.8</v>
      </c>
      <c r="H3776" t="n">
        <v>0</v>
      </c>
      <c r="I3776" t="n">
        <v>0</v>
      </c>
      <c r="J3776" t="n">
        <v>0</v>
      </c>
      <c r="K3776" t="n">
        <v>0</v>
      </c>
      <c r="L3776" t="n">
        <v>0</v>
      </c>
      <c r="M3776" t="n">
        <v>0</v>
      </c>
      <c r="N3776" t="n">
        <v>0</v>
      </c>
      <c r="O3776" t="n">
        <v>0</v>
      </c>
      <c r="P3776" t="n">
        <v>0</v>
      </c>
      <c r="Q3776" t="n">
        <v>0</v>
      </c>
      <c r="R3776" s="2" t="inlineStr"/>
    </row>
    <row r="3777" ht="15" customHeight="1">
      <c r="A3777" t="inlineStr">
        <is>
          <t>A 62684-2023</t>
        </is>
      </c>
      <c r="B3777" s="1" t="n">
        <v>45268</v>
      </c>
      <c r="C3777" s="1" t="n">
        <v>45358</v>
      </c>
      <c r="D3777" t="inlineStr">
        <is>
          <t>HALLANDS LÄN</t>
        </is>
      </c>
      <c r="E3777" t="inlineStr">
        <is>
          <t>LAHOLM</t>
        </is>
      </c>
      <c r="G3777" t="n">
        <v>0.5</v>
      </c>
      <c r="H3777" t="n">
        <v>0</v>
      </c>
      <c r="I3777" t="n">
        <v>0</v>
      </c>
      <c r="J3777" t="n">
        <v>0</v>
      </c>
      <c r="K3777" t="n">
        <v>0</v>
      </c>
      <c r="L3777" t="n">
        <v>0</v>
      </c>
      <c r="M3777" t="n">
        <v>0</v>
      </c>
      <c r="N3777" t="n">
        <v>0</v>
      </c>
      <c r="O3777" t="n">
        <v>0</v>
      </c>
      <c r="P3777" t="n">
        <v>0</v>
      </c>
      <c r="Q3777" t="n">
        <v>0</v>
      </c>
      <c r="R3777" s="2" t="inlineStr"/>
    </row>
    <row r="3778" ht="15" customHeight="1">
      <c r="A3778" t="inlineStr">
        <is>
          <t>A 62472-2023</t>
        </is>
      </c>
      <c r="B3778" s="1" t="n">
        <v>45268</v>
      </c>
      <c r="C3778" s="1" t="n">
        <v>45358</v>
      </c>
      <c r="D3778" t="inlineStr">
        <is>
          <t>HALLANDS LÄN</t>
        </is>
      </c>
      <c r="E3778" t="inlineStr">
        <is>
          <t>HYLTE</t>
        </is>
      </c>
      <c r="G3778" t="n">
        <v>0.9</v>
      </c>
      <c r="H3778" t="n">
        <v>0</v>
      </c>
      <c r="I3778" t="n">
        <v>0</v>
      </c>
      <c r="J3778" t="n">
        <v>0</v>
      </c>
      <c r="K3778" t="n">
        <v>0</v>
      </c>
      <c r="L3778" t="n">
        <v>0</v>
      </c>
      <c r="M3778" t="n">
        <v>0</v>
      </c>
      <c r="N3778" t="n">
        <v>0</v>
      </c>
      <c r="O3778" t="n">
        <v>0</v>
      </c>
      <c r="P3778" t="n">
        <v>0</v>
      </c>
      <c r="Q3778" t="n">
        <v>0</v>
      </c>
      <c r="R3778" s="2" t="inlineStr"/>
    </row>
    <row r="3779" ht="15" customHeight="1">
      <c r="A3779" t="inlineStr">
        <is>
          <t>A 62408-2023</t>
        </is>
      </c>
      <c r="B3779" s="1" t="n">
        <v>45268</v>
      </c>
      <c r="C3779" s="1" t="n">
        <v>45358</v>
      </c>
      <c r="D3779" t="inlineStr">
        <is>
          <t>HALLANDS LÄN</t>
        </is>
      </c>
      <c r="E3779" t="inlineStr">
        <is>
          <t>VARBERG</t>
        </is>
      </c>
      <c r="G3779" t="n">
        <v>1</v>
      </c>
      <c r="H3779" t="n">
        <v>0</v>
      </c>
      <c r="I3779" t="n">
        <v>0</v>
      </c>
      <c r="J3779" t="n">
        <v>0</v>
      </c>
      <c r="K3779" t="n">
        <v>0</v>
      </c>
      <c r="L3779" t="n">
        <v>0</v>
      </c>
      <c r="M3779" t="n">
        <v>0</v>
      </c>
      <c r="N3779" t="n">
        <v>0</v>
      </c>
      <c r="O3779" t="n">
        <v>0</v>
      </c>
      <c r="P3779" t="n">
        <v>0</v>
      </c>
      <c r="Q3779" t="n">
        <v>0</v>
      </c>
      <c r="R3779" s="2" t="inlineStr"/>
    </row>
    <row r="3780" ht="15" customHeight="1">
      <c r="A3780" t="inlineStr">
        <is>
          <t>A 62688-2023</t>
        </is>
      </c>
      <c r="B3780" s="1" t="n">
        <v>45268</v>
      </c>
      <c r="C3780" s="1" t="n">
        <v>45358</v>
      </c>
      <c r="D3780" t="inlineStr">
        <is>
          <t>HALLANDS LÄN</t>
        </is>
      </c>
      <c r="E3780" t="inlineStr">
        <is>
          <t>LAHOLM</t>
        </is>
      </c>
      <c r="G3780" t="n">
        <v>0.7</v>
      </c>
      <c r="H3780" t="n">
        <v>0</v>
      </c>
      <c r="I3780" t="n">
        <v>0</v>
      </c>
      <c r="J3780" t="n">
        <v>0</v>
      </c>
      <c r="K3780" t="n">
        <v>0</v>
      </c>
      <c r="L3780" t="n">
        <v>0</v>
      </c>
      <c r="M3780" t="n">
        <v>0</v>
      </c>
      <c r="N3780" t="n">
        <v>0</v>
      </c>
      <c r="O3780" t="n">
        <v>0</v>
      </c>
      <c r="P3780" t="n">
        <v>0</v>
      </c>
      <c r="Q3780" t="n">
        <v>0</v>
      </c>
      <c r="R3780" s="2" t="inlineStr"/>
    </row>
    <row r="3781" ht="15" customHeight="1">
      <c r="A3781" t="inlineStr">
        <is>
          <t>A 62582-2023</t>
        </is>
      </c>
      <c r="B3781" s="1" t="n">
        <v>45270</v>
      </c>
      <c r="C3781" s="1" t="n">
        <v>45358</v>
      </c>
      <c r="D3781" t="inlineStr">
        <is>
          <t>HALLANDS LÄN</t>
        </is>
      </c>
      <c r="E3781" t="inlineStr">
        <is>
          <t>FALKENBERG</t>
        </is>
      </c>
      <c r="G3781" t="n">
        <v>1.6</v>
      </c>
      <c r="H3781" t="n">
        <v>0</v>
      </c>
      <c r="I3781" t="n">
        <v>0</v>
      </c>
      <c r="J3781" t="n">
        <v>0</v>
      </c>
      <c r="K3781" t="n">
        <v>0</v>
      </c>
      <c r="L3781" t="n">
        <v>0</v>
      </c>
      <c r="M3781" t="n">
        <v>0</v>
      </c>
      <c r="N3781" t="n">
        <v>0</v>
      </c>
      <c r="O3781" t="n">
        <v>0</v>
      </c>
      <c r="P3781" t="n">
        <v>0</v>
      </c>
      <c r="Q3781" t="n">
        <v>0</v>
      </c>
      <c r="R3781" s="2" t="inlineStr"/>
    </row>
    <row r="3782" ht="15" customHeight="1">
      <c r="A3782" t="inlineStr">
        <is>
          <t>A 62655-2023</t>
        </is>
      </c>
      <c r="B3782" s="1" t="n">
        <v>45271</v>
      </c>
      <c r="C3782" s="1" t="n">
        <v>45358</v>
      </c>
      <c r="D3782" t="inlineStr">
        <is>
          <t>HALLANDS LÄN</t>
        </is>
      </c>
      <c r="E3782" t="inlineStr">
        <is>
          <t>VARBERG</t>
        </is>
      </c>
      <c r="G3782" t="n">
        <v>2.3</v>
      </c>
      <c r="H3782" t="n">
        <v>0</v>
      </c>
      <c r="I3782" t="n">
        <v>0</v>
      </c>
      <c r="J3782" t="n">
        <v>0</v>
      </c>
      <c r="K3782" t="n">
        <v>0</v>
      </c>
      <c r="L3782" t="n">
        <v>0</v>
      </c>
      <c r="M3782" t="n">
        <v>0</v>
      </c>
      <c r="N3782" t="n">
        <v>0</v>
      </c>
      <c r="O3782" t="n">
        <v>0</v>
      </c>
      <c r="P3782" t="n">
        <v>0</v>
      </c>
      <c r="Q3782" t="n">
        <v>0</v>
      </c>
      <c r="R3782" s="2" t="inlineStr"/>
    </row>
    <row r="3783" ht="15" customHeight="1">
      <c r="A3783" t="inlineStr">
        <is>
          <t>A 62621-2023</t>
        </is>
      </c>
      <c r="B3783" s="1" t="n">
        <v>45271</v>
      </c>
      <c r="C3783" s="1" t="n">
        <v>45358</v>
      </c>
      <c r="D3783" t="inlineStr">
        <is>
          <t>HALLANDS LÄN</t>
        </is>
      </c>
      <c r="E3783" t="inlineStr">
        <is>
          <t>VARBERG</t>
        </is>
      </c>
      <c r="G3783" t="n">
        <v>0.7</v>
      </c>
      <c r="H3783" t="n">
        <v>0</v>
      </c>
      <c r="I3783" t="n">
        <v>0</v>
      </c>
      <c r="J3783" t="n">
        <v>0</v>
      </c>
      <c r="K3783" t="n">
        <v>0</v>
      </c>
      <c r="L3783" t="n">
        <v>0</v>
      </c>
      <c r="M3783" t="n">
        <v>0</v>
      </c>
      <c r="N3783" t="n">
        <v>0</v>
      </c>
      <c r="O3783" t="n">
        <v>0</v>
      </c>
      <c r="P3783" t="n">
        <v>0</v>
      </c>
      <c r="Q3783" t="n">
        <v>0</v>
      </c>
      <c r="R3783" s="2" t="inlineStr"/>
    </row>
    <row r="3784" ht="15" customHeight="1">
      <c r="A3784" t="inlineStr">
        <is>
          <t>A 62648-2023</t>
        </is>
      </c>
      <c r="B3784" s="1" t="n">
        <v>45271</v>
      </c>
      <c r="C3784" s="1" t="n">
        <v>45358</v>
      </c>
      <c r="D3784" t="inlineStr">
        <is>
          <t>HALLANDS LÄN</t>
        </is>
      </c>
      <c r="E3784" t="inlineStr">
        <is>
          <t>FALKENBERG</t>
        </is>
      </c>
      <c r="G3784" t="n">
        <v>4.8</v>
      </c>
      <c r="H3784" t="n">
        <v>0</v>
      </c>
      <c r="I3784" t="n">
        <v>0</v>
      </c>
      <c r="J3784" t="n">
        <v>0</v>
      </c>
      <c r="K3784" t="n">
        <v>0</v>
      </c>
      <c r="L3784" t="n">
        <v>0</v>
      </c>
      <c r="M3784" t="n">
        <v>0</v>
      </c>
      <c r="N3784" t="n">
        <v>0</v>
      </c>
      <c r="O3784" t="n">
        <v>0</v>
      </c>
      <c r="P3784" t="n">
        <v>0</v>
      </c>
      <c r="Q3784" t="n">
        <v>0</v>
      </c>
      <c r="R3784" s="2" t="inlineStr"/>
    </row>
    <row r="3785" ht="15" customHeight="1">
      <c r="A3785" t="inlineStr">
        <is>
          <t>A 62740-2023</t>
        </is>
      </c>
      <c r="B3785" s="1" t="n">
        <v>45271</v>
      </c>
      <c r="C3785" s="1" t="n">
        <v>45358</v>
      </c>
      <c r="D3785" t="inlineStr">
        <is>
          <t>HALLANDS LÄN</t>
        </is>
      </c>
      <c r="E3785" t="inlineStr">
        <is>
          <t>VARBERG</t>
        </is>
      </c>
      <c r="G3785" t="n">
        <v>3</v>
      </c>
      <c r="H3785" t="n">
        <v>0</v>
      </c>
      <c r="I3785" t="n">
        <v>0</v>
      </c>
      <c r="J3785" t="n">
        <v>0</v>
      </c>
      <c r="K3785" t="n">
        <v>0</v>
      </c>
      <c r="L3785" t="n">
        <v>0</v>
      </c>
      <c r="M3785" t="n">
        <v>0</v>
      </c>
      <c r="N3785" t="n">
        <v>0</v>
      </c>
      <c r="O3785" t="n">
        <v>0</v>
      </c>
      <c r="P3785" t="n">
        <v>0</v>
      </c>
      <c r="Q3785" t="n">
        <v>0</v>
      </c>
      <c r="R3785" s="2" t="inlineStr"/>
    </row>
    <row r="3786" ht="15" customHeight="1">
      <c r="A3786" t="inlineStr">
        <is>
          <t>A 62712-2023</t>
        </is>
      </c>
      <c r="B3786" s="1" t="n">
        <v>45271</v>
      </c>
      <c r="C3786" s="1" t="n">
        <v>45358</v>
      </c>
      <c r="D3786" t="inlineStr">
        <is>
          <t>HALLANDS LÄN</t>
        </is>
      </c>
      <c r="E3786" t="inlineStr">
        <is>
          <t>FALKENBERG</t>
        </is>
      </c>
      <c r="G3786" t="n">
        <v>1.4</v>
      </c>
      <c r="H3786" t="n">
        <v>0</v>
      </c>
      <c r="I3786" t="n">
        <v>0</v>
      </c>
      <c r="J3786" t="n">
        <v>0</v>
      </c>
      <c r="K3786" t="n">
        <v>0</v>
      </c>
      <c r="L3786" t="n">
        <v>0</v>
      </c>
      <c r="M3786" t="n">
        <v>0</v>
      </c>
      <c r="N3786" t="n">
        <v>0</v>
      </c>
      <c r="O3786" t="n">
        <v>0</v>
      </c>
      <c r="P3786" t="n">
        <v>0</v>
      </c>
      <c r="Q3786" t="n">
        <v>0</v>
      </c>
      <c r="R3786" s="2" t="inlineStr"/>
    </row>
    <row r="3787" ht="15" customHeight="1">
      <c r="A3787" t="inlineStr">
        <is>
          <t>A 62753-2023</t>
        </is>
      </c>
      <c r="B3787" s="1" t="n">
        <v>45271</v>
      </c>
      <c r="C3787" s="1" t="n">
        <v>45358</v>
      </c>
      <c r="D3787" t="inlineStr">
        <is>
          <t>HALLANDS LÄN</t>
        </is>
      </c>
      <c r="E3787" t="inlineStr">
        <is>
          <t>HYLTE</t>
        </is>
      </c>
      <c r="G3787" t="n">
        <v>1.3</v>
      </c>
      <c r="H3787" t="n">
        <v>0</v>
      </c>
      <c r="I3787" t="n">
        <v>0</v>
      </c>
      <c r="J3787" t="n">
        <v>0</v>
      </c>
      <c r="K3787" t="n">
        <v>0</v>
      </c>
      <c r="L3787" t="n">
        <v>0</v>
      </c>
      <c r="M3787" t="n">
        <v>0</v>
      </c>
      <c r="N3787" t="n">
        <v>0</v>
      </c>
      <c r="O3787" t="n">
        <v>0</v>
      </c>
      <c r="P3787" t="n">
        <v>0</v>
      </c>
      <c r="Q3787" t="n">
        <v>0</v>
      </c>
      <c r="R3787" s="2" t="inlineStr"/>
    </row>
    <row r="3788" ht="15" customHeight="1">
      <c r="A3788" t="inlineStr">
        <is>
          <t>A 62791-2023</t>
        </is>
      </c>
      <c r="B3788" s="1" t="n">
        <v>45271</v>
      </c>
      <c r="C3788" s="1" t="n">
        <v>45358</v>
      </c>
      <c r="D3788" t="inlineStr">
        <is>
          <t>HALLANDS LÄN</t>
        </is>
      </c>
      <c r="E3788" t="inlineStr">
        <is>
          <t>VARBERG</t>
        </is>
      </c>
      <c r="G3788" t="n">
        <v>1.4</v>
      </c>
      <c r="H3788" t="n">
        <v>0</v>
      </c>
      <c r="I3788" t="n">
        <v>0</v>
      </c>
      <c r="J3788" t="n">
        <v>0</v>
      </c>
      <c r="K3788" t="n">
        <v>0</v>
      </c>
      <c r="L3788" t="n">
        <v>0</v>
      </c>
      <c r="M3788" t="n">
        <v>0</v>
      </c>
      <c r="N3788" t="n">
        <v>0</v>
      </c>
      <c r="O3788" t="n">
        <v>0</v>
      </c>
      <c r="P3788" t="n">
        <v>0</v>
      </c>
      <c r="Q3788" t="n">
        <v>0</v>
      </c>
      <c r="R3788" s="2" t="inlineStr"/>
    </row>
    <row r="3789" ht="15" customHeight="1">
      <c r="A3789" t="inlineStr">
        <is>
          <t>A 63008-2023</t>
        </is>
      </c>
      <c r="B3789" s="1" t="n">
        <v>45272</v>
      </c>
      <c r="C3789" s="1" t="n">
        <v>45358</v>
      </c>
      <c r="D3789" t="inlineStr">
        <is>
          <t>HALLANDS LÄN</t>
        </is>
      </c>
      <c r="E3789" t="inlineStr">
        <is>
          <t>HYLTE</t>
        </is>
      </c>
      <c r="G3789" t="n">
        <v>0.6</v>
      </c>
      <c r="H3789" t="n">
        <v>0</v>
      </c>
      <c r="I3789" t="n">
        <v>0</v>
      </c>
      <c r="J3789" t="n">
        <v>0</v>
      </c>
      <c r="K3789" t="n">
        <v>0</v>
      </c>
      <c r="L3789" t="n">
        <v>0</v>
      </c>
      <c r="M3789" t="n">
        <v>0</v>
      </c>
      <c r="N3789" t="n">
        <v>0</v>
      </c>
      <c r="O3789" t="n">
        <v>0</v>
      </c>
      <c r="P3789" t="n">
        <v>0</v>
      </c>
      <c r="Q3789" t="n">
        <v>0</v>
      </c>
      <c r="R3789" s="2" t="inlineStr"/>
    </row>
    <row r="3790" ht="15" customHeight="1">
      <c r="A3790" t="inlineStr">
        <is>
          <t>A 62942-2023</t>
        </is>
      </c>
      <c r="B3790" s="1" t="n">
        <v>45272</v>
      </c>
      <c r="C3790" s="1" t="n">
        <v>45358</v>
      </c>
      <c r="D3790" t="inlineStr">
        <is>
          <t>HALLANDS LÄN</t>
        </is>
      </c>
      <c r="E3790" t="inlineStr">
        <is>
          <t>VARBERG</t>
        </is>
      </c>
      <c r="G3790" t="n">
        <v>6.9</v>
      </c>
      <c r="H3790" t="n">
        <v>0</v>
      </c>
      <c r="I3790" t="n">
        <v>0</v>
      </c>
      <c r="J3790" t="n">
        <v>0</v>
      </c>
      <c r="K3790" t="n">
        <v>0</v>
      </c>
      <c r="L3790" t="n">
        <v>0</v>
      </c>
      <c r="M3790" t="n">
        <v>0</v>
      </c>
      <c r="N3790" t="n">
        <v>0</v>
      </c>
      <c r="O3790" t="n">
        <v>0</v>
      </c>
      <c r="P3790" t="n">
        <v>0</v>
      </c>
      <c r="Q3790" t="n">
        <v>0</v>
      </c>
      <c r="R3790" s="2" t="inlineStr"/>
    </row>
    <row r="3791" ht="15" customHeight="1">
      <c r="A3791" t="inlineStr">
        <is>
          <t>A 63033-2023</t>
        </is>
      </c>
      <c r="B3791" s="1" t="n">
        <v>45272</v>
      </c>
      <c r="C3791" s="1" t="n">
        <v>45358</v>
      </c>
      <c r="D3791" t="inlineStr">
        <is>
          <t>HALLANDS LÄN</t>
        </is>
      </c>
      <c r="E3791" t="inlineStr">
        <is>
          <t>FALKENBERG</t>
        </is>
      </c>
      <c r="G3791" t="n">
        <v>1.6</v>
      </c>
      <c r="H3791" t="n">
        <v>0</v>
      </c>
      <c r="I3791" t="n">
        <v>0</v>
      </c>
      <c r="J3791" t="n">
        <v>0</v>
      </c>
      <c r="K3791" t="n">
        <v>0</v>
      </c>
      <c r="L3791" t="n">
        <v>0</v>
      </c>
      <c r="M3791" t="n">
        <v>0</v>
      </c>
      <c r="N3791" t="n">
        <v>0</v>
      </c>
      <c r="O3791" t="n">
        <v>0</v>
      </c>
      <c r="P3791" t="n">
        <v>0</v>
      </c>
      <c r="Q3791" t="n">
        <v>0</v>
      </c>
      <c r="R3791" s="2" t="inlineStr"/>
    </row>
    <row r="3792" ht="15" customHeight="1">
      <c r="A3792" t="inlineStr">
        <is>
          <t>A 63034-2023</t>
        </is>
      </c>
      <c r="B3792" s="1" t="n">
        <v>45272</v>
      </c>
      <c r="C3792" s="1" t="n">
        <v>45358</v>
      </c>
      <c r="D3792" t="inlineStr">
        <is>
          <t>HALLANDS LÄN</t>
        </is>
      </c>
      <c r="E3792" t="inlineStr">
        <is>
          <t>FALKENBERG</t>
        </is>
      </c>
      <c r="G3792" t="n">
        <v>0.6</v>
      </c>
      <c r="H3792" t="n">
        <v>0</v>
      </c>
      <c r="I3792" t="n">
        <v>0</v>
      </c>
      <c r="J3792" t="n">
        <v>0</v>
      </c>
      <c r="K3792" t="n">
        <v>0</v>
      </c>
      <c r="L3792" t="n">
        <v>0</v>
      </c>
      <c r="M3792" t="n">
        <v>0</v>
      </c>
      <c r="N3792" t="n">
        <v>0</v>
      </c>
      <c r="O3792" t="n">
        <v>0</v>
      </c>
      <c r="P3792" t="n">
        <v>0</v>
      </c>
      <c r="Q3792" t="n">
        <v>0</v>
      </c>
      <c r="R3792" s="2" t="inlineStr"/>
    </row>
    <row r="3793" ht="15" customHeight="1">
      <c r="A3793" t="inlineStr">
        <is>
          <t>A 62965-2023</t>
        </is>
      </c>
      <c r="B3793" s="1" t="n">
        <v>45272</v>
      </c>
      <c r="C3793" s="1" t="n">
        <v>45358</v>
      </c>
      <c r="D3793" t="inlineStr">
        <is>
          <t>HALLANDS LÄN</t>
        </is>
      </c>
      <c r="E3793" t="inlineStr">
        <is>
          <t>VARBERG</t>
        </is>
      </c>
      <c r="G3793" t="n">
        <v>2.9</v>
      </c>
      <c r="H3793" t="n">
        <v>0</v>
      </c>
      <c r="I3793" t="n">
        <v>0</v>
      </c>
      <c r="J3793" t="n">
        <v>0</v>
      </c>
      <c r="K3793" t="n">
        <v>0</v>
      </c>
      <c r="L3793" t="n">
        <v>0</v>
      </c>
      <c r="M3793" t="n">
        <v>0</v>
      </c>
      <c r="N3793" t="n">
        <v>0</v>
      </c>
      <c r="O3793" t="n">
        <v>0</v>
      </c>
      <c r="P3793" t="n">
        <v>0</v>
      </c>
      <c r="Q3793" t="n">
        <v>0</v>
      </c>
      <c r="R3793" s="2" t="inlineStr"/>
    </row>
    <row r="3794" ht="15" customHeight="1">
      <c r="A3794" t="inlineStr">
        <is>
          <t>A 63097-2023</t>
        </is>
      </c>
      <c r="B3794" s="1" t="n">
        <v>45273</v>
      </c>
      <c r="C3794" s="1" t="n">
        <v>45358</v>
      </c>
      <c r="D3794" t="inlineStr">
        <is>
          <t>HALLANDS LÄN</t>
        </is>
      </c>
      <c r="E3794" t="inlineStr">
        <is>
          <t>FALKENBERG</t>
        </is>
      </c>
      <c r="G3794" t="n">
        <v>1.3</v>
      </c>
      <c r="H3794" t="n">
        <v>0</v>
      </c>
      <c r="I3794" t="n">
        <v>0</v>
      </c>
      <c r="J3794" t="n">
        <v>0</v>
      </c>
      <c r="K3794" t="n">
        <v>0</v>
      </c>
      <c r="L3794" t="n">
        <v>0</v>
      </c>
      <c r="M3794" t="n">
        <v>0</v>
      </c>
      <c r="N3794" t="n">
        <v>0</v>
      </c>
      <c r="O3794" t="n">
        <v>0</v>
      </c>
      <c r="P3794" t="n">
        <v>0</v>
      </c>
      <c r="Q3794" t="n">
        <v>0</v>
      </c>
      <c r="R3794" s="2" t="inlineStr"/>
    </row>
    <row r="3795" ht="15" customHeight="1">
      <c r="A3795" t="inlineStr">
        <is>
          <t>A 63100-2023</t>
        </is>
      </c>
      <c r="B3795" s="1" t="n">
        <v>45273</v>
      </c>
      <c r="C3795" s="1" t="n">
        <v>45358</v>
      </c>
      <c r="D3795" t="inlineStr">
        <is>
          <t>HALLANDS LÄN</t>
        </is>
      </c>
      <c r="E3795" t="inlineStr">
        <is>
          <t>HALMSTAD</t>
        </is>
      </c>
      <c r="G3795" t="n">
        <v>3.5</v>
      </c>
      <c r="H3795" t="n">
        <v>0</v>
      </c>
      <c r="I3795" t="n">
        <v>0</v>
      </c>
      <c r="J3795" t="n">
        <v>0</v>
      </c>
      <c r="K3795" t="n">
        <v>0</v>
      </c>
      <c r="L3795" t="n">
        <v>0</v>
      </c>
      <c r="M3795" t="n">
        <v>0</v>
      </c>
      <c r="N3795" t="n">
        <v>0</v>
      </c>
      <c r="O3795" t="n">
        <v>0</v>
      </c>
      <c r="P3795" t="n">
        <v>0</v>
      </c>
      <c r="Q3795" t="n">
        <v>0</v>
      </c>
      <c r="R3795" s="2" t="inlineStr"/>
    </row>
    <row r="3796" ht="15" customHeight="1">
      <c r="A3796" t="inlineStr">
        <is>
          <t>A 63104-2023</t>
        </is>
      </c>
      <c r="B3796" s="1" t="n">
        <v>45273</v>
      </c>
      <c r="C3796" s="1" t="n">
        <v>45358</v>
      </c>
      <c r="D3796" t="inlineStr">
        <is>
          <t>HALLANDS LÄN</t>
        </is>
      </c>
      <c r="E3796" t="inlineStr">
        <is>
          <t>KUNGSBACKA</t>
        </is>
      </c>
      <c r="G3796" t="n">
        <v>2</v>
      </c>
      <c r="H3796" t="n">
        <v>0</v>
      </c>
      <c r="I3796" t="n">
        <v>0</v>
      </c>
      <c r="J3796" t="n">
        <v>0</v>
      </c>
      <c r="K3796" t="n">
        <v>0</v>
      </c>
      <c r="L3796" t="n">
        <v>0</v>
      </c>
      <c r="M3796" t="n">
        <v>0</v>
      </c>
      <c r="N3796" t="n">
        <v>0</v>
      </c>
      <c r="O3796" t="n">
        <v>0</v>
      </c>
      <c r="P3796" t="n">
        <v>0</v>
      </c>
      <c r="Q3796" t="n">
        <v>0</v>
      </c>
      <c r="R3796" s="2" t="inlineStr"/>
    </row>
    <row r="3797" ht="15" customHeight="1">
      <c r="A3797" t="inlineStr">
        <is>
          <t>A 63108-2023</t>
        </is>
      </c>
      <c r="B3797" s="1" t="n">
        <v>45273</v>
      </c>
      <c r="C3797" s="1" t="n">
        <v>45358</v>
      </c>
      <c r="D3797" t="inlineStr">
        <is>
          <t>HALLANDS LÄN</t>
        </is>
      </c>
      <c r="E3797" t="inlineStr">
        <is>
          <t>VARBERG</t>
        </is>
      </c>
      <c r="G3797" t="n">
        <v>1</v>
      </c>
      <c r="H3797" t="n">
        <v>0</v>
      </c>
      <c r="I3797" t="n">
        <v>0</v>
      </c>
      <c r="J3797" t="n">
        <v>0</v>
      </c>
      <c r="K3797" t="n">
        <v>0</v>
      </c>
      <c r="L3797" t="n">
        <v>0</v>
      </c>
      <c r="M3797" t="n">
        <v>0</v>
      </c>
      <c r="N3797" t="n">
        <v>0</v>
      </c>
      <c r="O3797" t="n">
        <v>0</v>
      </c>
      <c r="P3797" t="n">
        <v>0</v>
      </c>
      <c r="Q3797" t="n">
        <v>0</v>
      </c>
      <c r="R3797" s="2" t="inlineStr"/>
    </row>
    <row r="3798" ht="15" customHeight="1">
      <c r="A3798" t="inlineStr">
        <is>
          <t>A 63106-2023</t>
        </is>
      </c>
      <c r="B3798" s="1" t="n">
        <v>45273</v>
      </c>
      <c r="C3798" s="1" t="n">
        <v>45358</v>
      </c>
      <c r="D3798" t="inlineStr">
        <is>
          <t>HALLANDS LÄN</t>
        </is>
      </c>
      <c r="E3798" t="inlineStr">
        <is>
          <t>HALMSTAD</t>
        </is>
      </c>
      <c r="G3798" t="n">
        <v>1.7</v>
      </c>
      <c r="H3798" t="n">
        <v>0</v>
      </c>
      <c r="I3798" t="n">
        <v>0</v>
      </c>
      <c r="J3798" t="n">
        <v>0</v>
      </c>
      <c r="K3798" t="n">
        <v>0</v>
      </c>
      <c r="L3798" t="n">
        <v>0</v>
      </c>
      <c r="M3798" t="n">
        <v>0</v>
      </c>
      <c r="N3798" t="n">
        <v>0</v>
      </c>
      <c r="O3798" t="n">
        <v>0</v>
      </c>
      <c r="P3798" t="n">
        <v>0</v>
      </c>
      <c r="Q3798" t="n">
        <v>0</v>
      </c>
      <c r="R3798" s="2" t="inlineStr"/>
    </row>
    <row r="3799" ht="15" customHeight="1">
      <c r="A3799" t="inlineStr">
        <is>
          <t>A 63124-2023</t>
        </is>
      </c>
      <c r="B3799" s="1" t="n">
        <v>45273</v>
      </c>
      <c r="C3799" s="1" t="n">
        <v>45358</v>
      </c>
      <c r="D3799" t="inlineStr">
        <is>
          <t>HALLANDS LÄN</t>
        </is>
      </c>
      <c r="E3799" t="inlineStr">
        <is>
          <t>VARBERG</t>
        </is>
      </c>
      <c r="G3799" t="n">
        <v>1.9</v>
      </c>
      <c r="H3799" t="n">
        <v>0</v>
      </c>
      <c r="I3799" t="n">
        <v>0</v>
      </c>
      <c r="J3799" t="n">
        <v>0</v>
      </c>
      <c r="K3799" t="n">
        <v>0</v>
      </c>
      <c r="L3799" t="n">
        <v>0</v>
      </c>
      <c r="M3799" t="n">
        <v>0</v>
      </c>
      <c r="N3799" t="n">
        <v>0</v>
      </c>
      <c r="O3799" t="n">
        <v>0</v>
      </c>
      <c r="P3799" t="n">
        <v>0</v>
      </c>
      <c r="Q3799" t="n">
        <v>0</v>
      </c>
      <c r="R3799" s="2" t="inlineStr"/>
    </row>
    <row r="3800" ht="15" customHeight="1">
      <c r="A3800" t="inlineStr">
        <is>
          <t>A 63247-2023</t>
        </is>
      </c>
      <c r="B3800" s="1" t="n">
        <v>45273</v>
      </c>
      <c r="C3800" s="1" t="n">
        <v>45358</v>
      </c>
      <c r="D3800" t="inlineStr">
        <is>
          <t>HALLANDS LÄN</t>
        </is>
      </c>
      <c r="E3800" t="inlineStr">
        <is>
          <t>FALKENBERG</t>
        </is>
      </c>
      <c r="G3800" t="n">
        <v>6.8</v>
      </c>
      <c r="H3800" t="n">
        <v>0</v>
      </c>
      <c r="I3800" t="n">
        <v>0</v>
      </c>
      <c r="J3800" t="n">
        <v>0</v>
      </c>
      <c r="K3800" t="n">
        <v>0</v>
      </c>
      <c r="L3800" t="n">
        <v>0</v>
      </c>
      <c r="M3800" t="n">
        <v>0</v>
      </c>
      <c r="N3800" t="n">
        <v>0</v>
      </c>
      <c r="O3800" t="n">
        <v>0</v>
      </c>
      <c r="P3800" t="n">
        <v>0</v>
      </c>
      <c r="Q3800" t="n">
        <v>0</v>
      </c>
      <c r="R3800" s="2" t="inlineStr"/>
    </row>
    <row r="3801" ht="15" customHeight="1">
      <c r="A3801" t="inlineStr">
        <is>
          <t>A 63130-2023</t>
        </is>
      </c>
      <c r="B3801" s="1" t="n">
        <v>45273</v>
      </c>
      <c r="C3801" s="1" t="n">
        <v>45358</v>
      </c>
      <c r="D3801" t="inlineStr">
        <is>
          <t>HALLANDS LÄN</t>
        </is>
      </c>
      <c r="E3801" t="inlineStr">
        <is>
          <t>FALKENBERG</t>
        </is>
      </c>
      <c r="G3801" t="n">
        <v>4.1</v>
      </c>
      <c r="H3801" t="n">
        <v>0</v>
      </c>
      <c r="I3801" t="n">
        <v>0</v>
      </c>
      <c r="J3801" t="n">
        <v>0</v>
      </c>
      <c r="K3801" t="n">
        <v>0</v>
      </c>
      <c r="L3801" t="n">
        <v>0</v>
      </c>
      <c r="M3801" t="n">
        <v>0</v>
      </c>
      <c r="N3801" t="n">
        <v>0</v>
      </c>
      <c r="O3801" t="n">
        <v>0</v>
      </c>
      <c r="P3801" t="n">
        <v>0</v>
      </c>
      <c r="Q3801" t="n">
        <v>0</v>
      </c>
      <c r="R3801" s="2" t="inlineStr"/>
    </row>
    <row r="3802" ht="15" customHeight="1">
      <c r="A3802" t="inlineStr">
        <is>
          <t>A 63283-2023</t>
        </is>
      </c>
      <c r="B3802" s="1" t="n">
        <v>45273</v>
      </c>
      <c r="C3802" s="1" t="n">
        <v>45358</v>
      </c>
      <c r="D3802" t="inlineStr">
        <is>
          <t>HALLANDS LÄN</t>
        </is>
      </c>
      <c r="E3802" t="inlineStr">
        <is>
          <t>LAHOLM</t>
        </is>
      </c>
      <c r="G3802" t="n">
        <v>2.1</v>
      </c>
      <c r="H3802" t="n">
        <v>0</v>
      </c>
      <c r="I3802" t="n">
        <v>0</v>
      </c>
      <c r="J3802" t="n">
        <v>0</v>
      </c>
      <c r="K3802" t="n">
        <v>0</v>
      </c>
      <c r="L3802" t="n">
        <v>0</v>
      </c>
      <c r="M3802" t="n">
        <v>0</v>
      </c>
      <c r="N3802" t="n">
        <v>0</v>
      </c>
      <c r="O3802" t="n">
        <v>0</v>
      </c>
      <c r="P3802" t="n">
        <v>0</v>
      </c>
      <c r="Q3802" t="n">
        <v>0</v>
      </c>
      <c r="R3802" s="2" t="inlineStr"/>
    </row>
    <row r="3803" ht="15" customHeight="1">
      <c r="A3803" t="inlineStr">
        <is>
          <t>A 63110-2023</t>
        </is>
      </c>
      <c r="B3803" s="1" t="n">
        <v>45273</v>
      </c>
      <c r="C3803" s="1" t="n">
        <v>45358</v>
      </c>
      <c r="D3803" t="inlineStr">
        <is>
          <t>HALLANDS LÄN</t>
        </is>
      </c>
      <c r="E3803" t="inlineStr">
        <is>
          <t>VARBERG</t>
        </is>
      </c>
      <c r="G3803" t="n">
        <v>0.6</v>
      </c>
      <c r="H3803" t="n">
        <v>0</v>
      </c>
      <c r="I3803" t="n">
        <v>0</v>
      </c>
      <c r="J3803" t="n">
        <v>0</v>
      </c>
      <c r="K3803" t="n">
        <v>0</v>
      </c>
      <c r="L3803" t="n">
        <v>0</v>
      </c>
      <c r="M3803" t="n">
        <v>0</v>
      </c>
      <c r="N3803" t="n">
        <v>0</v>
      </c>
      <c r="O3803" t="n">
        <v>0</v>
      </c>
      <c r="P3803" t="n">
        <v>0</v>
      </c>
      <c r="Q3803" t="n">
        <v>0</v>
      </c>
      <c r="R3803" s="2" t="inlineStr"/>
    </row>
    <row r="3804" ht="15" customHeight="1">
      <c r="A3804" t="inlineStr">
        <is>
          <t>A 63254-2023</t>
        </is>
      </c>
      <c r="B3804" s="1" t="n">
        <v>45273</v>
      </c>
      <c r="C3804" s="1" t="n">
        <v>45358</v>
      </c>
      <c r="D3804" t="inlineStr">
        <is>
          <t>HALLANDS LÄN</t>
        </is>
      </c>
      <c r="E3804" t="inlineStr">
        <is>
          <t>FALKENBERG</t>
        </is>
      </c>
      <c r="G3804" t="n">
        <v>1.5</v>
      </c>
      <c r="H3804" t="n">
        <v>0</v>
      </c>
      <c r="I3804" t="n">
        <v>0</v>
      </c>
      <c r="J3804" t="n">
        <v>0</v>
      </c>
      <c r="K3804" t="n">
        <v>0</v>
      </c>
      <c r="L3804" t="n">
        <v>0</v>
      </c>
      <c r="M3804" t="n">
        <v>0</v>
      </c>
      <c r="N3804" t="n">
        <v>0</v>
      </c>
      <c r="O3804" t="n">
        <v>0</v>
      </c>
      <c r="P3804" t="n">
        <v>0</v>
      </c>
      <c r="Q3804" t="n">
        <v>0</v>
      </c>
      <c r="R3804" s="2" t="inlineStr"/>
    </row>
    <row r="3805" ht="15" customHeight="1">
      <c r="A3805" t="inlineStr">
        <is>
          <t>A 63353-2023</t>
        </is>
      </c>
      <c r="B3805" s="1" t="n">
        <v>45274</v>
      </c>
      <c r="C3805" s="1" t="n">
        <v>45358</v>
      </c>
      <c r="D3805" t="inlineStr">
        <is>
          <t>HALLANDS LÄN</t>
        </is>
      </c>
      <c r="E3805" t="inlineStr">
        <is>
          <t>HYLTE</t>
        </is>
      </c>
      <c r="G3805" t="n">
        <v>4.5</v>
      </c>
      <c r="H3805" t="n">
        <v>0</v>
      </c>
      <c r="I3805" t="n">
        <v>0</v>
      </c>
      <c r="J3805" t="n">
        <v>0</v>
      </c>
      <c r="K3805" t="n">
        <v>0</v>
      </c>
      <c r="L3805" t="n">
        <v>0</v>
      </c>
      <c r="M3805" t="n">
        <v>0</v>
      </c>
      <c r="N3805" t="n">
        <v>0</v>
      </c>
      <c r="O3805" t="n">
        <v>0</v>
      </c>
      <c r="P3805" t="n">
        <v>0</v>
      </c>
      <c r="Q3805" t="n">
        <v>0</v>
      </c>
      <c r="R3805" s="2" t="inlineStr"/>
    </row>
    <row r="3806" ht="15" customHeight="1">
      <c r="A3806" t="inlineStr">
        <is>
          <t>A 63310-2023</t>
        </is>
      </c>
      <c r="B3806" s="1" t="n">
        <v>45274</v>
      </c>
      <c r="C3806" s="1" t="n">
        <v>45358</v>
      </c>
      <c r="D3806" t="inlineStr">
        <is>
          <t>HALLANDS LÄN</t>
        </is>
      </c>
      <c r="E3806" t="inlineStr">
        <is>
          <t>FALKENBERG</t>
        </is>
      </c>
      <c r="G3806" t="n">
        <v>1</v>
      </c>
      <c r="H3806" t="n">
        <v>0</v>
      </c>
      <c r="I3806" t="n">
        <v>0</v>
      </c>
      <c r="J3806" t="n">
        <v>0</v>
      </c>
      <c r="K3806" t="n">
        <v>0</v>
      </c>
      <c r="L3806" t="n">
        <v>0</v>
      </c>
      <c r="M3806" t="n">
        <v>0</v>
      </c>
      <c r="N3806" t="n">
        <v>0</v>
      </c>
      <c r="O3806" t="n">
        <v>0</v>
      </c>
      <c r="P3806" t="n">
        <v>0</v>
      </c>
      <c r="Q3806" t="n">
        <v>0</v>
      </c>
      <c r="R3806" s="2" t="inlineStr"/>
    </row>
    <row r="3807" ht="15" customHeight="1">
      <c r="A3807" t="inlineStr">
        <is>
          <t>A 63380-2023</t>
        </is>
      </c>
      <c r="B3807" s="1" t="n">
        <v>45274</v>
      </c>
      <c r="C3807" s="1" t="n">
        <v>45358</v>
      </c>
      <c r="D3807" t="inlineStr">
        <is>
          <t>HALLANDS LÄN</t>
        </is>
      </c>
      <c r="E3807" t="inlineStr">
        <is>
          <t>VARBERG</t>
        </is>
      </c>
      <c r="G3807" t="n">
        <v>3.6</v>
      </c>
      <c r="H3807" t="n">
        <v>0</v>
      </c>
      <c r="I3807" t="n">
        <v>0</v>
      </c>
      <c r="J3807" t="n">
        <v>0</v>
      </c>
      <c r="K3807" t="n">
        <v>0</v>
      </c>
      <c r="L3807" t="n">
        <v>0</v>
      </c>
      <c r="M3807" t="n">
        <v>0</v>
      </c>
      <c r="N3807" t="n">
        <v>0</v>
      </c>
      <c r="O3807" t="n">
        <v>0</v>
      </c>
      <c r="P3807" t="n">
        <v>0</v>
      </c>
      <c r="Q3807" t="n">
        <v>0</v>
      </c>
      <c r="R3807" s="2" t="inlineStr"/>
    </row>
    <row r="3808" ht="15" customHeight="1">
      <c r="A3808" t="inlineStr">
        <is>
          <t>A 63348-2023</t>
        </is>
      </c>
      <c r="B3808" s="1" t="n">
        <v>45274</v>
      </c>
      <c r="C3808" s="1" t="n">
        <v>45358</v>
      </c>
      <c r="D3808" t="inlineStr">
        <is>
          <t>HALLANDS LÄN</t>
        </is>
      </c>
      <c r="E3808" t="inlineStr">
        <is>
          <t>HYLTE</t>
        </is>
      </c>
      <c r="G3808" t="n">
        <v>1.6</v>
      </c>
      <c r="H3808" t="n">
        <v>0</v>
      </c>
      <c r="I3808" t="n">
        <v>0</v>
      </c>
      <c r="J3808" t="n">
        <v>0</v>
      </c>
      <c r="K3808" t="n">
        <v>0</v>
      </c>
      <c r="L3808" t="n">
        <v>0</v>
      </c>
      <c r="M3808" t="n">
        <v>0</v>
      </c>
      <c r="N3808" t="n">
        <v>0</v>
      </c>
      <c r="O3808" t="n">
        <v>0</v>
      </c>
      <c r="P3808" t="n">
        <v>0</v>
      </c>
      <c r="Q3808" t="n">
        <v>0</v>
      </c>
      <c r="R3808" s="2" t="inlineStr"/>
    </row>
    <row r="3809" ht="15" customHeight="1">
      <c r="A3809" t="inlineStr">
        <is>
          <t>A 63486-2023</t>
        </is>
      </c>
      <c r="B3809" s="1" t="n">
        <v>45274</v>
      </c>
      <c r="C3809" s="1" t="n">
        <v>45358</v>
      </c>
      <c r="D3809" t="inlineStr">
        <is>
          <t>HALLANDS LÄN</t>
        </is>
      </c>
      <c r="E3809" t="inlineStr">
        <is>
          <t>LAHOLM</t>
        </is>
      </c>
      <c r="G3809" t="n">
        <v>1.4</v>
      </c>
      <c r="H3809" t="n">
        <v>0</v>
      </c>
      <c r="I3809" t="n">
        <v>0</v>
      </c>
      <c r="J3809" t="n">
        <v>0</v>
      </c>
      <c r="K3809" t="n">
        <v>0</v>
      </c>
      <c r="L3809" t="n">
        <v>0</v>
      </c>
      <c r="M3809" t="n">
        <v>0</v>
      </c>
      <c r="N3809" t="n">
        <v>0</v>
      </c>
      <c r="O3809" t="n">
        <v>0</v>
      </c>
      <c r="P3809" t="n">
        <v>0</v>
      </c>
      <c r="Q3809" t="n">
        <v>0</v>
      </c>
      <c r="R3809" s="2" t="inlineStr"/>
    </row>
    <row r="3810" ht="15" customHeight="1">
      <c r="A3810" t="inlineStr">
        <is>
          <t>A 63667-2023</t>
        </is>
      </c>
      <c r="B3810" s="1" t="n">
        <v>45275</v>
      </c>
      <c r="C3810" s="1" t="n">
        <v>45358</v>
      </c>
      <c r="D3810" t="inlineStr">
        <is>
          <t>HALLANDS LÄN</t>
        </is>
      </c>
      <c r="E3810" t="inlineStr">
        <is>
          <t>VARBERG</t>
        </is>
      </c>
      <c r="G3810" t="n">
        <v>2</v>
      </c>
      <c r="H3810" t="n">
        <v>0</v>
      </c>
      <c r="I3810" t="n">
        <v>0</v>
      </c>
      <c r="J3810" t="n">
        <v>0</v>
      </c>
      <c r="K3810" t="n">
        <v>0</v>
      </c>
      <c r="L3810" t="n">
        <v>0</v>
      </c>
      <c r="M3810" t="n">
        <v>0</v>
      </c>
      <c r="N3810" t="n">
        <v>0</v>
      </c>
      <c r="O3810" t="n">
        <v>0</v>
      </c>
      <c r="P3810" t="n">
        <v>0</v>
      </c>
      <c r="Q3810" t="n">
        <v>0</v>
      </c>
      <c r="R3810" s="2" t="inlineStr"/>
    </row>
    <row r="3811" ht="15" customHeight="1">
      <c r="A3811" t="inlineStr">
        <is>
          <t>A 63674-2023</t>
        </is>
      </c>
      <c r="B3811" s="1" t="n">
        <v>45275</v>
      </c>
      <c r="C3811" s="1" t="n">
        <v>45358</v>
      </c>
      <c r="D3811" t="inlineStr">
        <is>
          <t>HALLANDS LÄN</t>
        </is>
      </c>
      <c r="E3811" t="inlineStr">
        <is>
          <t>LAHOLM</t>
        </is>
      </c>
      <c r="G3811" t="n">
        <v>1.1</v>
      </c>
      <c r="H3811" t="n">
        <v>0</v>
      </c>
      <c r="I3811" t="n">
        <v>0</v>
      </c>
      <c r="J3811" t="n">
        <v>0</v>
      </c>
      <c r="K3811" t="n">
        <v>0</v>
      </c>
      <c r="L3811" t="n">
        <v>0</v>
      </c>
      <c r="M3811" t="n">
        <v>0</v>
      </c>
      <c r="N3811" t="n">
        <v>0</v>
      </c>
      <c r="O3811" t="n">
        <v>0</v>
      </c>
      <c r="P3811" t="n">
        <v>0</v>
      </c>
      <c r="Q3811" t="n">
        <v>0</v>
      </c>
      <c r="R3811" s="2" t="inlineStr"/>
    </row>
    <row r="3812" ht="15" customHeight="1">
      <c r="A3812" t="inlineStr">
        <is>
          <t>A 63661-2023</t>
        </is>
      </c>
      <c r="B3812" s="1" t="n">
        <v>45275</v>
      </c>
      <c r="C3812" s="1" t="n">
        <v>45358</v>
      </c>
      <c r="D3812" t="inlineStr">
        <is>
          <t>HALLANDS LÄN</t>
        </is>
      </c>
      <c r="E3812" t="inlineStr">
        <is>
          <t>VARBERG</t>
        </is>
      </c>
      <c r="G3812" t="n">
        <v>2.5</v>
      </c>
      <c r="H3812" t="n">
        <v>0</v>
      </c>
      <c r="I3812" t="n">
        <v>0</v>
      </c>
      <c r="J3812" t="n">
        <v>0</v>
      </c>
      <c r="K3812" t="n">
        <v>0</v>
      </c>
      <c r="L3812" t="n">
        <v>0</v>
      </c>
      <c r="M3812" t="n">
        <v>0</v>
      </c>
      <c r="N3812" t="n">
        <v>0</v>
      </c>
      <c r="O3812" t="n">
        <v>0</v>
      </c>
      <c r="P3812" t="n">
        <v>0</v>
      </c>
      <c r="Q3812" t="n">
        <v>0</v>
      </c>
      <c r="R3812" s="2" t="inlineStr"/>
    </row>
    <row r="3813" ht="15" customHeight="1">
      <c r="A3813" t="inlineStr">
        <is>
          <t>A 63637-2023</t>
        </is>
      </c>
      <c r="B3813" s="1" t="n">
        <v>45275</v>
      </c>
      <c r="C3813" s="1" t="n">
        <v>45358</v>
      </c>
      <c r="D3813" t="inlineStr">
        <is>
          <t>HALLANDS LÄN</t>
        </is>
      </c>
      <c r="E3813" t="inlineStr">
        <is>
          <t>VARBERG</t>
        </is>
      </c>
      <c r="G3813" t="n">
        <v>1.2</v>
      </c>
      <c r="H3813" t="n">
        <v>0</v>
      </c>
      <c r="I3813" t="n">
        <v>0</v>
      </c>
      <c r="J3813" t="n">
        <v>0</v>
      </c>
      <c r="K3813" t="n">
        <v>0</v>
      </c>
      <c r="L3813" t="n">
        <v>0</v>
      </c>
      <c r="M3813" t="n">
        <v>0</v>
      </c>
      <c r="N3813" t="n">
        <v>0</v>
      </c>
      <c r="O3813" t="n">
        <v>0</v>
      </c>
      <c r="P3813" t="n">
        <v>0</v>
      </c>
      <c r="Q3813" t="n">
        <v>0</v>
      </c>
      <c r="R3813" s="2" t="inlineStr"/>
    </row>
    <row r="3814" ht="15" customHeight="1">
      <c r="A3814" t="inlineStr">
        <is>
          <t>A 63593-2023</t>
        </is>
      </c>
      <c r="B3814" s="1" t="n">
        <v>45275</v>
      </c>
      <c r="C3814" s="1" t="n">
        <v>45358</v>
      </c>
      <c r="D3814" t="inlineStr">
        <is>
          <t>HALLANDS LÄN</t>
        </is>
      </c>
      <c r="E3814" t="inlineStr">
        <is>
          <t>LAHOLM</t>
        </is>
      </c>
      <c r="G3814" t="n">
        <v>3.9</v>
      </c>
      <c r="H3814" t="n">
        <v>0</v>
      </c>
      <c r="I3814" t="n">
        <v>0</v>
      </c>
      <c r="J3814" t="n">
        <v>0</v>
      </c>
      <c r="K3814" t="n">
        <v>0</v>
      </c>
      <c r="L3814" t="n">
        <v>0</v>
      </c>
      <c r="M3814" t="n">
        <v>0</v>
      </c>
      <c r="N3814" t="n">
        <v>0</v>
      </c>
      <c r="O3814" t="n">
        <v>0</v>
      </c>
      <c r="P3814" t="n">
        <v>0</v>
      </c>
      <c r="Q3814" t="n">
        <v>0</v>
      </c>
      <c r="R3814" s="2" t="inlineStr"/>
    </row>
    <row r="3815" ht="15" customHeight="1">
      <c r="A3815" t="inlineStr">
        <is>
          <t>A 63675-2023</t>
        </is>
      </c>
      <c r="B3815" s="1" t="n">
        <v>45275</v>
      </c>
      <c r="C3815" s="1" t="n">
        <v>45358</v>
      </c>
      <c r="D3815" t="inlineStr">
        <is>
          <t>HALLANDS LÄN</t>
        </is>
      </c>
      <c r="E3815" t="inlineStr">
        <is>
          <t>LAHOLM</t>
        </is>
      </c>
      <c r="G3815" t="n">
        <v>0.6</v>
      </c>
      <c r="H3815" t="n">
        <v>0</v>
      </c>
      <c r="I3815" t="n">
        <v>0</v>
      </c>
      <c r="J3815" t="n">
        <v>0</v>
      </c>
      <c r="K3815" t="n">
        <v>0</v>
      </c>
      <c r="L3815" t="n">
        <v>0</v>
      </c>
      <c r="M3815" t="n">
        <v>0</v>
      </c>
      <c r="N3815" t="n">
        <v>0</v>
      </c>
      <c r="O3815" t="n">
        <v>0</v>
      </c>
      <c r="P3815" t="n">
        <v>0</v>
      </c>
      <c r="Q3815" t="n">
        <v>0</v>
      </c>
      <c r="R3815" s="2" t="inlineStr"/>
    </row>
    <row r="3816" ht="15" customHeight="1">
      <c r="A3816" t="inlineStr">
        <is>
          <t>A 63598-2023</t>
        </is>
      </c>
      <c r="B3816" s="1" t="n">
        <v>45275</v>
      </c>
      <c r="C3816" s="1" t="n">
        <v>45358</v>
      </c>
      <c r="D3816" t="inlineStr">
        <is>
          <t>HALLANDS LÄN</t>
        </is>
      </c>
      <c r="E3816" t="inlineStr">
        <is>
          <t>KUNGSBACKA</t>
        </is>
      </c>
      <c r="G3816" t="n">
        <v>1.6</v>
      </c>
      <c r="H3816" t="n">
        <v>0</v>
      </c>
      <c r="I3816" t="n">
        <v>0</v>
      </c>
      <c r="J3816" t="n">
        <v>0</v>
      </c>
      <c r="K3816" t="n">
        <v>0</v>
      </c>
      <c r="L3816" t="n">
        <v>0</v>
      </c>
      <c r="M3816" t="n">
        <v>0</v>
      </c>
      <c r="N3816" t="n">
        <v>0</v>
      </c>
      <c r="O3816" t="n">
        <v>0</v>
      </c>
      <c r="P3816" t="n">
        <v>0</v>
      </c>
      <c r="Q3816" t="n">
        <v>0</v>
      </c>
      <c r="R3816" s="2" t="inlineStr"/>
    </row>
    <row r="3817" ht="15" customHeight="1">
      <c r="A3817" t="inlineStr">
        <is>
          <t>A 63609-2023</t>
        </is>
      </c>
      <c r="B3817" s="1" t="n">
        <v>45275</v>
      </c>
      <c r="C3817" s="1" t="n">
        <v>45358</v>
      </c>
      <c r="D3817" t="inlineStr">
        <is>
          <t>HALLANDS LÄN</t>
        </is>
      </c>
      <c r="E3817" t="inlineStr">
        <is>
          <t>HALMSTAD</t>
        </is>
      </c>
      <c r="G3817" t="n">
        <v>4</v>
      </c>
      <c r="H3817" t="n">
        <v>0</v>
      </c>
      <c r="I3817" t="n">
        <v>0</v>
      </c>
      <c r="J3817" t="n">
        <v>0</v>
      </c>
      <c r="K3817" t="n">
        <v>0</v>
      </c>
      <c r="L3817" t="n">
        <v>0</v>
      </c>
      <c r="M3817" t="n">
        <v>0</v>
      </c>
      <c r="N3817" t="n">
        <v>0</v>
      </c>
      <c r="O3817" t="n">
        <v>0</v>
      </c>
      <c r="P3817" t="n">
        <v>0</v>
      </c>
      <c r="Q3817" t="n">
        <v>0</v>
      </c>
      <c r="R3817" s="2" t="inlineStr"/>
    </row>
    <row r="3818" ht="15" customHeight="1">
      <c r="A3818" t="inlineStr">
        <is>
          <t>A 63683-2023</t>
        </is>
      </c>
      <c r="B3818" s="1" t="n">
        <v>45275</v>
      </c>
      <c r="C3818" s="1" t="n">
        <v>45358</v>
      </c>
      <c r="D3818" t="inlineStr">
        <is>
          <t>HALLANDS LÄN</t>
        </is>
      </c>
      <c r="E3818" t="inlineStr">
        <is>
          <t>FALKENBERG</t>
        </is>
      </c>
      <c r="G3818" t="n">
        <v>1.8</v>
      </c>
      <c r="H3818" t="n">
        <v>0</v>
      </c>
      <c r="I3818" t="n">
        <v>0</v>
      </c>
      <c r="J3818" t="n">
        <v>0</v>
      </c>
      <c r="K3818" t="n">
        <v>0</v>
      </c>
      <c r="L3818" t="n">
        <v>0</v>
      </c>
      <c r="M3818" t="n">
        <v>0</v>
      </c>
      <c r="N3818" t="n">
        <v>0</v>
      </c>
      <c r="O3818" t="n">
        <v>0</v>
      </c>
      <c r="P3818" t="n">
        <v>0</v>
      </c>
      <c r="Q3818" t="n">
        <v>0</v>
      </c>
      <c r="R3818" s="2" t="inlineStr"/>
    </row>
    <row r="3819" ht="15" customHeight="1">
      <c r="A3819" t="inlineStr">
        <is>
          <t>A 63608-2023</t>
        </is>
      </c>
      <c r="B3819" s="1" t="n">
        <v>45275</v>
      </c>
      <c r="C3819" s="1" t="n">
        <v>45358</v>
      </c>
      <c r="D3819" t="inlineStr">
        <is>
          <t>HALLANDS LÄN</t>
        </is>
      </c>
      <c r="E3819" t="inlineStr">
        <is>
          <t>HALMSTAD</t>
        </is>
      </c>
      <c r="G3819" t="n">
        <v>0.6</v>
      </c>
      <c r="H3819" t="n">
        <v>0</v>
      </c>
      <c r="I3819" t="n">
        <v>0</v>
      </c>
      <c r="J3819" t="n">
        <v>0</v>
      </c>
      <c r="K3819" t="n">
        <v>0</v>
      </c>
      <c r="L3819" t="n">
        <v>0</v>
      </c>
      <c r="M3819" t="n">
        <v>0</v>
      </c>
      <c r="N3819" t="n">
        <v>0</v>
      </c>
      <c r="O3819" t="n">
        <v>0</v>
      </c>
      <c r="P3819" t="n">
        <v>0</v>
      </c>
      <c r="Q3819" t="n">
        <v>0</v>
      </c>
      <c r="R3819" s="2" t="inlineStr"/>
    </row>
    <row r="3820" ht="15" customHeight="1">
      <c r="A3820" t="inlineStr">
        <is>
          <t>A 63806-2023</t>
        </is>
      </c>
      <c r="B3820" s="1" t="n">
        <v>45278</v>
      </c>
      <c r="C3820" s="1" t="n">
        <v>45358</v>
      </c>
      <c r="D3820" t="inlineStr">
        <is>
          <t>HALLANDS LÄN</t>
        </is>
      </c>
      <c r="E3820" t="inlineStr">
        <is>
          <t>HALMSTAD</t>
        </is>
      </c>
      <c r="G3820" t="n">
        <v>6.7</v>
      </c>
      <c r="H3820" t="n">
        <v>0</v>
      </c>
      <c r="I3820" t="n">
        <v>0</v>
      </c>
      <c r="J3820" t="n">
        <v>0</v>
      </c>
      <c r="K3820" t="n">
        <v>0</v>
      </c>
      <c r="L3820" t="n">
        <v>0</v>
      </c>
      <c r="M3820" t="n">
        <v>0</v>
      </c>
      <c r="N3820" t="n">
        <v>0</v>
      </c>
      <c r="O3820" t="n">
        <v>0</v>
      </c>
      <c r="P3820" t="n">
        <v>0</v>
      </c>
      <c r="Q3820" t="n">
        <v>0</v>
      </c>
      <c r="R3820" s="2" t="inlineStr"/>
    </row>
    <row r="3821" ht="15" customHeight="1">
      <c r="A3821" t="inlineStr">
        <is>
          <t>A 63823-2023</t>
        </is>
      </c>
      <c r="B3821" s="1" t="n">
        <v>45278</v>
      </c>
      <c r="C3821" s="1" t="n">
        <v>45358</v>
      </c>
      <c r="D3821" t="inlineStr">
        <is>
          <t>HALLANDS LÄN</t>
        </is>
      </c>
      <c r="E3821" t="inlineStr">
        <is>
          <t>HALMSTAD</t>
        </is>
      </c>
      <c r="G3821" t="n">
        <v>3.9</v>
      </c>
      <c r="H3821" t="n">
        <v>0</v>
      </c>
      <c r="I3821" t="n">
        <v>0</v>
      </c>
      <c r="J3821" t="n">
        <v>0</v>
      </c>
      <c r="K3821" t="n">
        <v>0</v>
      </c>
      <c r="L3821" t="n">
        <v>0</v>
      </c>
      <c r="M3821" t="n">
        <v>0</v>
      </c>
      <c r="N3821" t="n">
        <v>0</v>
      </c>
      <c r="O3821" t="n">
        <v>0</v>
      </c>
      <c r="P3821" t="n">
        <v>0</v>
      </c>
      <c r="Q3821" t="n">
        <v>0</v>
      </c>
      <c r="R3821" s="2" t="inlineStr"/>
    </row>
    <row r="3822" ht="15" customHeight="1">
      <c r="A3822" t="inlineStr">
        <is>
          <t>A 63795-2023</t>
        </is>
      </c>
      <c r="B3822" s="1" t="n">
        <v>45278</v>
      </c>
      <c r="C3822" s="1" t="n">
        <v>45358</v>
      </c>
      <c r="D3822" t="inlineStr">
        <is>
          <t>HALLANDS LÄN</t>
        </is>
      </c>
      <c r="E3822" t="inlineStr">
        <is>
          <t>LAHOLM</t>
        </is>
      </c>
      <c r="G3822" t="n">
        <v>5.9</v>
      </c>
      <c r="H3822" t="n">
        <v>0</v>
      </c>
      <c r="I3822" t="n">
        <v>0</v>
      </c>
      <c r="J3822" t="n">
        <v>0</v>
      </c>
      <c r="K3822" t="n">
        <v>0</v>
      </c>
      <c r="L3822" t="n">
        <v>0</v>
      </c>
      <c r="M3822" t="n">
        <v>0</v>
      </c>
      <c r="N3822" t="n">
        <v>0</v>
      </c>
      <c r="O3822" t="n">
        <v>0</v>
      </c>
      <c r="P3822" t="n">
        <v>0</v>
      </c>
      <c r="Q3822" t="n">
        <v>0</v>
      </c>
      <c r="R3822" s="2" t="inlineStr"/>
    </row>
    <row r="3823" ht="15" customHeight="1">
      <c r="A3823" t="inlineStr">
        <is>
          <t>A 63852-2023</t>
        </is>
      </c>
      <c r="B3823" s="1" t="n">
        <v>45278</v>
      </c>
      <c r="C3823" s="1" t="n">
        <v>45358</v>
      </c>
      <c r="D3823" t="inlineStr">
        <is>
          <t>HALLANDS LÄN</t>
        </is>
      </c>
      <c r="E3823" t="inlineStr">
        <is>
          <t>FALKENBERG</t>
        </is>
      </c>
      <c r="G3823" t="n">
        <v>1.9</v>
      </c>
      <c r="H3823" t="n">
        <v>0</v>
      </c>
      <c r="I3823" t="n">
        <v>0</v>
      </c>
      <c r="J3823" t="n">
        <v>0</v>
      </c>
      <c r="K3823" t="n">
        <v>0</v>
      </c>
      <c r="L3823" t="n">
        <v>0</v>
      </c>
      <c r="M3823" t="n">
        <v>0</v>
      </c>
      <c r="N3823" t="n">
        <v>0</v>
      </c>
      <c r="O3823" t="n">
        <v>0</v>
      </c>
      <c r="P3823" t="n">
        <v>0</v>
      </c>
      <c r="Q3823" t="n">
        <v>0</v>
      </c>
      <c r="R3823" s="2" t="inlineStr"/>
    </row>
    <row r="3824" ht="15" customHeight="1">
      <c r="A3824" t="inlineStr">
        <is>
          <t>A 63793-2023</t>
        </is>
      </c>
      <c r="B3824" s="1" t="n">
        <v>45278</v>
      </c>
      <c r="C3824" s="1" t="n">
        <v>45358</v>
      </c>
      <c r="D3824" t="inlineStr">
        <is>
          <t>HALLANDS LÄN</t>
        </is>
      </c>
      <c r="E3824" t="inlineStr">
        <is>
          <t>LAHOLM</t>
        </is>
      </c>
      <c r="G3824" t="n">
        <v>6.2</v>
      </c>
      <c r="H3824" t="n">
        <v>0</v>
      </c>
      <c r="I3824" t="n">
        <v>0</v>
      </c>
      <c r="J3824" t="n">
        <v>0</v>
      </c>
      <c r="K3824" t="n">
        <v>0</v>
      </c>
      <c r="L3824" t="n">
        <v>0</v>
      </c>
      <c r="M3824" t="n">
        <v>0</v>
      </c>
      <c r="N3824" t="n">
        <v>0</v>
      </c>
      <c r="O3824" t="n">
        <v>0</v>
      </c>
      <c r="P3824" t="n">
        <v>0</v>
      </c>
      <c r="Q3824" t="n">
        <v>0</v>
      </c>
      <c r="R3824" s="2" t="inlineStr"/>
    </row>
    <row r="3825" ht="15" customHeight="1">
      <c r="A3825" t="inlineStr">
        <is>
          <t>A 63826-2023</t>
        </is>
      </c>
      <c r="B3825" s="1" t="n">
        <v>45278</v>
      </c>
      <c r="C3825" s="1" t="n">
        <v>45358</v>
      </c>
      <c r="D3825" t="inlineStr">
        <is>
          <t>HALLANDS LÄN</t>
        </is>
      </c>
      <c r="E3825" t="inlineStr">
        <is>
          <t>HALMSTAD</t>
        </is>
      </c>
      <c r="G3825" t="n">
        <v>0.7</v>
      </c>
      <c r="H3825" t="n">
        <v>0</v>
      </c>
      <c r="I3825" t="n">
        <v>0</v>
      </c>
      <c r="J3825" t="n">
        <v>0</v>
      </c>
      <c r="K3825" t="n">
        <v>0</v>
      </c>
      <c r="L3825" t="n">
        <v>0</v>
      </c>
      <c r="M3825" t="n">
        <v>0</v>
      </c>
      <c r="N3825" t="n">
        <v>0</v>
      </c>
      <c r="O3825" t="n">
        <v>0</v>
      </c>
      <c r="P3825" t="n">
        <v>0</v>
      </c>
      <c r="Q3825" t="n">
        <v>0</v>
      </c>
      <c r="R3825" s="2" t="inlineStr"/>
    </row>
    <row r="3826" ht="15" customHeight="1">
      <c r="A3826" t="inlineStr">
        <is>
          <t>A 63854-2023</t>
        </is>
      </c>
      <c r="B3826" s="1" t="n">
        <v>45278</v>
      </c>
      <c r="C3826" s="1" t="n">
        <v>45358</v>
      </c>
      <c r="D3826" t="inlineStr">
        <is>
          <t>HALLANDS LÄN</t>
        </is>
      </c>
      <c r="E3826" t="inlineStr">
        <is>
          <t>HYLTE</t>
        </is>
      </c>
      <c r="G3826" t="n">
        <v>1.1</v>
      </c>
      <c r="H3826" t="n">
        <v>0</v>
      </c>
      <c r="I3826" t="n">
        <v>0</v>
      </c>
      <c r="J3826" t="n">
        <v>0</v>
      </c>
      <c r="K3826" t="n">
        <v>0</v>
      </c>
      <c r="L3826" t="n">
        <v>0</v>
      </c>
      <c r="M3826" t="n">
        <v>0</v>
      </c>
      <c r="N3826" t="n">
        <v>0</v>
      </c>
      <c r="O3826" t="n">
        <v>0</v>
      </c>
      <c r="P3826" t="n">
        <v>0</v>
      </c>
      <c r="Q3826" t="n">
        <v>0</v>
      </c>
      <c r="R3826" s="2" t="inlineStr"/>
    </row>
    <row r="3827" ht="15" customHeight="1">
      <c r="A3827" t="inlineStr">
        <is>
          <t>A 64004-2023</t>
        </is>
      </c>
      <c r="B3827" s="1" t="n">
        <v>45278</v>
      </c>
      <c r="C3827" s="1" t="n">
        <v>45358</v>
      </c>
      <c r="D3827" t="inlineStr">
        <is>
          <t>HALLANDS LÄN</t>
        </is>
      </c>
      <c r="E3827" t="inlineStr">
        <is>
          <t>FALKENBERG</t>
        </is>
      </c>
      <c r="G3827" t="n">
        <v>0.8</v>
      </c>
      <c r="H3827" t="n">
        <v>0</v>
      </c>
      <c r="I3827" t="n">
        <v>0</v>
      </c>
      <c r="J3827" t="n">
        <v>0</v>
      </c>
      <c r="K3827" t="n">
        <v>0</v>
      </c>
      <c r="L3827" t="n">
        <v>0</v>
      </c>
      <c r="M3827" t="n">
        <v>0</v>
      </c>
      <c r="N3827" t="n">
        <v>0</v>
      </c>
      <c r="O3827" t="n">
        <v>0</v>
      </c>
      <c r="P3827" t="n">
        <v>0</v>
      </c>
      <c r="Q3827" t="n">
        <v>0</v>
      </c>
      <c r="R3827" s="2" t="inlineStr"/>
    </row>
    <row r="3828" ht="15" customHeight="1">
      <c r="A3828" t="inlineStr">
        <is>
          <t>A 64137-2023</t>
        </is>
      </c>
      <c r="B3828" s="1" t="n">
        <v>45279</v>
      </c>
      <c r="C3828" s="1" t="n">
        <v>45358</v>
      </c>
      <c r="D3828" t="inlineStr">
        <is>
          <t>HALLANDS LÄN</t>
        </is>
      </c>
      <c r="E3828" t="inlineStr">
        <is>
          <t>HALMSTAD</t>
        </is>
      </c>
      <c r="F3828" t="inlineStr">
        <is>
          <t>Bergvik skog väst AB</t>
        </is>
      </c>
      <c r="G3828" t="n">
        <v>6.6</v>
      </c>
      <c r="H3828" t="n">
        <v>0</v>
      </c>
      <c r="I3828" t="n">
        <v>0</v>
      </c>
      <c r="J3828" t="n">
        <v>0</v>
      </c>
      <c r="K3828" t="n">
        <v>0</v>
      </c>
      <c r="L3828" t="n">
        <v>0</v>
      </c>
      <c r="M3828" t="n">
        <v>0</v>
      </c>
      <c r="N3828" t="n">
        <v>0</v>
      </c>
      <c r="O3828" t="n">
        <v>0</v>
      </c>
      <c r="P3828" t="n">
        <v>0</v>
      </c>
      <c r="Q3828" t="n">
        <v>0</v>
      </c>
      <c r="R3828" s="2" t="inlineStr"/>
    </row>
    <row r="3829" ht="15" customHeight="1">
      <c r="A3829" t="inlineStr">
        <is>
          <t>A 64145-2023</t>
        </is>
      </c>
      <c r="B3829" s="1" t="n">
        <v>45279</v>
      </c>
      <c r="C3829" s="1" t="n">
        <v>45358</v>
      </c>
      <c r="D3829" t="inlineStr">
        <is>
          <t>HALLANDS LÄN</t>
        </is>
      </c>
      <c r="E3829" t="inlineStr">
        <is>
          <t>HYLTE</t>
        </is>
      </c>
      <c r="F3829" t="inlineStr">
        <is>
          <t>Bergvik skog väst AB</t>
        </is>
      </c>
      <c r="G3829" t="n">
        <v>18.4</v>
      </c>
      <c r="H3829" t="n">
        <v>0</v>
      </c>
      <c r="I3829" t="n">
        <v>0</v>
      </c>
      <c r="J3829" t="n">
        <v>0</v>
      </c>
      <c r="K3829" t="n">
        <v>0</v>
      </c>
      <c r="L3829" t="n">
        <v>0</v>
      </c>
      <c r="M3829" t="n">
        <v>0</v>
      </c>
      <c r="N3829" t="n">
        <v>0</v>
      </c>
      <c r="O3829" t="n">
        <v>0</v>
      </c>
      <c r="P3829" t="n">
        <v>0</v>
      </c>
      <c r="Q3829" t="n">
        <v>0</v>
      </c>
      <c r="R3829" s="2" t="inlineStr"/>
    </row>
    <row r="3830" ht="15" customHeight="1">
      <c r="A3830" t="inlineStr">
        <is>
          <t>A 64203-2023</t>
        </is>
      </c>
      <c r="B3830" s="1" t="n">
        <v>45279</v>
      </c>
      <c r="C3830" s="1" t="n">
        <v>45358</v>
      </c>
      <c r="D3830" t="inlineStr">
        <is>
          <t>HALLANDS LÄN</t>
        </is>
      </c>
      <c r="E3830" t="inlineStr">
        <is>
          <t>VARBERG</t>
        </is>
      </c>
      <c r="G3830" t="n">
        <v>2.1</v>
      </c>
      <c r="H3830" t="n">
        <v>0</v>
      </c>
      <c r="I3830" t="n">
        <v>0</v>
      </c>
      <c r="J3830" t="n">
        <v>0</v>
      </c>
      <c r="K3830" t="n">
        <v>0</v>
      </c>
      <c r="L3830" t="n">
        <v>0</v>
      </c>
      <c r="M3830" t="n">
        <v>0</v>
      </c>
      <c r="N3830" t="n">
        <v>0</v>
      </c>
      <c r="O3830" t="n">
        <v>0</v>
      </c>
      <c r="P3830" t="n">
        <v>0</v>
      </c>
      <c r="Q3830" t="n">
        <v>0</v>
      </c>
      <c r="R3830" s="2" t="inlineStr"/>
    </row>
    <row r="3831" ht="15" customHeight="1">
      <c r="A3831" t="inlineStr">
        <is>
          <t>A 64231-2023</t>
        </is>
      </c>
      <c r="B3831" s="1" t="n">
        <v>45279</v>
      </c>
      <c r="C3831" s="1" t="n">
        <v>45358</v>
      </c>
      <c r="D3831" t="inlineStr">
        <is>
          <t>HALLANDS LÄN</t>
        </is>
      </c>
      <c r="E3831" t="inlineStr">
        <is>
          <t>HALMSTAD</t>
        </is>
      </c>
      <c r="G3831" t="n">
        <v>1</v>
      </c>
      <c r="H3831" t="n">
        <v>0</v>
      </c>
      <c r="I3831" t="n">
        <v>0</v>
      </c>
      <c r="J3831" t="n">
        <v>0</v>
      </c>
      <c r="K3831" t="n">
        <v>0</v>
      </c>
      <c r="L3831" t="n">
        <v>0</v>
      </c>
      <c r="M3831" t="n">
        <v>0</v>
      </c>
      <c r="N3831" t="n">
        <v>0</v>
      </c>
      <c r="O3831" t="n">
        <v>0</v>
      </c>
      <c r="P3831" t="n">
        <v>0</v>
      </c>
      <c r="Q3831" t="n">
        <v>0</v>
      </c>
      <c r="R3831" s="2" t="inlineStr"/>
    </row>
    <row r="3832" ht="15" customHeight="1">
      <c r="A3832" t="inlineStr">
        <is>
          <t>A 64136-2023</t>
        </is>
      </c>
      <c r="B3832" s="1" t="n">
        <v>45279</v>
      </c>
      <c r="C3832" s="1" t="n">
        <v>45358</v>
      </c>
      <c r="D3832" t="inlineStr">
        <is>
          <t>HALLANDS LÄN</t>
        </is>
      </c>
      <c r="E3832" t="inlineStr">
        <is>
          <t>HALMSTAD</t>
        </is>
      </c>
      <c r="F3832" t="inlineStr">
        <is>
          <t>Bergvik skog väst AB</t>
        </is>
      </c>
      <c r="G3832" t="n">
        <v>0.6</v>
      </c>
      <c r="H3832" t="n">
        <v>0</v>
      </c>
      <c r="I3832" t="n">
        <v>0</v>
      </c>
      <c r="J3832" t="n">
        <v>0</v>
      </c>
      <c r="K3832" t="n">
        <v>0</v>
      </c>
      <c r="L3832" t="n">
        <v>0</v>
      </c>
      <c r="M3832" t="n">
        <v>0</v>
      </c>
      <c r="N3832" t="n">
        <v>0</v>
      </c>
      <c r="O3832" t="n">
        <v>0</v>
      </c>
      <c r="P3832" t="n">
        <v>0</v>
      </c>
      <c r="Q3832" t="n">
        <v>0</v>
      </c>
      <c r="R3832" s="2" t="inlineStr"/>
    </row>
    <row r="3833" ht="15" customHeight="1">
      <c r="A3833" t="inlineStr">
        <is>
          <t>A 64152-2023</t>
        </is>
      </c>
      <c r="B3833" s="1" t="n">
        <v>45279</v>
      </c>
      <c r="C3833" s="1" t="n">
        <v>45358</v>
      </c>
      <c r="D3833" t="inlineStr">
        <is>
          <t>HALLANDS LÄN</t>
        </is>
      </c>
      <c r="E3833" t="inlineStr">
        <is>
          <t>HALMSTAD</t>
        </is>
      </c>
      <c r="F3833" t="inlineStr">
        <is>
          <t>Bergvik skog väst AB</t>
        </is>
      </c>
      <c r="G3833" t="n">
        <v>0.8</v>
      </c>
      <c r="H3833" t="n">
        <v>0</v>
      </c>
      <c r="I3833" t="n">
        <v>0</v>
      </c>
      <c r="J3833" t="n">
        <v>0</v>
      </c>
      <c r="K3833" t="n">
        <v>0</v>
      </c>
      <c r="L3833" t="n">
        <v>0</v>
      </c>
      <c r="M3833" t="n">
        <v>0</v>
      </c>
      <c r="N3833" t="n">
        <v>0</v>
      </c>
      <c r="O3833" t="n">
        <v>0</v>
      </c>
      <c r="P3833" t="n">
        <v>0</v>
      </c>
      <c r="Q3833" t="n">
        <v>0</v>
      </c>
      <c r="R3833" s="2" t="inlineStr"/>
    </row>
    <row r="3834" ht="15" customHeight="1">
      <c r="A3834" t="inlineStr">
        <is>
          <t>A 64230-2023</t>
        </is>
      </c>
      <c r="B3834" s="1" t="n">
        <v>45279</v>
      </c>
      <c r="C3834" s="1" t="n">
        <v>45358</v>
      </c>
      <c r="D3834" t="inlineStr">
        <is>
          <t>HALLANDS LÄN</t>
        </is>
      </c>
      <c r="E3834" t="inlineStr">
        <is>
          <t>HALMSTAD</t>
        </is>
      </c>
      <c r="G3834" t="n">
        <v>3.1</v>
      </c>
      <c r="H3834" t="n">
        <v>0</v>
      </c>
      <c r="I3834" t="n">
        <v>0</v>
      </c>
      <c r="J3834" t="n">
        <v>0</v>
      </c>
      <c r="K3834" t="n">
        <v>0</v>
      </c>
      <c r="L3834" t="n">
        <v>0</v>
      </c>
      <c r="M3834" t="n">
        <v>0</v>
      </c>
      <c r="N3834" t="n">
        <v>0</v>
      </c>
      <c r="O3834" t="n">
        <v>0</v>
      </c>
      <c r="P3834" t="n">
        <v>0</v>
      </c>
      <c r="Q3834" t="n">
        <v>0</v>
      </c>
      <c r="R3834" s="2" t="inlineStr"/>
    </row>
    <row r="3835" ht="15" customHeight="1">
      <c r="A3835" t="inlineStr">
        <is>
          <t>A 64455-2023</t>
        </is>
      </c>
      <c r="B3835" s="1" t="n">
        <v>45280</v>
      </c>
      <c r="C3835" s="1" t="n">
        <v>45358</v>
      </c>
      <c r="D3835" t="inlineStr">
        <is>
          <t>HALLANDS LÄN</t>
        </is>
      </c>
      <c r="E3835" t="inlineStr">
        <is>
          <t>FALKENBERG</t>
        </is>
      </c>
      <c r="G3835" t="n">
        <v>0.8</v>
      </c>
      <c r="H3835" t="n">
        <v>0</v>
      </c>
      <c r="I3835" t="n">
        <v>0</v>
      </c>
      <c r="J3835" t="n">
        <v>0</v>
      </c>
      <c r="K3835" t="n">
        <v>0</v>
      </c>
      <c r="L3835" t="n">
        <v>0</v>
      </c>
      <c r="M3835" t="n">
        <v>0</v>
      </c>
      <c r="N3835" t="n">
        <v>0</v>
      </c>
      <c r="O3835" t="n">
        <v>0</v>
      </c>
      <c r="P3835" t="n">
        <v>0</v>
      </c>
      <c r="Q3835" t="n">
        <v>0</v>
      </c>
      <c r="R3835" s="2" t="inlineStr"/>
    </row>
    <row r="3836" ht="15" customHeight="1">
      <c r="A3836" t="inlineStr">
        <is>
          <t>A 64363-2023</t>
        </is>
      </c>
      <c r="B3836" s="1" t="n">
        <v>45280</v>
      </c>
      <c r="C3836" s="1" t="n">
        <v>45358</v>
      </c>
      <c r="D3836" t="inlineStr">
        <is>
          <t>HALLANDS LÄN</t>
        </is>
      </c>
      <c r="E3836" t="inlineStr">
        <is>
          <t>KUNGSBACKA</t>
        </is>
      </c>
      <c r="G3836" t="n">
        <v>0.7</v>
      </c>
      <c r="H3836" t="n">
        <v>0</v>
      </c>
      <c r="I3836" t="n">
        <v>0</v>
      </c>
      <c r="J3836" t="n">
        <v>0</v>
      </c>
      <c r="K3836" t="n">
        <v>0</v>
      </c>
      <c r="L3836" t="n">
        <v>0</v>
      </c>
      <c r="M3836" t="n">
        <v>0</v>
      </c>
      <c r="N3836" t="n">
        <v>0</v>
      </c>
      <c r="O3836" t="n">
        <v>0</v>
      </c>
      <c r="P3836" t="n">
        <v>0</v>
      </c>
      <c r="Q3836" t="n">
        <v>0</v>
      </c>
      <c r="R3836" s="2" t="inlineStr"/>
    </row>
    <row r="3837" ht="15" customHeight="1">
      <c r="A3837" t="inlineStr">
        <is>
          <t>A 64404-2023</t>
        </is>
      </c>
      <c r="B3837" s="1" t="n">
        <v>45280</v>
      </c>
      <c r="C3837" s="1" t="n">
        <v>45358</v>
      </c>
      <c r="D3837" t="inlineStr">
        <is>
          <t>HALLANDS LÄN</t>
        </is>
      </c>
      <c r="E3837" t="inlineStr">
        <is>
          <t>FALKENBERG</t>
        </is>
      </c>
      <c r="G3837" t="n">
        <v>0.7</v>
      </c>
      <c r="H3837" t="n">
        <v>0</v>
      </c>
      <c r="I3837" t="n">
        <v>0</v>
      </c>
      <c r="J3837" t="n">
        <v>0</v>
      </c>
      <c r="K3837" t="n">
        <v>0</v>
      </c>
      <c r="L3837" t="n">
        <v>0</v>
      </c>
      <c r="M3837" t="n">
        <v>0</v>
      </c>
      <c r="N3837" t="n">
        <v>0</v>
      </c>
      <c r="O3837" t="n">
        <v>0</v>
      </c>
      <c r="P3837" t="n">
        <v>0</v>
      </c>
      <c r="Q3837" t="n">
        <v>0</v>
      </c>
      <c r="R3837" s="2" t="inlineStr"/>
    </row>
    <row r="3838" ht="15" customHeight="1">
      <c r="A3838" t="inlineStr">
        <is>
          <t>A 64679-2023</t>
        </is>
      </c>
      <c r="B3838" s="1" t="n">
        <v>45281</v>
      </c>
      <c r="C3838" s="1" t="n">
        <v>45358</v>
      </c>
      <c r="D3838" t="inlineStr">
        <is>
          <t>HALLANDS LÄN</t>
        </is>
      </c>
      <c r="E3838" t="inlineStr">
        <is>
          <t>HYLTE</t>
        </is>
      </c>
      <c r="G3838" t="n">
        <v>0.5</v>
      </c>
      <c r="H3838" t="n">
        <v>0</v>
      </c>
      <c r="I3838" t="n">
        <v>0</v>
      </c>
      <c r="J3838" t="n">
        <v>0</v>
      </c>
      <c r="K3838" t="n">
        <v>0</v>
      </c>
      <c r="L3838" t="n">
        <v>0</v>
      </c>
      <c r="M3838" t="n">
        <v>0</v>
      </c>
      <c r="N3838" t="n">
        <v>0</v>
      </c>
      <c r="O3838" t="n">
        <v>0</v>
      </c>
      <c r="P3838" t="n">
        <v>0</v>
      </c>
      <c r="Q3838" t="n">
        <v>0</v>
      </c>
      <c r="R3838" s="2" t="inlineStr"/>
    </row>
    <row r="3839" ht="15" customHeight="1">
      <c r="A3839" t="inlineStr">
        <is>
          <t>A 64684-2023</t>
        </is>
      </c>
      <c r="B3839" s="1" t="n">
        <v>45281</v>
      </c>
      <c r="C3839" s="1" t="n">
        <v>45358</v>
      </c>
      <c r="D3839" t="inlineStr">
        <is>
          <t>HALLANDS LÄN</t>
        </is>
      </c>
      <c r="E3839" t="inlineStr">
        <is>
          <t>HYLTE</t>
        </is>
      </c>
      <c r="G3839" t="n">
        <v>0.8</v>
      </c>
      <c r="H3839" t="n">
        <v>0</v>
      </c>
      <c r="I3839" t="n">
        <v>0</v>
      </c>
      <c r="J3839" t="n">
        <v>0</v>
      </c>
      <c r="K3839" t="n">
        <v>0</v>
      </c>
      <c r="L3839" t="n">
        <v>0</v>
      </c>
      <c r="M3839" t="n">
        <v>0</v>
      </c>
      <c r="N3839" t="n">
        <v>0</v>
      </c>
      <c r="O3839" t="n">
        <v>0</v>
      </c>
      <c r="P3839" t="n">
        <v>0</v>
      </c>
      <c r="Q3839" t="n">
        <v>0</v>
      </c>
      <c r="R3839" s="2" t="inlineStr"/>
    </row>
    <row r="3840" ht="15" customHeight="1">
      <c r="A3840" t="inlineStr">
        <is>
          <t>A 64767-2023</t>
        </is>
      </c>
      <c r="B3840" s="1" t="n">
        <v>45281</v>
      </c>
      <c r="C3840" s="1" t="n">
        <v>45358</v>
      </c>
      <c r="D3840" t="inlineStr">
        <is>
          <t>HALLANDS LÄN</t>
        </is>
      </c>
      <c r="E3840" t="inlineStr">
        <is>
          <t>VARBERG</t>
        </is>
      </c>
      <c r="G3840" t="n">
        <v>0.3</v>
      </c>
      <c r="H3840" t="n">
        <v>0</v>
      </c>
      <c r="I3840" t="n">
        <v>0</v>
      </c>
      <c r="J3840" t="n">
        <v>0</v>
      </c>
      <c r="K3840" t="n">
        <v>0</v>
      </c>
      <c r="L3840" t="n">
        <v>0</v>
      </c>
      <c r="M3840" t="n">
        <v>0</v>
      </c>
      <c r="N3840" t="n">
        <v>0</v>
      </c>
      <c r="O3840" t="n">
        <v>0</v>
      </c>
      <c r="P3840" t="n">
        <v>0</v>
      </c>
      <c r="Q3840" t="n">
        <v>0</v>
      </c>
      <c r="R3840" s="2" t="inlineStr"/>
    </row>
    <row r="3841" ht="15" customHeight="1">
      <c r="A3841" t="inlineStr">
        <is>
          <t>A 64836-2023</t>
        </is>
      </c>
      <c r="B3841" s="1" t="n">
        <v>45282</v>
      </c>
      <c r="C3841" s="1" t="n">
        <v>45358</v>
      </c>
      <c r="D3841" t="inlineStr">
        <is>
          <t>HALLANDS LÄN</t>
        </is>
      </c>
      <c r="E3841" t="inlineStr">
        <is>
          <t>FALKENBERG</t>
        </is>
      </c>
      <c r="G3841" t="n">
        <v>7.2</v>
      </c>
      <c r="H3841" t="n">
        <v>0</v>
      </c>
      <c r="I3841" t="n">
        <v>0</v>
      </c>
      <c r="J3841" t="n">
        <v>0</v>
      </c>
      <c r="K3841" t="n">
        <v>0</v>
      </c>
      <c r="L3841" t="n">
        <v>0</v>
      </c>
      <c r="M3841" t="n">
        <v>0</v>
      </c>
      <c r="N3841" t="n">
        <v>0</v>
      </c>
      <c r="O3841" t="n">
        <v>0</v>
      </c>
      <c r="P3841" t="n">
        <v>0</v>
      </c>
      <c r="Q3841" t="n">
        <v>0</v>
      </c>
      <c r="R3841" s="2" t="inlineStr"/>
    </row>
    <row r="3842" ht="15" customHeight="1">
      <c r="A3842" t="inlineStr">
        <is>
          <t>A 64863-2023</t>
        </is>
      </c>
      <c r="B3842" s="1" t="n">
        <v>45282</v>
      </c>
      <c r="C3842" s="1" t="n">
        <v>45358</v>
      </c>
      <c r="D3842" t="inlineStr">
        <is>
          <t>HALLANDS LÄN</t>
        </is>
      </c>
      <c r="E3842" t="inlineStr">
        <is>
          <t>FALKENBERG</t>
        </is>
      </c>
      <c r="G3842" t="n">
        <v>1.9</v>
      </c>
      <c r="H3842" t="n">
        <v>0</v>
      </c>
      <c r="I3842" t="n">
        <v>0</v>
      </c>
      <c r="J3842" t="n">
        <v>0</v>
      </c>
      <c r="K3842" t="n">
        <v>0</v>
      </c>
      <c r="L3842" t="n">
        <v>0</v>
      </c>
      <c r="M3842" t="n">
        <v>0</v>
      </c>
      <c r="N3842" t="n">
        <v>0</v>
      </c>
      <c r="O3842" t="n">
        <v>0</v>
      </c>
      <c r="P3842" t="n">
        <v>0</v>
      </c>
      <c r="Q3842" t="n">
        <v>0</v>
      </c>
      <c r="R3842" s="2" t="inlineStr"/>
    </row>
    <row r="3843" ht="15" customHeight="1">
      <c r="A3843" t="inlineStr">
        <is>
          <t>A 64923-2023</t>
        </is>
      </c>
      <c r="B3843" s="1" t="n">
        <v>45282</v>
      </c>
      <c r="C3843" s="1" t="n">
        <v>45358</v>
      </c>
      <c r="D3843" t="inlineStr">
        <is>
          <t>HALLANDS LÄN</t>
        </is>
      </c>
      <c r="E3843" t="inlineStr">
        <is>
          <t>LAHOLM</t>
        </is>
      </c>
      <c r="F3843" t="inlineStr">
        <is>
          <t>Övriga Aktiebolag</t>
        </is>
      </c>
      <c r="G3843" t="n">
        <v>1.2</v>
      </c>
      <c r="H3843" t="n">
        <v>0</v>
      </c>
      <c r="I3843" t="n">
        <v>0</v>
      </c>
      <c r="J3843" t="n">
        <v>0</v>
      </c>
      <c r="K3843" t="n">
        <v>0</v>
      </c>
      <c r="L3843" t="n">
        <v>0</v>
      </c>
      <c r="M3843" t="n">
        <v>0</v>
      </c>
      <c r="N3843" t="n">
        <v>0</v>
      </c>
      <c r="O3843" t="n">
        <v>0</v>
      </c>
      <c r="P3843" t="n">
        <v>0</v>
      </c>
      <c r="Q3843" t="n">
        <v>0</v>
      </c>
      <c r="R3843" s="2" t="inlineStr"/>
    </row>
    <row r="3844" ht="15" customHeight="1">
      <c r="A3844" t="inlineStr">
        <is>
          <t>A 64864-2023</t>
        </is>
      </c>
      <c r="B3844" s="1" t="n">
        <v>45282</v>
      </c>
      <c r="C3844" s="1" t="n">
        <v>45358</v>
      </c>
      <c r="D3844" t="inlineStr">
        <is>
          <t>HALLANDS LÄN</t>
        </is>
      </c>
      <c r="E3844" t="inlineStr">
        <is>
          <t>LAHOLM</t>
        </is>
      </c>
      <c r="G3844" t="n">
        <v>0.9</v>
      </c>
      <c r="H3844" t="n">
        <v>0</v>
      </c>
      <c r="I3844" t="n">
        <v>0</v>
      </c>
      <c r="J3844" t="n">
        <v>0</v>
      </c>
      <c r="K3844" t="n">
        <v>0</v>
      </c>
      <c r="L3844" t="n">
        <v>0</v>
      </c>
      <c r="M3844" t="n">
        <v>0</v>
      </c>
      <c r="N3844" t="n">
        <v>0</v>
      </c>
      <c r="O3844" t="n">
        <v>0</v>
      </c>
      <c r="P3844" t="n">
        <v>0</v>
      </c>
      <c r="Q3844" t="n">
        <v>0</v>
      </c>
      <c r="R3844" s="2" t="inlineStr"/>
    </row>
    <row r="3845" ht="15" customHeight="1">
      <c r="A3845" t="inlineStr">
        <is>
          <t>A 64922-2023</t>
        </is>
      </c>
      <c r="B3845" s="1" t="n">
        <v>45282</v>
      </c>
      <c r="C3845" s="1" t="n">
        <v>45358</v>
      </c>
      <c r="D3845" t="inlineStr">
        <is>
          <t>HALLANDS LÄN</t>
        </is>
      </c>
      <c r="E3845" t="inlineStr">
        <is>
          <t>LAHOLM</t>
        </is>
      </c>
      <c r="F3845" t="inlineStr">
        <is>
          <t>Övriga Aktiebolag</t>
        </is>
      </c>
      <c r="G3845" t="n">
        <v>1.6</v>
      </c>
      <c r="H3845" t="n">
        <v>0</v>
      </c>
      <c r="I3845" t="n">
        <v>0</v>
      </c>
      <c r="J3845" t="n">
        <v>0</v>
      </c>
      <c r="K3845" t="n">
        <v>0</v>
      </c>
      <c r="L3845" t="n">
        <v>0</v>
      </c>
      <c r="M3845" t="n">
        <v>0</v>
      </c>
      <c r="N3845" t="n">
        <v>0</v>
      </c>
      <c r="O3845" t="n">
        <v>0</v>
      </c>
      <c r="P3845" t="n">
        <v>0</v>
      </c>
      <c r="Q3845" t="n">
        <v>0</v>
      </c>
      <c r="R3845" s="2" t="inlineStr"/>
    </row>
    <row r="3846" ht="15" customHeight="1">
      <c r="A3846" t="inlineStr">
        <is>
          <t>A 64919-2023</t>
        </is>
      </c>
      <c r="B3846" s="1" t="n">
        <v>45282</v>
      </c>
      <c r="C3846" s="1" t="n">
        <v>45358</v>
      </c>
      <c r="D3846" t="inlineStr">
        <is>
          <t>HALLANDS LÄN</t>
        </is>
      </c>
      <c r="E3846" t="inlineStr">
        <is>
          <t>LAHOLM</t>
        </is>
      </c>
      <c r="F3846" t="inlineStr">
        <is>
          <t>Övriga Aktiebolag</t>
        </is>
      </c>
      <c r="G3846" t="n">
        <v>2</v>
      </c>
      <c r="H3846" t="n">
        <v>0</v>
      </c>
      <c r="I3846" t="n">
        <v>0</v>
      </c>
      <c r="J3846" t="n">
        <v>0</v>
      </c>
      <c r="K3846" t="n">
        <v>0</v>
      </c>
      <c r="L3846" t="n">
        <v>0</v>
      </c>
      <c r="M3846" t="n">
        <v>0</v>
      </c>
      <c r="N3846" t="n">
        <v>0</v>
      </c>
      <c r="O3846" t="n">
        <v>0</v>
      </c>
      <c r="P3846" t="n">
        <v>0</v>
      </c>
      <c r="Q3846" t="n">
        <v>0</v>
      </c>
      <c r="R3846" s="2" t="inlineStr"/>
    </row>
    <row r="3847" ht="15" customHeight="1">
      <c r="A3847" t="inlineStr">
        <is>
          <t>A 64848-2023</t>
        </is>
      </c>
      <c r="B3847" s="1" t="n">
        <v>45282</v>
      </c>
      <c r="C3847" s="1" t="n">
        <v>45358</v>
      </c>
      <c r="D3847" t="inlineStr">
        <is>
          <t>HALLANDS LÄN</t>
        </is>
      </c>
      <c r="E3847" t="inlineStr">
        <is>
          <t>VARBERG</t>
        </is>
      </c>
      <c r="G3847" t="n">
        <v>1.2</v>
      </c>
      <c r="H3847" t="n">
        <v>0</v>
      </c>
      <c r="I3847" t="n">
        <v>0</v>
      </c>
      <c r="J3847" t="n">
        <v>0</v>
      </c>
      <c r="K3847" t="n">
        <v>0</v>
      </c>
      <c r="L3847" t="n">
        <v>0</v>
      </c>
      <c r="M3847" t="n">
        <v>0</v>
      </c>
      <c r="N3847" t="n">
        <v>0</v>
      </c>
      <c r="O3847" t="n">
        <v>0</v>
      </c>
      <c r="P3847" t="n">
        <v>0</v>
      </c>
      <c r="Q3847" t="n">
        <v>0</v>
      </c>
      <c r="R3847" s="2" t="inlineStr"/>
    </row>
    <row r="3848" ht="15" customHeight="1">
      <c r="A3848" t="inlineStr">
        <is>
          <t>A 65003-2023</t>
        </is>
      </c>
      <c r="B3848" s="1" t="n">
        <v>45287</v>
      </c>
      <c r="C3848" s="1" t="n">
        <v>45358</v>
      </c>
      <c r="D3848" t="inlineStr">
        <is>
          <t>HALLANDS LÄN</t>
        </is>
      </c>
      <c r="E3848" t="inlineStr">
        <is>
          <t>HYLTE</t>
        </is>
      </c>
      <c r="G3848" t="n">
        <v>3.6</v>
      </c>
      <c r="H3848" t="n">
        <v>0</v>
      </c>
      <c r="I3848" t="n">
        <v>0</v>
      </c>
      <c r="J3848" t="n">
        <v>0</v>
      </c>
      <c r="K3848" t="n">
        <v>0</v>
      </c>
      <c r="L3848" t="n">
        <v>0</v>
      </c>
      <c r="M3848" t="n">
        <v>0</v>
      </c>
      <c r="N3848" t="n">
        <v>0</v>
      </c>
      <c r="O3848" t="n">
        <v>0</v>
      </c>
      <c r="P3848" t="n">
        <v>0</v>
      </c>
      <c r="Q3848" t="n">
        <v>0</v>
      </c>
      <c r="R3848" s="2" t="inlineStr"/>
    </row>
    <row r="3849" ht="15" customHeight="1">
      <c r="A3849" t="inlineStr">
        <is>
          <t>A 65126-2023</t>
        </is>
      </c>
      <c r="B3849" s="1" t="n">
        <v>45288</v>
      </c>
      <c r="C3849" s="1" t="n">
        <v>45358</v>
      </c>
      <c r="D3849" t="inlineStr">
        <is>
          <t>HALLANDS LÄN</t>
        </is>
      </c>
      <c r="E3849" t="inlineStr">
        <is>
          <t>HYLTE</t>
        </is>
      </c>
      <c r="F3849" t="inlineStr">
        <is>
          <t>Kommuner</t>
        </is>
      </c>
      <c r="G3849" t="n">
        <v>1.8</v>
      </c>
      <c r="H3849" t="n">
        <v>0</v>
      </c>
      <c r="I3849" t="n">
        <v>0</v>
      </c>
      <c r="J3849" t="n">
        <v>0</v>
      </c>
      <c r="K3849" t="n">
        <v>0</v>
      </c>
      <c r="L3849" t="n">
        <v>0</v>
      </c>
      <c r="M3849" t="n">
        <v>0</v>
      </c>
      <c r="N3849" t="n">
        <v>0</v>
      </c>
      <c r="O3849" t="n">
        <v>0</v>
      </c>
      <c r="P3849" t="n">
        <v>0</v>
      </c>
      <c r="Q3849" t="n">
        <v>0</v>
      </c>
      <c r="R3849" s="2" t="inlineStr"/>
    </row>
    <row r="3850" ht="15" customHeight="1">
      <c r="A3850" t="inlineStr">
        <is>
          <t>A 65199-2023</t>
        </is>
      </c>
      <c r="B3850" s="1" t="n">
        <v>45288</v>
      </c>
      <c r="C3850" s="1" t="n">
        <v>45358</v>
      </c>
      <c r="D3850" t="inlineStr">
        <is>
          <t>HALLANDS LÄN</t>
        </is>
      </c>
      <c r="E3850" t="inlineStr">
        <is>
          <t>KUNGSBACKA</t>
        </is>
      </c>
      <c r="G3850" t="n">
        <v>4</v>
      </c>
      <c r="H3850" t="n">
        <v>0</v>
      </c>
      <c r="I3850" t="n">
        <v>0</v>
      </c>
      <c r="J3850" t="n">
        <v>0</v>
      </c>
      <c r="K3850" t="n">
        <v>0</v>
      </c>
      <c r="L3850" t="n">
        <v>0</v>
      </c>
      <c r="M3850" t="n">
        <v>0</v>
      </c>
      <c r="N3850" t="n">
        <v>0</v>
      </c>
      <c r="O3850" t="n">
        <v>0</v>
      </c>
      <c r="P3850" t="n">
        <v>0</v>
      </c>
      <c r="Q3850" t="n">
        <v>0</v>
      </c>
      <c r="R3850" s="2" t="inlineStr"/>
    </row>
    <row r="3851" ht="15" customHeight="1">
      <c r="A3851" t="inlineStr">
        <is>
          <t>A 53-2024</t>
        </is>
      </c>
      <c r="B3851" s="1" t="n">
        <v>45293</v>
      </c>
      <c r="C3851" s="1" t="n">
        <v>45358</v>
      </c>
      <c r="D3851" t="inlineStr">
        <is>
          <t>HALLANDS LÄN</t>
        </is>
      </c>
      <c r="E3851" t="inlineStr">
        <is>
          <t>HYLTE</t>
        </is>
      </c>
      <c r="G3851" t="n">
        <v>0.8</v>
      </c>
      <c r="H3851" t="n">
        <v>0</v>
      </c>
      <c r="I3851" t="n">
        <v>0</v>
      </c>
      <c r="J3851" t="n">
        <v>0</v>
      </c>
      <c r="K3851" t="n">
        <v>0</v>
      </c>
      <c r="L3851" t="n">
        <v>0</v>
      </c>
      <c r="M3851" t="n">
        <v>0</v>
      </c>
      <c r="N3851" t="n">
        <v>0</v>
      </c>
      <c r="O3851" t="n">
        <v>0</v>
      </c>
      <c r="P3851" t="n">
        <v>0</v>
      </c>
      <c r="Q3851" t="n">
        <v>0</v>
      </c>
      <c r="R3851" s="2" t="inlineStr"/>
    </row>
    <row r="3852" ht="15" customHeight="1">
      <c r="A3852" t="inlineStr">
        <is>
          <t>A 50-2024</t>
        </is>
      </c>
      <c r="B3852" s="1" t="n">
        <v>45293</v>
      </c>
      <c r="C3852" s="1" t="n">
        <v>45358</v>
      </c>
      <c r="D3852" t="inlineStr">
        <is>
          <t>HALLANDS LÄN</t>
        </is>
      </c>
      <c r="E3852" t="inlineStr">
        <is>
          <t>HYLTE</t>
        </is>
      </c>
      <c r="G3852" t="n">
        <v>1.4</v>
      </c>
      <c r="H3852" t="n">
        <v>0</v>
      </c>
      <c r="I3852" t="n">
        <v>0</v>
      </c>
      <c r="J3852" t="n">
        <v>0</v>
      </c>
      <c r="K3852" t="n">
        <v>0</v>
      </c>
      <c r="L3852" t="n">
        <v>0</v>
      </c>
      <c r="M3852" t="n">
        <v>0</v>
      </c>
      <c r="N3852" t="n">
        <v>0</v>
      </c>
      <c r="O3852" t="n">
        <v>0</v>
      </c>
      <c r="P3852" t="n">
        <v>0</v>
      </c>
      <c r="Q3852" t="n">
        <v>0</v>
      </c>
      <c r="R3852" s="2" t="inlineStr"/>
    </row>
    <row r="3853" ht="15" customHeight="1">
      <c r="A3853" t="inlineStr">
        <is>
          <t>A 58-2024</t>
        </is>
      </c>
      <c r="B3853" s="1" t="n">
        <v>45293</v>
      </c>
      <c r="C3853" s="1" t="n">
        <v>45358</v>
      </c>
      <c r="D3853" t="inlineStr">
        <is>
          <t>HALLANDS LÄN</t>
        </is>
      </c>
      <c r="E3853" t="inlineStr">
        <is>
          <t>HYLTE</t>
        </is>
      </c>
      <c r="G3853" t="n">
        <v>3.3</v>
      </c>
      <c r="H3853" t="n">
        <v>0</v>
      </c>
      <c r="I3853" t="n">
        <v>0</v>
      </c>
      <c r="J3853" t="n">
        <v>0</v>
      </c>
      <c r="K3853" t="n">
        <v>0</v>
      </c>
      <c r="L3853" t="n">
        <v>0</v>
      </c>
      <c r="M3853" t="n">
        <v>0</v>
      </c>
      <c r="N3853" t="n">
        <v>0</v>
      </c>
      <c r="O3853" t="n">
        <v>0</v>
      </c>
      <c r="P3853" t="n">
        <v>0</v>
      </c>
      <c r="Q3853" t="n">
        <v>0</v>
      </c>
      <c r="R3853" s="2" t="inlineStr"/>
    </row>
    <row r="3854" ht="15" customHeight="1">
      <c r="A3854" t="inlineStr">
        <is>
          <t>A 55-2024</t>
        </is>
      </c>
      <c r="B3854" s="1" t="n">
        <v>45293</v>
      </c>
      <c r="C3854" s="1" t="n">
        <v>45358</v>
      </c>
      <c r="D3854" t="inlineStr">
        <is>
          <t>HALLANDS LÄN</t>
        </is>
      </c>
      <c r="E3854" t="inlineStr">
        <is>
          <t>HYLTE</t>
        </is>
      </c>
      <c r="G3854" t="n">
        <v>1.3</v>
      </c>
      <c r="H3854" t="n">
        <v>0</v>
      </c>
      <c r="I3854" t="n">
        <v>0</v>
      </c>
      <c r="J3854" t="n">
        <v>0</v>
      </c>
      <c r="K3854" t="n">
        <v>0</v>
      </c>
      <c r="L3854" t="n">
        <v>0</v>
      </c>
      <c r="M3854" t="n">
        <v>0</v>
      </c>
      <c r="N3854" t="n">
        <v>0</v>
      </c>
      <c r="O3854" t="n">
        <v>0</v>
      </c>
      <c r="P3854" t="n">
        <v>0</v>
      </c>
      <c r="Q3854" t="n">
        <v>0</v>
      </c>
      <c r="R3854" s="2" t="inlineStr"/>
    </row>
    <row r="3855" ht="15" customHeight="1">
      <c r="A3855" t="inlineStr">
        <is>
          <t>A 59-2024</t>
        </is>
      </c>
      <c r="B3855" s="1" t="n">
        <v>45293</v>
      </c>
      <c r="C3855" s="1" t="n">
        <v>45358</v>
      </c>
      <c r="D3855" t="inlineStr">
        <is>
          <t>HALLANDS LÄN</t>
        </is>
      </c>
      <c r="E3855" t="inlineStr">
        <is>
          <t>HYLTE</t>
        </is>
      </c>
      <c r="G3855" t="n">
        <v>0.9</v>
      </c>
      <c r="H3855" t="n">
        <v>0</v>
      </c>
      <c r="I3855" t="n">
        <v>0</v>
      </c>
      <c r="J3855" t="n">
        <v>0</v>
      </c>
      <c r="K3855" t="n">
        <v>0</v>
      </c>
      <c r="L3855" t="n">
        <v>0</v>
      </c>
      <c r="M3855" t="n">
        <v>0</v>
      </c>
      <c r="N3855" t="n">
        <v>0</v>
      </c>
      <c r="O3855" t="n">
        <v>0</v>
      </c>
      <c r="P3855" t="n">
        <v>0</v>
      </c>
      <c r="Q3855" t="n">
        <v>0</v>
      </c>
      <c r="R3855" s="2" t="inlineStr"/>
    </row>
    <row r="3856" ht="15" customHeight="1">
      <c r="A3856" t="inlineStr">
        <is>
          <t>A 268-2024</t>
        </is>
      </c>
      <c r="B3856" s="1" t="n">
        <v>45295</v>
      </c>
      <c r="C3856" s="1" t="n">
        <v>45358</v>
      </c>
      <c r="D3856" t="inlineStr">
        <is>
          <t>HALLANDS LÄN</t>
        </is>
      </c>
      <c r="E3856" t="inlineStr">
        <is>
          <t>HYLTE</t>
        </is>
      </c>
      <c r="G3856" t="n">
        <v>4.4</v>
      </c>
      <c r="H3856" t="n">
        <v>0</v>
      </c>
      <c r="I3856" t="n">
        <v>0</v>
      </c>
      <c r="J3856" t="n">
        <v>0</v>
      </c>
      <c r="K3856" t="n">
        <v>0</v>
      </c>
      <c r="L3856" t="n">
        <v>0</v>
      </c>
      <c r="M3856" t="n">
        <v>0</v>
      </c>
      <c r="N3856" t="n">
        <v>0</v>
      </c>
      <c r="O3856" t="n">
        <v>0</v>
      </c>
      <c r="P3856" t="n">
        <v>0</v>
      </c>
      <c r="Q3856" t="n">
        <v>0</v>
      </c>
      <c r="R3856" s="2" t="inlineStr"/>
    </row>
    <row r="3857" ht="15" customHeight="1">
      <c r="A3857" t="inlineStr">
        <is>
          <t>A 267-2024</t>
        </is>
      </c>
      <c r="B3857" s="1" t="n">
        <v>45295</v>
      </c>
      <c r="C3857" s="1" t="n">
        <v>45358</v>
      </c>
      <c r="D3857" t="inlineStr">
        <is>
          <t>HALLANDS LÄN</t>
        </is>
      </c>
      <c r="E3857" t="inlineStr">
        <is>
          <t>HYLTE</t>
        </is>
      </c>
      <c r="G3857" t="n">
        <v>2</v>
      </c>
      <c r="H3857" t="n">
        <v>0</v>
      </c>
      <c r="I3857" t="n">
        <v>0</v>
      </c>
      <c r="J3857" t="n">
        <v>0</v>
      </c>
      <c r="K3857" t="n">
        <v>0</v>
      </c>
      <c r="L3857" t="n">
        <v>0</v>
      </c>
      <c r="M3857" t="n">
        <v>0</v>
      </c>
      <c r="N3857" t="n">
        <v>0</v>
      </c>
      <c r="O3857" t="n">
        <v>0</v>
      </c>
      <c r="P3857" t="n">
        <v>0</v>
      </c>
      <c r="Q3857" t="n">
        <v>0</v>
      </c>
      <c r="R3857" s="2" t="inlineStr"/>
    </row>
    <row r="3858" ht="15" customHeight="1">
      <c r="A3858" t="inlineStr">
        <is>
          <t>A 583-2024</t>
        </is>
      </c>
      <c r="B3858" s="1" t="n">
        <v>45299</v>
      </c>
      <c r="C3858" s="1" t="n">
        <v>45358</v>
      </c>
      <c r="D3858" t="inlineStr">
        <is>
          <t>HALLANDS LÄN</t>
        </is>
      </c>
      <c r="E3858" t="inlineStr">
        <is>
          <t>HALMSTAD</t>
        </is>
      </c>
      <c r="G3858" t="n">
        <v>1</v>
      </c>
      <c r="H3858" t="n">
        <v>0</v>
      </c>
      <c r="I3858" t="n">
        <v>0</v>
      </c>
      <c r="J3858" t="n">
        <v>0</v>
      </c>
      <c r="K3858" t="n">
        <v>0</v>
      </c>
      <c r="L3858" t="n">
        <v>0</v>
      </c>
      <c r="M3858" t="n">
        <v>0</v>
      </c>
      <c r="N3858" t="n">
        <v>0</v>
      </c>
      <c r="O3858" t="n">
        <v>0</v>
      </c>
      <c r="P3858" t="n">
        <v>0</v>
      </c>
      <c r="Q3858" t="n">
        <v>0</v>
      </c>
      <c r="R3858" s="2" t="inlineStr"/>
    </row>
    <row r="3859" ht="15" customHeight="1">
      <c r="A3859" t="inlineStr">
        <is>
          <t>A 615-2024</t>
        </is>
      </c>
      <c r="B3859" s="1" t="n">
        <v>45299</v>
      </c>
      <c r="C3859" s="1" t="n">
        <v>45358</v>
      </c>
      <c r="D3859" t="inlineStr">
        <is>
          <t>HALLANDS LÄN</t>
        </is>
      </c>
      <c r="E3859" t="inlineStr">
        <is>
          <t>LAHOLM</t>
        </is>
      </c>
      <c r="G3859" t="n">
        <v>7.2</v>
      </c>
      <c r="H3859" t="n">
        <v>0</v>
      </c>
      <c r="I3859" t="n">
        <v>0</v>
      </c>
      <c r="J3859" t="n">
        <v>0</v>
      </c>
      <c r="K3859" t="n">
        <v>0</v>
      </c>
      <c r="L3859" t="n">
        <v>0</v>
      </c>
      <c r="M3859" t="n">
        <v>0</v>
      </c>
      <c r="N3859" t="n">
        <v>0</v>
      </c>
      <c r="O3859" t="n">
        <v>0</v>
      </c>
      <c r="P3859" t="n">
        <v>0</v>
      </c>
      <c r="Q3859" t="n">
        <v>0</v>
      </c>
      <c r="R3859" s="2" t="inlineStr"/>
    </row>
    <row r="3860" ht="15" customHeight="1">
      <c r="A3860" t="inlineStr">
        <is>
          <t>A 629-2024</t>
        </is>
      </c>
      <c r="B3860" s="1" t="n">
        <v>45299</v>
      </c>
      <c r="C3860" s="1" t="n">
        <v>45358</v>
      </c>
      <c r="D3860" t="inlineStr">
        <is>
          <t>HALLANDS LÄN</t>
        </is>
      </c>
      <c r="E3860" t="inlineStr">
        <is>
          <t>LAHOLM</t>
        </is>
      </c>
      <c r="G3860" t="n">
        <v>6.8</v>
      </c>
      <c r="H3860" t="n">
        <v>0</v>
      </c>
      <c r="I3860" t="n">
        <v>0</v>
      </c>
      <c r="J3860" t="n">
        <v>0</v>
      </c>
      <c r="K3860" t="n">
        <v>0</v>
      </c>
      <c r="L3860" t="n">
        <v>0</v>
      </c>
      <c r="M3860" t="n">
        <v>0</v>
      </c>
      <c r="N3860" t="n">
        <v>0</v>
      </c>
      <c r="O3860" t="n">
        <v>0</v>
      </c>
      <c r="P3860" t="n">
        <v>0</v>
      </c>
      <c r="Q3860" t="n">
        <v>0</v>
      </c>
      <c r="R3860" s="2" t="inlineStr"/>
    </row>
    <row r="3861" ht="15" customHeight="1">
      <c r="A3861" t="inlineStr">
        <is>
          <t>A 649-2024</t>
        </is>
      </c>
      <c r="B3861" s="1" t="n">
        <v>45299</v>
      </c>
      <c r="C3861" s="1" t="n">
        <v>45358</v>
      </c>
      <c r="D3861" t="inlineStr">
        <is>
          <t>HALLANDS LÄN</t>
        </is>
      </c>
      <c r="E3861" t="inlineStr">
        <is>
          <t>HYLTE</t>
        </is>
      </c>
      <c r="G3861" t="n">
        <v>7.1</v>
      </c>
      <c r="H3861" t="n">
        <v>0</v>
      </c>
      <c r="I3861" t="n">
        <v>0</v>
      </c>
      <c r="J3861" t="n">
        <v>0</v>
      </c>
      <c r="K3861" t="n">
        <v>0</v>
      </c>
      <c r="L3861" t="n">
        <v>0</v>
      </c>
      <c r="M3861" t="n">
        <v>0</v>
      </c>
      <c r="N3861" t="n">
        <v>0</v>
      </c>
      <c r="O3861" t="n">
        <v>0</v>
      </c>
      <c r="P3861" t="n">
        <v>0</v>
      </c>
      <c r="Q3861" t="n">
        <v>0</v>
      </c>
      <c r="R3861" s="2" t="inlineStr"/>
    </row>
    <row r="3862" ht="15" customHeight="1">
      <c r="A3862" t="inlineStr">
        <is>
          <t>A 588-2024</t>
        </is>
      </c>
      <c r="B3862" s="1" t="n">
        <v>45299</v>
      </c>
      <c r="C3862" s="1" t="n">
        <v>45358</v>
      </c>
      <c r="D3862" t="inlineStr">
        <is>
          <t>HALLANDS LÄN</t>
        </is>
      </c>
      <c r="E3862" t="inlineStr">
        <is>
          <t>HALMSTAD</t>
        </is>
      </c>
      <c r="G3862" t="n">
        <v>4.6</v>
      </c>
      <c r="H3862" t="n">
        <v>0</v>
      </c>
      <c r="I3862" t="n">
        <v>0</v>
      </c>
      <c r="J3862" t="n">
        <v>0</v>
      </c>
      <c r="K3862" t="n">
        <v>0</v>
      </c>
      <c r="L3862" t="n">
        <v>0</v>
      </c>
      <c r="M3862" t="n">
        <v>0</v>
      </c>
      <c r="N3862" t="n">
        <v>0</v>
      </c>
      <c r="O3862" t="n">
        <v>0</v>
      </c>
      <c r="P3862" t="n">
        <v>0</v>
      </c>
      <c r="Q3862" t="n">
        <v>0</v>
      </c>
      <c r="R3862" s="2" t="inlineStr"/>
    </row>
    <row r="3863" ht="15" customHeight="1">
      <c r="A3863" t="inlineStr">
        <is>
          <t>A 651-2024</t>
        </is>
      </c>
      <c r="B3863" s="1" t="n">
        <v>45299</v>
      </c>
      <c r="C3863" s="1" t="n">
        <v>45358</v>
      </c>
      <c r="D3863" t="inlineStr">
        <is>
          <t>HALLANDS LÄN</t>
        </is>
      </c>
      <c r="E3863" t="inlineStr">
        <is>
          <t>HYLTE</t>
        </is>
      </c>
      <c r="G3863" t="n">
        <v>0.5</v>
      </c>
      <c r="H3863" t="n">
        <v>0</v>
      </c>
      <c r="I3863" t="n">
        <v>0</v>
      </c>
      <c r="J3863" t="n">
        <v>0</v>
      </c>
      <c r="K3863" t="n">
        <v>0</v>
      </c>
      <c r="L3863" t="n">
        <v>0</v>
      </c>
      <c r="M3863" t="n">
        <v>0</v>
      </c>
      <c r="N3863" t="n">
        <v>0</v>
      </c>
      <c r="O3863" t="n">
        <v>0</v>
      </c>
      <c r="P3863" t="n">
        <v>0</v>
      </c>
      <c r="Q3863" t="n">
        <v>0</v>
      </c>
      <c r="R3863" s="2" t="inlineStr"/>
    </row>
    <row r="3864" ht="15" customHeight="1">
      <c r="A3864" t="inlineStr">
        <is>
          <t>A 653-2024</t>
        </is>
      </c>
      <c r="B3864" s="1" t="n">
        <v>45299</v>
      </c>
      <c r="C3864" s="1" t="n">
        <v>45358</v>
      </c>
      <c r="D3864" t="inlineStr">
        <is>
          <t>HALLANDS LÄN</t>
        </is>
      </c>
      <c r="E3864" t="inlineStr">
        <is>
          <t>HYLTE</t>
        </is>
      </c>
      <c r="G3864" t="n">
        <v>1.3</v>
      </c>
      <c r="H3864" t="n">
        <v>0</v>
      </c>
      <c r="I3864" t="n">
        <v>0</v>
      </c>
      <c r="J3864" t="n">
        <v>0</v>
      </c>
      <c r="K3864" t="n">
        <v>0</v>
      </c>
      <c r="L3864" t="n">
        <v>0</v>
      </c>
      <c r="M3864" t="n">
        <v>0</v>
      </c>
      <c r="N3864" t="n">
        <v>0</v>
      </c>
      <c r="O3864" t="n">
        <v>0</v>
      </c>
      <c r="P3864" t="n">
        <v>0</v>
      </c>
      <c r="Q3864" t="n">
        <v>0</v>
      </c>
      <c r="R3864" s="2" t="inlineStr"/>
    </row>
    <row r="3865" ht="15" customHeight="1">
      <c r="A3865" t="inlineStr">
        <is>
          <t>A 652-2024</t>
        </is>
      </c>
      <c r="B3865" s="1" t="n">
        <v>45299</v>
      </c>
      <c r="C3865" s="1" t="n">
        <v>45358</v>
      </c>
      <c r="D3865" t="inlineStr">
        <is>
          <t>HALLANDS LÄN</t>
        </is>
      </c>
      <c r="E3865" t="inlineStr">
        <is>
          <t>HYLTE</t>
        </is>
      </c>
      <c r="G3865" t="n">
        <v>2.5</v>
      </c>
      <c r="H3865" t="n">
        <v>0</v>
      </c>
      <c r="I3865" t="n">
        <v>0</v>
      </c>
      <c r="J3865" t="n">
        <v>0</v>
      </c>
      <c r="K3865" t="n">
        <v>0</v>
      </c>
      <c r="L3865" t="n">
        <v>0</v>
      </c>
      <c r="M3865" t="n">
        <v>0</v>
      </c>
      <c r="N3865" t="n">
        <v>0</v>
      </c>
      <c r="O3865" t="n">
        <v>0</v>
      </c>
      <c r="P3865" t="n">
        <v>0</v>
      </c>
      <c r="Q3865" t="n">
        <v>0</v>
      </c>
      <c r="R3865" s="2" t="inlineStr"/>
    </row>
    <row r="3866" ht="15" customHeight="1">
      <c r="A3866" t="inlineStr">
        <is>
          <t>A 667-2024</t>
        </is>
      </c>
      <c r="B3866" s="1" t="n">
        <v>45300</v>
      </c>
      <c r="C3866" s="1" t="n">
        <v>45358</v>
      </c>
      <c r="D3866" t="inlineStr">
        <is>
          <t>HALLANDS LÄN</t>
        </is>
      </c>
      <c r="E3866" t="inlineStr">
        <is>
          <t>FALKENBERG</t>
        </is>
      </c>
      <c r="G3866" t="n">
        <v>1</v>
      </c>
      <c r="H3866" t="n">
        <v>0</v>
      </c>
      <c r="I3866" t="n">
        <v>0</v>
      </c>
      <c r="J3866" t="n">
        <v>0</v>
      </c>
      <c r="K3866" t="n">
        <v>0</v>
      </c>
      <c r="L3866" t="n">
        <v>0</v>
      </c>
      <c r="M3866" t="n">
        <v>0</v>
      </c>
      <c r="N3866" t="n">
        <v>0</v>
      </c>
      <c r="O3866" t="n">
        <v>0</v>
      </c>
      <c r="P3866" t="n">
        <v>0</v>
      </c>
      <c r="Q3866" t="n">
        <v>0</v>
      </c>
      <c r="R3866" s="2" t="inlineStr"/>
    </row>
    <row r="3867" ht="15" customHeight="1">
      <c r="A3867" t="inlineStr">
        <is>
          <t>A 728-2024</t>
        </is>
      </c>
      <c r="B3867" s="1" t="n">
        <v>45300</v>
      </c>
      <c r="C3867" s="1" t="n">
        <v>45358</v>
      </c>
      <c r="D3867" t="inlineStr">
        <is>
          <t>HALLANDS LÄN</t>
        </is>
      </c>
      <c r="E3867" t="inlineStr">
        <is>
          <t>FALKENBERG</t>
        </is>
      </c>
      <c r="G3867" t="n">
        <v>2.2</v>
      </c>
      <c r="H3867" t="n">
        <v>0</v>
      </c>
      <c r="I3867" t="n">
        <v>0</v>
      </c>
      <c r="J3867" t="n">
        <v>0</v>
      </c>
      <c r="K3867" t="n">
        <v>0</v>
      </c>
      <c r="L3867" t="n">
        <v>0</v>
      </c>
      <c r="M3867" t="n">
        <v>0</v>
      </c>
      <c r="N3867" t="n">
        <v>0</v>
      </c>
      <c r="O3867" t="n">
        <v>0</v>
      </c>
      <c r="P3867" t="n">
        <v>0</v>
      </c>
      <c r="Q3867" t="n">
        <v>0</v>
      </c>
      <c r="R3867" s="2" t="inlineStr"/>
    </row>
    <row r="3868" ht="15" customHeight="1">
      <c r="A3868" t="inlineStr">
        <is>
          <t>A 757-2024</t>
        </is>
      </c>
      <c r="B3868" s="1" t="n">
        <v>45300</v>
      </c>
      <c r="C3868" s="1" t="n">
        <v>45358</v>
      </c>
      <c r="D3868" t="inlineStr">
        <is>
          <t>HALLANDS LÄN</t>
        </is>
      </c>
      <c r="E3868" t="inlineStr">
        <is>
          <t>FALKENBERG</t>
        </is>
      </c>
      <c r="G3868" t="n">
        <v>1</v>
      </c>
      <c r="H3868" t="n">
        <v>0</v>
      </c>
      <c r="I3868" t="n">
        <v>0</v>
      </c>
      <c r="J3868" t="n">
        <v>0</v>
      </c>
      <c r="K3868" t="n">
        <v>0</v>
      </c>
      <c r="L3868" t="n">
        <v>0</v>
      </c>
      <c r="M3868" t="n">
        <v>0</v>
      </c>
      <c r="N3868" t="n">
        <v>0</v>
      </c>
      <c r="O3868" t="n">
        <v>0</v>
      </c>
      <c r="P3868" t="n">
        <v>0</v>
      </c>
      <c r="Q3868" t="n">
        <v>0</v>
      </c>
      <c r="R3868" s="2" t="inlineStr"/>
    </row>
    <row r="3869" ht="15" customHeight="1">
      <c r="A3869" t="inlineStr">
        <is>
          <t>A 761-2024</t>
        </is>
      </c>
      <c r="B3869" s="1" t="n">
        <v>45300</v>
      </c>
      <c r="C3869" s="1" t="n">
        <v>45358</v>
      </c>
      <c r="D3869" t="inlineStr">
        <is>
          <t>HALLANDS LÄN</t>
        </is>
      </c>
      <c r="E3869" t="inlineStr">
        <is>
          <t>FALKENBERG</t>
        </is>
      </c>
      <c r="G3869" t="n">
        <v>0.7</v>
      </c>
      <c r="H3869" t="n">
        <v>0</v>
      </c>
      <c r="I3869" t="n">
        <v>0</v>
      </c>
      <c r="J3869" t="n">
        <v>0</v>
      </c>
      <c r="K3869" t="n">
        <v>0</v>
      </c>
      <c r="L3869" t="n">
        <v>0</v>
      </c>
      <c r="M3869" t="n">
        <v>0</v>
      </c>
      <c r="N3869" t="n">
        <v>0</v>
      </c>
      <c r="O3869" t="n">
        <v>0</v>
      </c>
      <c r="P3869" t="n">
        <v>0</v>
      </c>
      <c r="Q3869" t="n">
        <v>0</v>
      </c>
      <c r="R3869" s="2" t="inlineStr"/>
    </row>
    <row r="3870" ht="15" customHeight="1">
      <c r="A3870" t="inlineStr">
        <is>
          <t>A 765-2024</t>
        </is>
      </c>
      <c r="B3870" s="1" t="n">
        <v>45300</v>
      </c>
      <c r="C3870" s="1" t="n">
        <v>45358</v>
      </c>
      <c r="D3870" t="inlineStr">
        <is>
          <t>HALLANDS LÄN</t>
        </is>
      </c>
      <c r="E3870" t="inlineStr">
        <is>
          <t>FALKENBERG</t>
        </is>
      </c>
      <c r="G3870" t="n">
        <v>0.8</v>
      </c>
      <c r="H3870" t="n">
        <v>0</v>
      </c>
      <c r="I3870" t="n">
        <v>0</v>
      </c>
      <c r="J3870" t="n">
        <v>0</v>
      </c>
      <c r="K3870" t="n">
        <v>0</v>
      </c>
      <c r="L3870" t="n">
        <v>0</v>
      </c>
      <c r="M3870" t="n">
        <v>0</v>
      </c>
      <c r="N3870" t="n">
        <v>0</v>
      </c>
      <c r="O3870" t="n">
        <v>0</v>
      </c>
      <c r="P3870" t="n">
        <v>0</v>
      </c>
      <c r="Q3870" t="n">
        <v>0</v>
      </c>
      <c r="R3870" s="2" t="inlineStr"/>
    </row>
    <row r="3871" ht="15" customHeight="1">
      <c r="A3871" t="inlineStr">
        <is>
          <t>A 760-2024</t>
        </is>
      </c>
      <c r="B3871" s="1" t="n">
        <v>45300</v>
      </c>
      <c r="C3871" s="1" t="n">
        <v>45358</v>
      </c>
      <c r="D3871" t="inlineStr">
        <is>
          <t>HALLANDS LÄN</t>
        </is>
      </c>
      <c r="E3871" t="inlineStr">
        <is>
          <t>FALKENBERG</t>
        </is>
      </c>
      <c r="G3871" t="n">
        <v>2</v>
      </c>
      <c r="H3871" t="n">
        <v>0</v>
      </c>
      <c r="I3871" t="n">
        <v>0</v>
      </c>
      <c r="J3871" t="n">
        <v>0</v>
      </c>
      <c r="K3871" t="n">
        <v>0</v>
      </c>
      <c r="L3871" t="n">
        <v>0</v>
      </c>
      <c r="M3871" t="n">
        <v>0</v>
      </c>
      <c r="N3871" t="n">
        <v>0</v>
      </c>
      <c r="O3871" t="n">
        <v>0</v>
      </c>
      <c r="P3871" t="n">
        <v>0</v>
      </c>
      <c r="Q3871" t="n">
        <v>0</v>
      </c>
      <c r="R3871" s="2" t="inlineStr"/>
    </row>
    <row r="3872" ht="15" customHeight="1">
      <c r="A3872" t="inlineStr">
        <is>
          <t>A 777-2024</t>
        </is>
      </c>
      <c r="B3872" s="1" t="n">
        <v>45300</v>
      </c>
      <c r="C3872" s="1" t="n">
        <v>45358</v>
      </c>
      <c r="D3872" t="inlineStr">
        <is>
          <t>HALLANDS LÄN</t>
        </is>
      </c>
      <c r="E3872" t="inlineStr">
        <is>
          <t>LAHOLM</t>
        </is>
      </c>
      <c r="G3872" t="n">
        <v>1.8</v>
      </c>
      <c r="H3872" t="n">
        <v>0</v>
      </c>
      <c r="I3872" t="n">
        <v>0</v>
      </c>
      <c r="J3872" t="n">
        <v>0</v>
      </c>
      <c r="K3872" t="n">
        <v>0</v>
      </c>
      <c r="L3872" t="n">
        <v>0</v>
      </c>
      <c r="M3872" t="n">
        <v>0</v>
      </c>
      <c r="N3872" t="n">
        <v>0</v>
      </c>
      <c r="O3872" t="n">
        <v>0</v>
      </c>
      <c r="P3872" t="n">
        <v>0</v>
      </c>
      <c r="Q3872" t="n">
        <v>0</v>
      </c>
      <c r="R3872" s="2" t="inlineStr"/>
    </row>
    <row r="3873" ht="15" customHeight="1">
      <c r="A3873" t="inlineStr">
        <is>
          <t>A 809-2024</t>
        </is>
      </c>
      <c r="B3873" s="1" t="n">
        <v>45300</v>
      </c>
      <c r="C3873" s="1" t="n">
        <v>45358</v>
      </c>
      <c r="D3873" t="inlineStr">
        <is>
          <t>HALLANDS LÄN</t>
        </is>
      </c>
      <c r="E3873" t="inlineStr">
        <is>
          <t>HYLTE</t>
        </is>
      </c>
      <c r="G3873" t="n">
        <v>2</v>
      </c>
      <c r="H3873" t="n">
        <v>0</v>
      </c>
      <c r="I3873" t="n">
        <v>0</v>
      </c>
      <c r="J3873" t="n">
        <v>0</v>
      </c>
      <c r="K3873" t="n">
        <v>0</v>
      </c>
      <c r="L3873" t="n">
        <v>0</v>
      </c>
      <c r="M3873" t="n">
        <v>0</v>
      </c>
      <c r="N3873" t="n">
        <v>0</v>
      </c>
      <c r="O3873" t="n">
        <v>0</v>
      </c>
      <c r="P3873" t="n">
        <v>0</v>
      </c>
      <c r="Q3873" t="n">
        <v>0</v>
      </c>
      <c r="R3873" s="2" t="inlineStr"/>
    </row>
    <row r="3874" ht="15" customHeight="1">
      <c r="A3874" t="inlineStr">
        <is>
          <t>A 725-2024</t>
        </is>
      </c>
      <c r="B3874" s="1" t="n">
        <v>45300</v>
      </c>
      <c r="C3874" s="1" t="n">
        <v>45358</v>
      </c>
      <c r="D3874" t="inlineStr">
        <is>
          <t>HALLANDS LÄN</t>
        </is>
      </c>
      <c r="E3874" t="inlineStr">
        <is>
          <t>VARBERG</t>
        </is>
      </c>
      <c r="G3874" t="n">
        <v>0.6</v>
      </c>
      <c r="H3874" t="n">
        <v>0</v>
      </c>
      <c r="I3874" t="n">
        <v>0</v>
      </c>
      <c r="J3874" t="n">
        <v>0</v>
      </c>
      <c r="K3874" t="n">
        <v>0</v>
      </c>
      <c r="L3874" t="n">
        <v>0</v>
      </c>
      <c r="M3874" t="n">
        <v>0</v>
      </c>
      <c r="N3874" t="n">
        <v>0</v>
      </c>
      <c r="O3874" t="n">
        <v>0</v>
      </c>
      <c r="P3874" t="n">
        <v>0</v>
      </c>
      <c r="Q3874" t="n">
        <v>0</v>
      </c>
      <c r="R3874" s="2" t="inlineStr"/>
    </row>
    <row r="3875" ht="15" customHeight="1">
      <c r="A3875" t="inlineStr">
        <is>
          <t>A 811-2024</t>
        </is>
      </c>
      <c r="B3875" s="1" t="n">
        <v>45300</v>
      </c>
      <c r="C3875" s="1" t="n">
        <v>45358</v>
      </c>
      <c r="D3875" t="inlineStr">
        <is>
          <t>HALLANDS LÄN</t>
        </is>
      </c>
      <c r="E3875" t="inlineStr">
        <is>
          <t>VARBERG</t>
        </is>
      </c>
      <c r="G3875" t="n">
        <v>1.2</v>
      </c>
      <c r="H3875" t="n">
        <v>0</v>
      </c>
      <c r="I3875" t="n">
        <v>0</v>
      </c>
      <c r="J3875" t="n">
        <v>0</v>
      </c>
      <c r="K3875" t="n">
        <v>0</v>
      </c>
      <c r="L3875" t="n">
        <v>0</v>
      </c>
      <c r="M3875" t="n">
        <v>0</v>
      </c>
      <c r="N3875" t="n">
        <v>0</v>
      </c>
      <c r="O3875" t="n">
        <v>0</v>
      </c>
      <c r="P3875" t="n">
        <v>0</v>
      </c>
      <c r="Q3875" t="n">
        <v>0</v>
      </c>
      <c r="R3875" s="2" t="inlineStr"/>
    </row>
    <row r="3876" ht="15" customHeight="1">
      <c r="A3876" t="inlineStr">
        <is>
          <t>A 682-2024</t>
        </is>
      </c>
      <c r="B3876" s="1" t="n">
        <v>45300</v>
      </c>
      <c r="C3876" s="1" t="n">
        <v>45358</v>
      </c>
      <c r="D3876" t="inlineStr">
        <is>
          <t>HALLANDS LÄN</t>
        </is>
      </c>
      <c r="E3876" t="inlineStr">
        <is>
          <t>HYLTE</t>
        </is>
      </c>
      <c r="G3876" t="n">
        <v>1.7</v>
      </c>
      <c r="H3876" t="n">
        <v>0</v>
      </c>
      <c r="I3876" t="n">
        <v>0</v>
      </c>
      <c r="J3876" t="n">
        <v>0</v>
      </c>
      <c r="K3876" t="n">
        <v>0</v>
      </c>
      <c r="L3876" t="n">
        <v>0</v>
      </c>
      <c r="M3876" t="n">
        <v>0</v>
      </c>
      <c r="N3876" t="n">
        <v>0</v>
      </c>
      <c r="O3876" t="n">
        <v>0</v>
      </c>
      <c r="P3876" t="n">
        <v>0</v>
      </c>
      <c r="Q3876" t="n">
        <v>0</v>
      </c>
      <c r="R3876" s="2" t="inlineStr"/>
    </row>
    <row r="3877" ht="15" customHeight="1">
      <c r="A3877" t="inlineStr">
        <is>
          <t>A 722-2024</t>
        </is>
      </c>
      <c r="B3877" s="1" t="n">
        <v>45300</v>
      </c>
      <c r="C3877" s="1" t="n">
        <v>45358</v>
      </c>
      <c r="D3877" t="inlineStr">
        <is>
          <t>HALLANDS LÄN</t>
        </is>
      </c>
      <c r="E3877" t="inlineStr">
        <is>
          <t>HALMSTAD</t>
        </is>
      </c>
      <c r="G3877" t="n">
        <v>1.4</v>
      </c>
      <c r="H3877" t="n">
        <v>0</v>
      </c>
      <c r="I3877" t="n">
        <v>0</v>
      </c>
      <c r="J3877" t="n">
        <v>0</v>
      </c>
      <c r="K3877" t="n">
        <v>0</v>
      </c>
      <c r="L3877" t="n">
        <v>0</v>
      </c>
      <c r="M3877" t="n">
        <v>0</v>
      </c>
      <c r="N3877" t="n">
        <v>0</v>
      </c>
      <c r="O3877" t="n">
        <v>0</v>
      </c>
      <c r="P3877" t="n">
        <v>0</v>
      </c>
      <c r="Q3877" t="n">
        <v>0</v>
      </c>
      <c r="R3877" s="2" t="inlineStr"/>
    </row>
    <row r="3878" ht="15" customHeight="1">
      <c r="A3878" t="inlineStr">
        <is>
          <t>A 734-2024</t>
        </is>
      </c>
      <c r="B3878" s="1" t="n">
        <v>45300</v>
      </c>
      <c r="C3878" s="1" t="n">
        <v>45358</v>
      </c>
      <c r="D3878" t="inlineStr">
        <is>
          <t>HALLANDS LÄN</t>
        </is>
      </c>
      <c r="E3878" t="inlineStr">
        <is>
          <t>FALKENBERG</t>
        </is>
      </c>
      <c r="G3878" t="n">
        <v>1.1</v>
      </c>
      <c r="H3878" t="n">
        <v>0</v>
      </c>
      <c r="I3878" t="n">
        <v>0</v>
      </c>
      <c r="J3878" t="n">
        <v>0</v>
      </c>
      <c r="K3878" t="n">
        <v>0</v>
      </c>
      <c r="L3878" t="n">
        <v>0</v>
      </c>
      <c r="M3878" t="n">
        <v>0</v>
      </c>
      <c r="N3878" t="n">
        <v>0</v>
      </c>
      <c r="O3878" t="n">
        <v>0</v>
      </c>
      <c r="P3878" t="n">
        <v>0</v>
      </c>
      <c r="Q3878" t="n">
        <v>0</v>
      </c>
      <c r="R3878" s="2" t="inlineStr"/>
    </row>
    <row r="3879" ht="15" customHeight="1">
      <c r="A3879" t="inlineStr">
        <is>
          <t>A 755-2024</t>
        </is>
      </c>
      <c r="B3879" s="1" t="n">
        <v>45300</v>
      </c>
      <c r="C3879" s="1" t="n">
        <v>45358</v>
      </c>
      <c r="D3879" t="inlineStr">
        <is>
          <t>HALLANDS LÄN</t>
        </is>
      </c>
      <c r="E3879" t="inlineStr">
        <is>
          <t>FALKENBERG</t>
        </is>
      </c>
      <c r="G3879" t="n">
        <v>4</v>
      </c>
      <c r="H3879" t="n">
        <v>0</v>
      </c>
      <c r="I3879" t="n">
        <v>0</v>
      </c>
      <c r="J3879" t="n">
        <v>0</v>
      </c>
      <c r="K3879" t="n">
        <v>0</v>
      </c>
      <c r="L3879" t="n">
        <v>0</v>
      </c>
      <c r="M3879" t="n">
        <v>0</v>
      </c>
      <c r="N3879" t="n">
        <v>0</v>
      </c>
      <c r="O3879" t="n">
        <v>0</v>
      </c>
      <c r="P3879" t="n">
        <v>0</v>
      </c>
      <c r="Q3879" t="n">
        <v>0</v>
      </c>
      <c r="R3879" s="2" t="inlineStr"/>
    </row>
    <row r="3880" ht="15" customHeight="1">
      <c r="A3880" t="inlineStr">
        <is>
          <t>A 881-2024</t>
        </is>
      </c>
      <c r="B3880" s="1" t="n">
        <v>45301</v>
      </c>
      <c r="C3880" s="1" t="n">
        <v>45358</v>
      </c>
      <c r="D3880" t="inlineStr">
        <is>
          <t>HALLANDS LÄN</t>
        </is>
      </c>
      <c r="E3880" t="inlineStr">
        <is>
          <t>FALKENBERG</t>
        </is>
      </c>
      <c r="G3880" t="n">
        <v>8.300000000000001</v>
      </c>
      <c r="H3880" t="n">
        <v>0</v>
      </c>
      <c r="I3880" t="n">
        <v>0</v>
      </c>
      <c r="J3880" t="n">
        <v>0</v>
      </c>
      <c r="K3880" t="n">
        <v>0</v>
      </c>
      <c r="L3880" t="n">
        <v>0</v>
      </c>
      <c r="M3880" t="n">
        <v>0</v>
      </c>
      <c r="N3880" t="n">
        <v>0</v>
      </c>
      <c r="O3880" t="n">
        <v>0</v>
      </c>
      <c r="P3880" t="n">
        <v>0</v>
      </c>
      <c r="Q3880" t="n">
        <v>0</v>
      </c>
      <c r="R3880" s="2" t="inlineStr"/>
    </row>
    <row r="3881" ht="15" customHeight="1">
      <c r="A3881" t="inlineStr">
        <is>
          <t>A 977-2024</t>
        </is>
      </c>
      <c r="B3881" s="1" t="n">
        <v>45301</v>
      </c>
      <c r="C3881" s="1" t="n">
        <v>45358</v>
      </c>
      <c r="D3881" t="inlineStr">
        <is>
          <t>HALLANDS LÄN</t>
        </is>
      </c>
      <c r="E3881" t="inlineStr">
        <is>
          <t>LAHOLM</t>
        </is>
      </c>
      <c r="G3881" t="n">
        <v>1</v>
      </c>
      <c r="H3881" t="n">
        <v>0</v>
      </c>
      <c r="I3881" t="n">
        <v>0</v>
      </c>
      <c r="J3881" t="n">
        <v>0</v>
      </c>
      <c r="K3881" t="n">
        <v>0</v>
      </c>
      <c r="L3881" t="n">
        <v>0</v>
      </c>
      <c r="M3881" t="n">
        <v>0</v>
      </c>
      <c r="N3881" t="n">
        <v>0</v>
      </c>
      <c r="O3881" t="n">
        <v>0</v>
      </c>
      <c r="P3881" t="n">
        <v>0</v>
      </c>
      <c r="Q3881" t="n">
        <v>0</v>
      </c>
      <c r="R3881" s="2" t="inlineStr"/>
    </row>
    <row r="3882" ht="15" customHeight="1">
      <c r="A3882" t="inlineStr">
        <is>
          <t>A 1012-2024</t>
        </is>
      </c>
      <c r="B3882" s="1" t="n">
        <v>45301</v>
      </c>
      <c r="C3882" s="1" t="n">
        <v>45358</v>
      </c>
      <c r="D3882" t="inlineStr">
        <is>
          <t>HALLANDS LÄN</t>
        </is>
      </c>
      <c r="E3882" t="inlineStr">
        <is>
          <t>FALKENBERG</t>
        </is>
      </c>
      <c r="G3882" t="n">
        <v>2.2</v>
      </c>
      <c r="H3882" t="n">
        <v>0</v>
      </c>
      <c r="I3882" t="n">
        <v>0</v>
      </c>
      <c r="J3882" t="n">
        <v>0</v>
      </c>
      <c r="K3882" t="n">
        <v>0</v>
      </c>
      <c r="L3882" t="n">
        <v>0</v>
      </c>
      <c r="M3882" t="n">
        <v>0</v>
      </c>
      <c r="N3882" t="n">
        <v>0</v>
      </c>
      <c r="O3882" t="n">
        <v>0</v>
      </c>
      <c r="P3882" t="n">
        <v>0</v>
      </c>
      <c r="Q3882" t="n">
        <v>0</v>
      </c>
      <c r="R3882" s="2" t="inlineStr"/>
    </row>
    <row r="3883" ht="15" customHeight="1">
      <c r="A3883" t="inlineStr">
        <is>
          <t>A 976-2024</t>
        </is>
      </c>
      <c r="B3883" s="1" t="n">
        <v>45301</v>
      </c>
      <c r="C3883" s="1" t="n">
        <v>45358</v>
      </c>
      <c r="D3883" t="inlineStr">
        <is>
          <t>HALLANDS LÄN</t>
        </is>
      </c>
      <c r="E3883" t="inlineStr">
        <is>
          <t>HYLTE</t>
        </is>
      </c>
      <c r="G3883" t="n">
        <v>3.1</v>
      </c>
      <c r="H3883" t="n">
        <v>0</v>
      </c>
      <c r="I3883" t="n">
        <v>0</v>
      </c>
      <c r="J3883" t="n">
        <v>0</v>
      </c>
      <c r="K3883" t="n">
        <v>0</v>
      </c>
      <c r="L3883" t="n">
        <v>0</v>
      </c>
      <c r="M3883" t="n">
        <v>0</v>
      </c>
      <c r="N3883" t="n">
        <v>0</v>
      </c>
      <c r="O3883" t="n">
        <v>0</v>
      </c>
      <c r="P3883" t="n">
        <v>0</v>
      </c>
      <c r="Q3883" t="n">
        <v>0</v>
      </c>
      <c r="R3883" s="2" t="inlineStr"/>
    </row>
    <row r="3884" ht="15" customHeight="1">
      <c r="A3884" t="inlineStr">
        <is>
          <t>A 1076-2024</t>
        </is>
      </c>
      <c r="B3884" s="1" t="n">
        <v>45302</v>
      </c>
      <c r="C3884" s="1" t="n">
        <v>45358</v>
      </c>
      <c r="D3884" t="inlineStr">
        <is>
          <t>HALLANDS LÄN</t>
        </is>
      </c>
      <c r="E3884" t="inlineStr">
        <is>
          <t>VARBERG</t>
        </is>
      </c>
      <c r="G3884" t="n">
        <v>2.2</v>
      </c>
      <c r="H3884" t="n">
        <v>0</v>
      </c>
      <c r="I3884" t="n">
        <v>0</v>
      </c>
      <c r="J3884" t="n">
        <v>0</v>
      </c>
      <c r="K3884" t="n">
        <v>0</v>
      </c>
      <c r="L3884" t="n">
        <v>0</v>
      </c>
      <c r="M3884" t="n">
        <v>0</v>
      </c>
      <c r="N3884" t="n">
        <v>0</v>
      </c>
      <c r="O3884" t="n">
        <v>0</v>
      </c>
      <c r="P3884" t="n">
        <v>0</v>
      </c>
      <c r="Q3884" t="n">
        <v>0</v>
      </c>
      <c r="R3884" s="2" t="inlineStr"/>
    </row>
    <row r="3885" ht="15" customHeight="1">
      <c r="A3885" t="inlineStr">
        <is>
          <t>A 1146-2024</t>
        </is>
      </c>
      <c r="B3885" s="1" t="n">
        <v>45302</v>
      </c>
      <c r="C3885" s="1" t="n">
        <v>45358</v>
      </c>
      <c r="D3885" t="inlineStr">
        <is>
          <t>HALLANDS LÄN</t>
        </is>
      </c>
      <c r="E3885" t="inlineStr">
        <is>
          <t>HALMSTAD</t>
        </is>
      </c>
      <c r="G3885" t="n">
        <v>4.5</v>
      </c>
      <c r="H3885" t="n">
        <v>0</v>
      </c>
      <c r="I3885" t="n">
        <v>0</v>
      </c>
      <c r="J3885" t="n">
        <v>0</v>
      </c>
      <c r="K3885" t="n">
        <v>0</v>
      </c>
      <c r="L3885" t="n">
        <v>0</v>
      </c>
      <c r="M3885" t="n">
        <v>0</v>
      </c>
      <c r="N3885" t="n">
        <v>0</v>
      </c>
      <c r="O3885" t="n">
        <v>0</v>
      </c>
      <c r="P3885" t="n">
        <v>0</v>
      </c>
      <c r="Q3885" t="n">
        <v>0</v>
      </c>
      <c r="R3885" s="2" t="inlineStr"/>
    </row>
    <row r="3886" ht="15" customHeight="1">
      <c r="A3886" t="inlineStr">
        <is>
          <t>A 1254-2024</t>
        </is>
      </c>
      <c r="B3886" s="1" t="n">
        <v>45302</v>
      </c>
      <c r="C3886" s="1" t="n">
        <v>45358</v>
      </c>
      <c r="D3886" t="inlineStr">
        <is>
          <t>HALLANDS LÄN</t>
        </is>
      </c>
      <c r="E3886" t="inlineStr">
        <is>
          <t>VARBERG</t>
        </is>
      </c>
      <c r="G3886" t="n">
        <v>5.1</v>
      </c>
      <c r="H3886" t="n">
        <v>0</v>
      </c>
      <c r="I3886" t="n">
        <v>0</v>
      </c>
      <c r="J3886" t="n">
        <v>0</v>
      </c>
      <c r="K3886" t="n">
        <v>0</v>
      </c>
      <c r="L3886" t="n">
        <v>0</v>
      </c>
      <c r="M3886" t="n">
        <v>0</v>
      </c>
      <c r="N3886" t="n">
        <v>0</v>
      </c>
      <c r="O3886" t="n">
        <v>0</v>
      </c>
      <c r="P3886" t="n">
        <v>0</v>
      </c>
      <c r="Q3886" t="n">
        <v>0</v>
      </c>
      <c r="R3886" s="2" t="inlineStr"/>
    </row>
    <row r="3887" ht="15" customHeight="1">
      <c r="A3887" t="inlineStr">
        <is>
          <t>A 1281-2024</t>
        </is>
      </c>
      <c r="B3887" s="1" t="n">
        <v>45303</v>
      </c>
      <c r="C3887" s="1" t="n">
        <v>45358</v>
      </c>
      <c r="D3887" t="inlineStr">
        <is>
          <t>HALLANDS LÄN</t>
        </is>
      </c>
      <c r="E3887" t="inlineStr">
        <is>
          <t>FALKENBERG</t>
        </is>
      </c>
      <c r="G3887" t="n">
        <v>0.9</v>
      </c>
      <c r="H3887" t="n">
        <v>0</v>
      </c>
      <c r="I3887" t="n">
        <v>0</v>
      </c>
      <c r="J3887" t="n">
        <v>0</v>
      </c>
      <c r="K3887" t="n">
        <v>0</v>
      </c>
      <c r="L3887" t="n">
        <v>0</v>
      </c>
      <c r="M3887" t="n">
        <v>0</v>
      </c>
      <c r="N3887" t="n">
        <v>0</v>
      </c>
      <c r="O3887" t="n">
        <v>0</v>
      </c>
      <c r="P3887" t="n">
        <v>0</v>
      </c>
      <c r="Q3887" t="n">
        <v>0</v>
      </c>
      <c r="R3887" s="2" t="inlineStr"/>
    </row>
    <row r="3888" ht="15" customHeight="1">
      <c r="A3888" t="inlineStr">
        <is>
          <t>A 1284-2024</t>
        </is>
      </c>
      <c r="B3888" s="1" t="n">
        <v>45303</v>
      </c>
      <c r="C3888" s="1" t="n">
        <v>45358</v>
      </c>
      <c r="D3888" t="inlineStr">
        <is>
          <t>HALLANDS LÄN</t>
        </is>
      </c>
      <c r="E3888" t="inlineStr">
        <is>
          <t>LAHOLM</t>
        </is>
      </c>
      <c r="G3888" t="n">
        <v>0.8</v>
      </c>
      <c r="H3888" t="n">
        <v>0</v>
      </c>
      <c r="I3888" t="n">
        <v>0</v>
      </c>
      <c r="J3888" t="n">
        <v>0</v>
      </c>
      <c r="K3888" t="n">
        <v>0</v>
      </c>
      <c r="L3888" t="n">
        <v>0</v>
      </c>
      <c r="M3888" t="n">
        <v>0</v>
      </c>
      <c r="N3888" t="n">
        <v>0</v>
      </c>
      <c r="O3888" t="n">
        <v>0</v>
      </c>
      <c r="P3888" t="n">
        <v>0</v>
      </c>
      <c r="Q3888" t="n">
        <v>0</v>
      </c>
      <c r="R3888" s="2" t="inlineStr"/>
    </row>
    <row r="3889" ht="15" customHeight="1">
      <c r="A3889" t="inlineStr">
        <is>
          <t>A 1480-2024</t>
        </is>
      </c>
      <c r="B3889" s="1" t="n">
        <v>45305</v>
      </c>
      <c r="C3889" s="1" t="n">
        <v>45358</v>
      </c>
      <c r="D3889" t="inlineStr">
        <is>
          <t>HALLANDS LÄN</t>
        </is>
      </c>
      <c r="E3889" t="inlineStr">
        <is>
          <t>FALKENBERG</t>
        </is>
      </c>
      <c r="G3889" t="n">
        <v>0.5</v>
      </c>
      <c r="H3889" t="n">
        <v>0</v>
      </c>
      <c r="I3889" t="n">
        <v>0</v>
      </c>
      <c r="J3889" t="n">
        <v>0</v>
      </c>
      <c r="K3889" t="n">
        <v>0</v>
      </c>
      <c r="L3889" t="n">
        <v>0</v>
      </c>
      <c r="M3889" t="n">
        <v>0</v>
      </c>
      <c r="N3889" t="n">
        <v>0</v>
      </c>
      <c r="O3889" t="n">
        <v>0</v>
      </c>
      <c r="P3889" t="n">
        <v>0</v>
      </c>
      <c r="Q3889" t="n">
        <v>0</v>
      </c>
      <c r="R3889" s="2" t="inlineStr"/>
    </row>
    <row r="3890" ht="15" customHeight="1">
      <c r="A3890" t="inlineStr">
        <is>
          <t>A 1610-2024</t>
        </is>
      </c>
      <c r="B3890" s="1" t="n">
        <v>45306</v>
      </c>
      <c r="C3890" s="1" t="n">
        <v>45358</v>
      </c>
      <c r="D3890" t="inlineStr">
        <is>
          <t>HALLANDS LÄN</t>
        </is>
      </c>
      <c r="E3890" t="inlineStr">
        <is>
          <t>HALMSTAD</t>
        </is>
      </c>
      <c r="G3890" t="n">
        <v>0.8</v>
      </c>
      <c r="H3890" t="n">
        <v>0</v>
      </c>
      <c r="I3890" t="n">
        <v>0</v>
      </c>
      <c r="J3890" t="n">
        <v>0</v>
      </c>
      <c r="K3890" t="n">
        <v>0</v>
      </c>
      <c r="L3890" t="n">
        <v>0</v>
      </c>
      <c r="M3890" t="n">
        <v>0</v>
      </c>
      <c r="N3890" t="n">
        <v>0</v>
      </c>
      <c r="O3890" t="n">
        <v>0</v>
      </c>
      <c r="P3890" t="n">
        <v>0</v>
      </c>
      <c r="Q3890" t="n">
        <v>0</v>
      </c>
      <c r="R3890" s="2" t="inlineStr"/>
    </row>
    <row r="3891" ht="15" customHeight="1">
      <c r="A3891" t="inlineStr">
        <is>
          <t>A 1612-2024</t>
        </is>
      </c>
      <c r="B3891" s="1" t="n">
        <v>45306</v>
      </c>
      <c r="C3891" s="1" t="n">
        <v>45358</v>
      </c>
      <c r="D3891" t="inlineStr">
        <is>
          <t>HALLANDS LÄN</t>
        </is>
      </c>
      <c r="E3891" t="inlineStr">
        <is>
          <t>HALMSTAD</t>
        </is>
      </c>
      <c r="G3891" t="n">
        <v>1.4</v>
      </c>
      <c r="H3891" t="n">
        <v>0</v>
      </c>
      <c r="I3891" t="n">
        <v>0</v>
      </c>
      <c r="J3891" t="n">
        <v>0</v>
      </c>
      <c r="K3891" t="n">
        <v>0</v>
      </c>
      <c r="L3891" t="n">
        <v>0</v>
      </c>
      <c r="M3891" t="n">
        <v>0</v>
      </c>
      <c r="N3891" t="n">
        <v>0</v>
      </c>
      <c r="O3891" t="n">
        <v>0</v>
      </c>
      <c r="P3891" t="n">
        <v>0</v>
      </c>
      <c r="Q3891" t="n">
        <v>0</v>
      </c>
      <c r="R3891" s="2" t="inlineStr"/>
    </row>
    <row r="3892" ht="15" customHeight="1">
      <c r="A3892" t="inlineStr">
        <is>
          <t>A 1646-2024</t>
        </is>
      </c>
      <c r="B3892" s="1" t="n">
        <v>45306</v>
      </c>
      <c r="C3892" s="1" t="n">
        <v>45358</v>
      </c>
      <c r="D3892" t="inlineStr">
        <is>
          <t>HALLANDS LÄN</t>
        </is>
      </c>
      <c r="E3892" t="inlineStr">
        <is>
          <t>HALMSTAD</t>
        </is>
      </c>
      <c r="G3892" t="n">
        <v>1.5</v>
      </c>
      <c r="H3892" t="n">
        <v>0</v>
      </c>
      <c r="I3892" t="n">
        <v>0</v>
      </c>
      <c r="J3892" t="n">
        <v>0</v>
      </c>
      <c r="K3892" t="n">
        <v>0</v>
      </c>
      <c r="L3892" t="n">
        <v>0</v>
      </c>
      <c r="M3892" t="n">
        <v>0</v>
      </c>
      <c r="N3892" t="n">
        <v>0</v>
      </c>
      <c r="O3892" t="n">
        <v>0</v>
      </c>
      <c r="P3892" t="n">
        <v>0</v>
      </c>
      <c r="Q3892" t="n">
        <v>0</v>
      </c>
      <c r="R3892" s="2" t="inlineStr"/>
    </row>
    <row r="3893" ht="15" customHeight="1">
      <c r="A3893" t="inlineStr">
        <is>
          <t>A 1644-2024</t>
        </is>
      </c>
      <c r="B3893" s="1" t="n">
        <v>45306</v>
      </c>
      <c r="C3893" s="1" t="n">
        <v>45358</v>
      </c>
      <c r="D3893" t="inlineStr">
        <is>
          <t>HALLANDS LÄN</t>
        </is>
      </c>
      <c r="E3893" t="inlineStr">
        <is>
          <t>HALMSTAD</t>
        </is>
      </c>
      <c r="G3893" t="n">
        <v>2.3</v>
      </c>
      <c r="H3893" t="n">
        <v>0</v>
      </c>
      <c r="I3893" t="n">
        <v>0</v>
      </c>
      <c r="J3893" t="n">
        <v>0</v>
      </c>
      <c r="K3893" t="n">
        <v>0</v>
      </c>
      <c r="L3893" t="n">
        <v>0</v>
      </c>
      <c r="M3893" t="n">
        <v>0</v>
      </c>
      <c r="N3893" t="n">
        <v>0</v>
      </c>
      <c r="O3893" t="n">
        <v>0</v>
      </c>
      <c r="P3893" t="n">
        <v>0</v>
      </c>
      <c r="Q3893" t="n">
        <v>0</v>
      </c>
      <c r="R3893" s="2" t="inlineStr"/>
    </row>
    <row r="3894" ht="15" customHeight="1">
      <c r="A3894" t="inlineStr">
        <is>
          <t>A 1599-2024</t>
        </is>
      </c>
      <c r="B3894" s="1" t="n">
        <v>45306</v>
      </c>
      <c r="C3894" s="1" t="n">
        <v>45358</v>
      </c>
      <c r="D3894" t="inlineStr">
        <is>
          <t>HALLANDS LÄN</t>
        </is>
      </c>
      <c r="E3894" t="inlineStr">
        <is>
          <t>HALMSTAD</t>
        </is>
      </c>
      <c r="G3894" t="n">
        <v>1.9</v>
      </c>
      <c r="H3894" t="n">
        <v>0</v>
      </c>
      <c r="I3894" t="n">
        <v>0</v>
      </c>
      <c r="J3894" t="n">
        <v>0</v>
      </c>
      <c r="K3894" t="n">
        <v>0</v>
      </c>
      <c r="L3894" t="n">
        <v>0</v>
      </c>
      <c r="M3894" t="n">
        <v>0</v>
      </c>
      <c r="N3894" t="n">
        <v>0</v>
      </c>
      <c r="O3894" t="n">
        <v>0</v>
      </c>
      <c r="P3894" t="n">
        <v>0</v>
      </c>
      <c r="Q3894" t="n">
        <v>0</v>
      </c>
      <c r="R3894" s="2" t="inlineStr"/>
    </row>
    <row r="3895" ht="15" customHeight="1">
      <c r="A3895" t="inlineStr">
        <is>
          <t>A 1729-2024</t>
        </is>
      </c>
      <c r="B3895" s="1" t="n">
        <v>45307</v>
      </c>
      <c r="C3895" s="1" t="n">
        <v>45358</v>
      </c>
      <c r="D3895" t="inlineStr">
        <is>
          <t>HALLANDS LÄN</t>
        </is>
      </c>
      <c r="E3895" t="inlineStr">
        <is>
          <t>FALKENBERG</t>
        </is>
      </c>
      <c r="G3895" t="n">
        <v>2.2</v>
      </c>
      <c r="H3895" t="n">
        <v>0</v>
      </c>
      <c r="I3895" t="n">
        <v>0</v>
      </c>
      <c r="J3895" t="n">
        <v>0</v>
      </c>
      <c r="K3895" t="n">
        <v>0</v>
      </c>
      <c r="L3895" t="n">
        <v>0</v>
      </c>
      <c r="M3895" t="n">
        <v>0</v>
      </c>
      <c r="N3895" t="n">
        <v>0</v>
      </c>
      <c r="O3895" t="n">
        <v>0</v>
      </c>
      <c r="P3895" t="n">
        <v>0</v>
      </c>
      <c r="Q3895" t="n">
        <v>0</v>
      </c>
      <c r="R3895" s="2" t="inlineStr"/>
    </row>
    <row r="3896" ht="15" customHeight="1">
      <c r="A3896" t="inlineStr">
        <is>
          <t>A 1843-2024</t>
        </is>
      </c>
      <c r="B3896" s="1" t="n">
        <v>45307</v>
      </c>
      <c r="C3896" s="1" t="n">
        <v>45358</v>
      </c>
      <c r="D3896" t="inlineStr">
        <is>
          <t>HALLANDS LÄN</t>
        </is>
      </c>
      <c r="E3896" t="inlineStr">
        <is>
          <t>HALMSTAD</t>
        </is>
      </c>
      <c r="G3896" t="n">
        <v>2.3</v>
      </c>
      <c r="H3896" t="n">
        <v>0</v>
      </c>
      <c r="I3896" t="n">
        <v>0</v>
      </c>
      <c r="J3896" t="n">
        <v>0</v>
      </c>
      <c r="K3896" t="n">
        <v>0</v>
      </c>
      <c r="L3896" t="n">
        <v>0</v>
      </c>
      <c r="M3896" t="n">
        <v>0</v>
      </c>
      <c r="N3896" t="n">
        <v>0</v>
      </c>
      <c r="O3896" t="n">
        <v>0</v>
      </c>
      <c r="P3896" t="n">
        <v>0</v>
      </c>
      <c r="Q3896" t="n">
        <v>0</v>
      </c>
      <c r="R3896" s="2" t="inlineStr"/>
    </row>
    <row r="3897" ht="15" customHeight="1">
      <c r="A3897" t="inlineStr">
        <is>
          <t>A 1693-2024</t>
        </is>
      </c>
      <c r="B3897" s="1" t="n">
        <v>45307</v>
      </c>
      <c r="C3897" s="1" t="n">
        <v>45358</v>
      </c>
      <c r="D3897" t="inlineStr">
        <is>
          <t>HALLANDS LÄN</t>
        </is>
      </c>
      <c r="E3897" t="inlineStr">
        <is>
          <t>HYLTE</t>
        </is>
      </c>
      <c r="G3897" t="n">
        <v>0.8</v>
      </c>
      <c r="H3897" t="n">
        <v>0</v>
      </c>
      <c r="I3897" t="n">
        <v>0</v>
      </c>
      <c r="J3897" t="n">
        <v>0</v>
      </c>
      <c r="K3897" t="n">
        <v>0</v>
      </c>
      <c r="L3897" t="n">
        <v>0</v>
      </c>
      <c r="M3897" t="n">
        <v>0</v>
      </c>
      <c r="N3897" t="n">
        <v>0</v>
      </c>
      <c r="O3897" t="n">
        <v>0</v>
      </c>
      <c r="P3897" t="n">
        <v>0</v>
      </c>
      <c r="Q3897" t="n">
        <v>0</v>
      </c>
      <c r="R3897" s="2" t="inlineStr"/>
    </row>
    <row r="3898" ht="15" customHeight="1">
      <c r="A3898" t="inlineStr">
        <is>
          <t>A 1772-2024</t>
        </is>
      </c>
      <c r="B3898" s="1" t="n">
        <v>45307</v>
      </c>
      <c r="C3898" s="1" t="n">
        <v>45358</v>
      </c>
      <c r="D3898" t="inlineStr">
        <is>
          <t>HALLANDS LÄN</t>
        </is>
      </c>
      <c r="E3898" t="inlineStr">
        <is>
          <t>HYLTE</t>
        </is>
      </c>
      <c r="G3898" t="n">
        <v>0.9</v>
      </c>
      <c r="H3898" t="n">
        <v>0</v>
      </c>
      <c r="I3898" t="n">
        <v>0</v>
      </c>
      <c r="J3898" t="n">
        <v>0</v>
      </c>
      <c r="K3898" t="n">
        <v>0</v>
      </c>
      <c r="L3898" t="n">
        <v>0</v>
      </c>
      <c r="M3898" t="n">
        <v>0</v>
      </c>
      <c r="N3898" t="n">
        <v>0</v>
      </c>
      <c r="O3898" t="n">
        <v>0</v>
      </c>
      <c r="P3898" t="n">
        <v>0</v>
      </c>
      <c r="Q3898" t="n">
        <v>0</v>
      </c>
      <c r="R3898" s="2" t="inlineStr"/>
    </row>
    <row r="3899" ht="15" customHeight="1">
      <c r="A3899" t="inlineStr">
        <is>
          <t>A 1991-2024</t>
        </is>
      </c>
      <c r="B3899" s="1" t="n">
        <v>45308</v>
      </c>
      <c r="C3899" s="1" t="n">
        <v>45358</v>
      </c>
      <c r="D3899" t="inlineStr">
        <is>
          <t>HALLANDS LÄN</t>
        </is>
      </c>
      <c r="E3899" t="inlineStr">
        <is>
          <t>LAHOLM</t>
        </is>
      </c>
      <c r="G3899" t="n">
        <v>2.7</v>
      </c>
      <c r="H3899" t="n">
        <v>0</v>
      </c>
      <c r="I3899" t="n">
        <v>0</v>
      </c>
      <c r="J3899" t="n">
        <v>0</v>
      </c>
      <c r="K3899" t="n">
        <v>0</v>
      </c>
      <c r="L3899" t="n">
        <v>0</v>
      </c>
      <c r="M3899" t="n">
        <v>0</v>
      </c>
      <c r="N3899" t="n">
        <v>0</v>
      </c>
      <c r="O3899" t="n">
        <v>0</v>
      </c>
      <c r="P3899" t="n">
        <v>0</v>
      </c>
      <c r="Q3899" t="n">
        <v>0</v>
      </c>
      <c r="R3899" s="2" t="inlineStr"/>
    </row>
    <row r="3900" ht="15" customHeight="1">
      <c r="A3900" t="inlineStr">
        <is>
          <t>A 2012-2024</t>
        </is>
      </c>
      <c r="B3900" s="1" t="n">
        <v>45308</v>
      </c>
      <c r="C3900" s="1" t="n">
        <v>45358</v>
      </c>
      <c r="D3900" t="inlineStr">
        <is>
          <t>HALLANDS LÄN</t>
        </is>
      </c>
      <c r="E3900" t="inlineStr">
        <is>
          <t>KUNGSBACKA</t>
        </is>
      </c>
      <c r="G3900" t="n">
        <v>1</v>
      </c>
      <c r="H3900" t="n">
        <v>0</v>
      </c>
      <c r="I3900" t="n">
        <v>0</v>
      </c>
      <c r="J3900" t="n">
        <v>0</v>
      </c>
      <c r="K3900" t="n">
        <v>0</v>
      </c>
      <c r="L3900" t="n">
        <v>0</v>
      </c>
      <c r="M3900" t="n">
        <v>0</v>
      </c>
      <c r="N3900" t="n">
        <v>0</v>
      </c>
      <c r="O3900" t="n">
        <v>0</v>
      </c>
      <c r="P3900" t="n">
        <v>0</v>
      </c>
      <c r="Q3900" t="n">
        <v>0</v>
      </c>
      <c r="R3900" s="2" t="inlineStr"/>
    </row>
    <row r="3901" ht="15" customHeight="1">
      <c r="A3901" t="inlineStr">
        <is>
          <t>A 2013-2024</t>
        </is>
      </c>
      <c r="B3901" s="1" t="n">
        <v>45308</v>
      </c>
      <c r="C3901" s="1" t="n">
        <v>45358</v>
      </c>
      <c r="D3901" t="inlineStr">
        <is>
          <t>HALLANDS LÄN</t>
        </is>
      </c>
      <c r="E3901" t="inlineStr">
        <is>
          <t>KUNGSBACKA</t>
        </is>
      </c>
      <c r="G3901" t="n">
        <v>2.7</v>
      </c>
      <c r="H3901" t="n">
        <v>0</v>
      </c>
      <c r="I3901" t="n">
        <v>0</v>
      </c>
      <c r="J3901" t="n">
        <v>0</v>
      </c>
      <c r="K3901" t="n">
        <v>0</v>
      </c>
      <c r="L3901" t="n">
        <v>0</v>
      </c>
      <c r="M3901" t="n">
        <v>0</v>
      </c>
      <c r="N3901" t="n">
        <v>0</v>
      </c>
      <c r="O3901" t="n">
        <v>0</v>
      </c>
      <c r="P3901" t="n">
        <v>0</v>
      </c>
      <c r="Q3901" t="n">
        <v>0</v>
      </c>
      <c r="R3901" s="2" t="inlineStr"/>
    </row>
    <row r="3902" ht="15" customHeight="1">
      <c r="A3902" t="inlineStr">
        <is>
          <t>A 2088-2024</t>
        </is>
      </c>
      <c r="B3902" s="1" t="n">
        <v>45309</v>
      </c>
      <c r="C3902" s="1" t="n">
        <v>45358</v>
      </c>
      <c r="D3902" t="inlineStr">
        <is>
          <t>HALLANDS LÄN</t>
        </is>
      </c>
      <c r="E3902" t="inlineStr">
        <is>
          <t>HYLTE</t>
        </is>
      </c>
      <c r="G3902" t="n">
        <v>8.1</v>
      </c>
      <c r="H3902" t="n">
        <v>0</v>
      </c>
      <c r="I3902" t="n">
        <v>0</v>
      </c>
      <c r="J3902" t="n">
        <v>0</v>
      </c>
      <c r="K3902" t="n">
        <v>0</v>
      </c>
      <c r="L3902" t="n">
        <v>0</v>
      </c>
      <c r="M3902" t="n">
        <v>0</v>
      </c>
      <c r="N3902" t="n">
        <v>0</v>
      </c>
      <c r="O3902" t="n">
        <v>0</v>
      </c>
      <c r="P3902" t="n">
        <v>0</v>
      </c>
      <c r="Q3902" t="n">
        <v>0</v>
      </c>
      <c r="R3902" s="2" t="inlineStr"/>
    </row>
    <row r="3903" ht="15" customHeight="1">
      <c r="A3903" t="inlineStr">
        <is>
          <t>A 2094-2024</t>
        </is>
      </c>
      <c r="B3903" s="1" t="n">
        <v>45309</v>
      </c>
      <c r="C3903" s="1" t="n">
        <v>45358</v>
      </c>
      <c r="D3903" t="inlineStr">
        <is>
          <t>HALLANDS LÄN</t>
        </is>
      </c>
      <c r="E3903" t="inlineStr">
        <is>
          <t>HYLTE</t>
        </is>
      </c>
      <c r="G3903" t="n">
        <v>2.7</v>
      </c>
      <c r="H3903" t="n">
        <v>0</v>
      </c>
      <c r="I3903" t="n">
        <v>0</v>
      </c>
      <c r="J3903" t="n">
        <v>0</v>
      </c>
      <c r="K3903" t="n">
        <v>0</v>
      </c>
      <c r="L3903" t="n">
        <v>0</v>
      </c>
      <c r="M3903" t="n">
        <v>0</v>
      </c>
      <c r="N3903" t="n">
        <v>0</v>
      </c>
      <c r="O3903" t="n">
        <v>0</v>
      </c>
      <c r="P3903" t="n">
        <v>0</v>
      </c>
      <c r="Q3903" t="n">
        <v>0</v>
      </c>
      <c r="R3903" s="2" t="inlineStr"/>
    </row>
    <row r="3904" ht="15" customHeight="1">
      <c r="A3904" t="inlineStr">
        <is>
          <t>A 2394-2024</t>
        </is>
      </c>
      <c r="B3904" s="1" t="n">
        <v>45310</v>
      </c>
      <c r="C3904" s="1" t="n">
        <v>45358</v>
      </c>
      <c r="D3904" t="inlineStr">
        <is>
          <t>HALLANDS LÄN</t>
        </is>
      </c>
      <c r="E3904" t="inlineStr">
        <is>
          <t>HYLTE</t>
        </is>
      </c>
      <c r="G3904" t="n">
        <v>0.5</v>
      </c>
      <c r="H3904" t="n">
        <v>0</v>
      </c>
      <c r="I3904" t="n">
        <v>0</v>
      </c>
      <c r="J3904" t="n">
        <v>0</v>
      </c>
      <c r="K3904" t="n">
        <v>0</v>
      </c>
      <c r="L3904" t="n">
        <v>0</v>
      </c>
      <c r="M3904" t="n">
        <v>0</v>
      </c>
      <c r="N3904" t="n">
        <v>0</v>
      </c>
      <c r="O3904" t="n">
        <v>0</v>
      </c>
      <c r="P3904" t="n">
        <v>0</v>
      </c>
      <c r="Q3904" t="n">
        <v>0</v>
      </c>
      <c r="R3904" s="2" t="inlineStr"/>
    </row>
    <row r="3905" ht="15" customHeight="1">
      <c r="A3905" t="inlineStr">
        <is>
          <t>A 2407-2024</t>
        </is>
      </c>
      <c r="B3905" s="1" t="n">
        <v>45310</v>
      </c>
      <c r="C3905" s="1" t="n">
        <v>45358</v>
      </c>
      <c r="D3905" t="inlineStr">
        <is>
          <t>HALLANDS LÄN</t>
        </is>
      </c>
      <c r="E3905" t="inlineStr">
        <is>
          <t>VARBERG</t>
        </is>
      </c>
      <c r="G3905" t="n">
        <v>8.5</v>
      </c>
      <c r="H3905" t="n">
        <v>0</v>
      </c>
      <c r="I3905" t="n">
        <v>0</v>
      </c>
      <c r="J3905" t="n">
        <v>0</v>
      </c>
      <c r="K3905" t="n">
        <v>0</v>
      </c>
      <c r="L3905" t="n">
        <v>0</v>
      </c>
      <c r="M3905" t="n">
        <v>0</v>
      </c>
      <c r="N3905" t="n">
        <v>0</v>
      </c>
      <c r="O3905" t="n">
        <v>0</v>
      </c>
      <c r="P3905" t="n">
        <v>0</v>
      </c>
      <c r="Q3905" t="n">
        <v>0</v>
      </c>
      <c r="R3905" s="2" t="inlineStr"/>
    </row>
    <row r="3906" ht="15" customHeight="1">
      <c r="A3906" t="inlineStr">
        <is>
          <t>A 2438-2024</t>
        </is>
      </c>
      <c r="B3906" s="1" t="n">
        <v>45311</v>
      </c>
      <c r="C3906" s="1" t="n">
        <v>45358</v>
      </c>
      <c r="D3906" t="inlineStr">
        <is>
          <t>HALLANDS LÄN</t>
        </is>
      </c>
      <c r="E3906" t="inlineStr">
        <is>
          <t>HALMSTAD</t>
        </is>
      </c>
      <c r="G3906" t="n">
        <v>2</v>
      </c>
      <c r="H3906" t="n">
        <v>0</v>
      </c>
      <c r="I3906" t="n">
        <v>0</v>
      </c>
      <c r="J3906" t="n">
        <v>0</v>
      </c>
      <c r="K3906" t="n">
        <v>0</v>
      </c>
      <c r="L3906" t="n">
        <v>0</v>
      </c>
      <c r="M3906" t="n">
        <v>0</v>
      </c>
      <c r="N3906" t="n">
        <v>0</v>
      </c>
      <c r="O3906" t="n">
        <v>0</v>
      </c>
      <c r="P3906" t="n">
        <v>0</v>
      </c>
      <c r="Q3906" t="n">
        <v>0</v>
      </c>
      <c r="R3906" s="2" t="inlineStr"/>
    </row>
    <row r="3907" ht="15" customHeight="1">
      <c r="A3907" t="inlineStr">
        <is>
          <t>A 2464-2024</t>
        </is>
      </c>
      <c r="B3907" s="1" t="n">
        <v>45313</v>
      </c>
      <c r="C3907" s="1" t="n">
        <v>45358</v>
      </c>
      <c r="D3907" t="inlineStr">
        <is>
          <t>HALLANDS LÄN</t>
        </is>
      </c>
      <c r="E3907" t="inlineStr">
        <is>
          <t>VARBERG</t>
        </is>
      </c>
      <c r="G3907" t="n">
        <v>0.9</v>
      </c>
      <c r="H3907" t="n">
        <v>0</v>
      </c>
      <c r="I3907" t="n">
        <v>0</v>
      </c>
      <c r="J3907" t="n">
        <v>0</v>
      </c>
      <c r="K3907" t="n">
        <v>0</v>
      </c>
      <c r="L3907" t="n">
        <v>0</v>
      </c>
      <c r="M3907" t="n">
        <v>0</v>
      </c>
      <c r="N3907" t="n">
        <v>0</v>
      </c>
      <c r="O3907" t="n">
        <v>0</v>
      </c>
      <c r="P3907" t="n">
        <v>0</v>
      </c>
      <c r="Q3907" t="n">
        <v>0</v>
      </c>
      <c r="R3907" s="2" t="inlineStr"/>
    </row>
    <row r="3908" ht="15" customHeight="1">
      <c r="A3908" t="inlineStr">
        <is>
          <t>A 2532-2024</t>
        </is>
      </c>
      <c r="B3908" s="1" t="n">
        <v>45313</v>
      </c>
      <c r="C3908" s="1" t="n">
        <v>45358</v>
      </c>
      <c r="D3908" t="inlineStr">
        <is>
          <t>HALLANDS LÄN</t>
        </is>
      </c>
      <c r="E3908" t="inlineStr">
        <is>
          <t>VARBERG</t>
        </is>
      </c>
      <c r="G3908" t="n">
        <v>1.8</v>
      </c>
      <c r="H3908" t="n">
        <v>0</v>
      </c>
      <c r="I3908" t="n">
        <v>0</v>
      </c>
      <c r="J3908" t="n">
        <v>0</v>
      </c>
      <c r="K3908" t="n">
        <v>0</v>
      </c>
      <c r="L3908" t="n">
        <v>0</v>
      </c>
      <c r="M3908" t="n">
        <v>0</v>
      </c>
      <c r="N3908" t="n">
        <v>0</v>
      </c>
      <c r="O3908" t="n">
        <v>0</v>
      </c>
      <c r="P3908" t="n">
        <v>0</v>
      </c>
      <c r="Q3908" t="n">
        <v>0</v>
      </c>
      <c r="R3908" s="2" t="inlineStr"/>
    </row>
    <row r="3909" ht="15" customHeight="1">
      <c r="A3909" t="inlineStr">
        <is>
          <t>A 2803-2024</t>
        </is>
      </c>
      <c r="B3909" s="1" t="n">
        <v>45314</v>
      </c>
      <c r="C3909" s="1" t="n">
        <v>45358</v>
      </c>
      <c r="D3909" t="inlineStr">
        <is>
          <t>HALLANDS LÄN</t>
        </is>
      </c>
      <c r="E3909" t="inlineStr">
        <is>
          <t>HYLTE</t>
        </is>
      </c>
      <c r="G3909" t="n">
        <v>3.1</v>
      </c>
      <c r="H3909" t="n">
        <v>0</v>
      </c>
      <c r="I3909" t="n">
        <v>0</v>
      </c>
      <c r="J3909" t="n">
        <v>0</v>
      </c>
      <c r="K3909" t="n">
        <v>0</v>
      </c>
      <c r="L3909" t="n">
        <v>0</v>
      </c>
      <c r="M3909" t="n">
        <v>0</v>
      </c>
      <c r="N3909" t="n">
        <v>0</v>
      </c>
      <c r="O3909" t="n">
        <v>0</v>
      </c>
      <c r="P3909" t="n">
        <v>0</v>
      </c>
      <c r="Q3909" t="n">
        <v>0</v>
      </c>
      <c r="R3909" s="2" t="inlineStr"/>
    </row>
    <row r="3910" ht="15" customHeight="1">
      <c r="A3910" t="inlineStr">
        <is>
          <t>A 2687-2024</t>
        </is>
      </c>
      <c r="B3910" s="1" t="n">
        <v>45314</v>
      </c>
      <c r="C3910" s="1" t="n">
        <v>45358</v>
      </c>
      <c r="D3910" t="inlineStr">
        <is>
          <t>HALLANDS LÄN</t>
        </is>
      </c>
      <c r="E3910" t="inlineStr">
        <is>
          <t>LAHOLM</t>
        </is>
      </c>
      <c r="G3910" t="n">
        <v>6.3</v>
      </c>
      <c r="H3910" t="n">
        <v>0</v>
      </c>
      <c r="I3910" t="n">
        <v>0</v>
      </c>
      <c r="J3910" t="n">
        <v>0</v>
      </c>
      <c r="K3910" t="n">
        <v>0</v>
      </c>
      <c r="L3910" t="n">
        <v>0</v>
      </c>
      <c r="M3910" t="n">
        <v>0</v>
      </c>
      <c r="N3910" t="n">
        <v>0</v>
      </c>
      <c r="O3910" t="n">
        <v>0</v>
      </c>
      <c r="P3910" t="n">
        <v>0</v>
      </c>
      <c r="Q3910" t="n">
        <v>0</v>
      </c>
      <c r="R3910" s="2" t="inlineStr"/>
    </row>
    <row r="3911" ht="15" customHeight="1">
      <c r="A3911" t="inlineStr">
        <is>
          <t>A 2709-2024</t>
        </is>
      </c>
      <c r="B3911" s="1" t="n">
        <v>45314</v>
      </c>
      <c r="C3911" s="1" t="n">
        <v>45358</v>
      </c>
      <c r="D3911" t="inlineStr">
        <is>
          <t>HALLANDS LÄN</t>
        </is>
      </c>
      <c r="E3911" t="inlineStr">
        <is>
          <t>HALMSTAD</t>
        </is>
      </c>
      <c r="G3911" t="n">
        <v>0.9</v>
      </c>
      <c r="H3911" t="n">
        <v>0</v>
      </c>
      <c r="I3911" t="n">
        <v>0</v>
      </c>
      <c r="J3911" t="n">
        <v>0</v>
      </c>
      <c r="K3911" t="n">
        <v>0</v>
      </c>
      <c r="L3911" t="n">
        <v>0</v>
      </c>
      <c r="M3911" t="n">
        <v>0</v>
      </c>
      <c r="N3911" t="n">
        <v>0</v>
      </c>
      <c r="O3911" t="n">
        <v>0</v>
      </c>
      <c r="P3911" t="n">
        <v>0</v>
      </c>
      <c r="Q3911" t="n">
        <v>0</v>
      </c>
      <c r="R3911" s="2" t="inlineStr"/>
    </row>
    <row r="3912" ht="15" customHeight="1">
      <c r="A3912" t="inlineStr">
        <is>
          <t>A 2700-2024</t>
        </is>
      </c>
      <c r="B3912" s="1" t="n">
        <v>45314</v>
      </c>
      <c r="C3912" s="1" t="n">
        <v>45358</v>
      </c>
      <c r="D3912" t="inlineStr">
        <is>
          <t>HALLANDS LÄN</t>
        </is>
      </c>
      <c r="E3912" t="inlineStr">
        <is>
          <t>LAHOLM</t>
        </is>
      </c>
      <c r="G3912" t="n">
        <v>3.8</v>
      </c>
      <c r="H3912" t="n">
        <v>0</v>
      </c>
      <c r="I3912" t="n">
        <v>0</v>
      </c>
      <c r="J3912" t="n">
        <v>0</v>
      </c>
      <c r="K3912" t="n">
        <v>0</v>
      </c>
      <c r="L3912" t="n">
        <v>0</v>
      </c>
      <c r="M3912" t="n">
        <v>0</v>
      </c>
      <c r="N3912" t="n">
        <v>0</v>
      </c>
      <c r="O3912" t="n">
        <v>0</v>
      </c>
      <c r="P3912" t="n">
        <v>0</v>
      </c>
      <c r="Q3912" t="n">
        <v>0</v>
      </c>
      <c r="R3912" s="2" t="inlineStr"/>
    </row>
    <row r="3913" ht="15" customHeight="1">
      <c r="A3913" t="inlineStr">
        <is>
          <t>A 2704-2024</t>
        </is>
      </c>
      <c r="B3913" s="1" t="n">
        <v>45314</v>
      </c>
      <c r="C3913" s="1" t="n">
        <v>45358</v>
      </c>
      <c r="D3913" t="inlineStr">
        <is>
          <t>HALLANDS LÄN</t>
        </is>
      </c>
      <c r="E3913" t="inlineStr">
        <is>
          <t>LAHOLM</t>
        </is>
      </c>
      <c r="G3913" t="n">
        <v>1.9</v>
      </c>
      <c r="H3913" t="n">
        <v>0</v>
      </c>
      <c r="I3913" t="n">
        <v>0</v>
      </c>
      <c r="J3913" t="n">
        <v>0</v>
      </c>
      <c r="K3913" t="n">
        <v>0</v>
      </c>
      <c r="L3913" t="n">
        <v>0</v>
      </c>
      <c r="M3913" t="n">
        <v>0</v>
      </c>
      <c r="N3913" t="n">
        <v>0</v>
      </c>
      <c r="O3913" t="n">
        <v>0</v>
      </c>
      <c r="P3913" t="n">
        <v>0</v>
      </c>
      <c r="Q3913" t="n">
        <v>0</v>
      </c>
      <c r="R3913" s="2" t="inlineStr"/>
    </row>
    <row r="3914" ht="15" customHeight="1">
      <c r="A3914" t="inlineStr">
        <is>
          <t>A 2789-2024</t>
        </is>
      </c>
      <c r="B3914" s="1" t="n">
        <v>45314</v>
      </c>
      <c r="C3914" s="1" t="n">
        <v>45358</v>
      </c>
      <c r="D3914" t="inlineStr">
        <is>
          <t>HALLANDS LÄN</t>
        </is>
      </c>
      <c r="E3914" t="inlineStr">
        <is>
          <t>HALMSTAD</t>
        </is>
      </c>
      <c r="G3914" t="n">
        <v>0.7</v>
      </c>
      <c r="H3914" t="n">
        <v>0</v>
      </c>
      <c r="I3914" t="n">
        <v>0</v>
      </c>
      <c r="J3914" t="n">
        <v>0</v>
      </c>
      <c r="K3914" t="n">
        <v>0</v>
      </c>
      <c r="L3914" t="n">
        <v>0</v>
      </c>
      <c r="M3914" t="n">
        <v>0</v>
      </c>
      <c r="N3914" t="n">
        <v>0</v>
      </c>
      <c r="O3914" t="n">
        <v>0</v>
      </c>
      <c r="P3914" t="n">
        <v>0</v>
      </c>
      <c r="Q3914" t="n">
        <v>0</v>
      </c>
      <c r="R3914" s="2" t="inlineStr"/>
    </row>
    <row r="3915" ht="15" customHeight="1">
      <c r="A3915" t="inlineStr">
        <is>
          <t>A 2817-2024</t>
        </is>
      </c>
      <c r="B3915" s="1" t="n">
        <v>45314</v>
      </c>
      <c r="C3915" s="1" t="n">
        <v>45358</v>
      </c>
      <c r="D3915" t="inlineStr">
        <is>
          <t>HALLANDS LÄN</t>
        </is>
      </c>
      <c r="E3915" t="inlineStr">
        <is>
          <t>KUNGSBACKA</t>
        </is>
      </c>
      <c r="G3915" t="n">
        <v>1.1</v>
      </c>
      <c r="H3915" t="n">
        <v>0</v>
      </c>
      <c r="I3915" t="n">
        <v>0</v>
      </c>
      <c r="J3915" t="n">
        <v>0</v>
      </c>
      <c r="K3915" t="n">
        <v>0</v>
      </c>
      <c r="L3915" t="n">
        <v>0</v>
      </c>
      <c r="M3915" t="n">
        <v>0</v>
      </c>
      <c r="N3915" t="n">
        <v>0</v>
      </c>
      <c r="O3915" t="n">
        <v>0</v>
      </c>
      <c r="P3915" t="n">
        <v>0</v>
      </c>
      <c r="Q3915" t="n">
        <v>0</v>
      </c>
      <c r="R3915" s="2" t="inlineStr"/>
    </row>
    <row r="3916" ht="15" customHeight="1">
      <c r="A3916" t="inlineStr">
        <is>
          <t>A 2771-2024</t>
        </is>
      </c>
      <c r="B3916" s="1" t="n">
        <v>45314</v>
      </c>
      <c r="C3916" s="1" t="n">
        <v>45358</v>
      </c>
      <c r="D3916" t="inlineStr">
        <is>
          <t>HALLANDS LÄN</t>
        </is>
      </c>
      <c r="E3916" t="inlineStr">
        <is>
          <t>LAHOLM</t>
        </is>
      </c>
      <c r="G3916" t="n">
        <v>2.1</v>
      </c>
      <c r="H3916" t="n">
        <v>0</v>
      </c>
      <c r="I3916" t="n">
        <v>0</v>
      </c>
      <c r="J3916" t="n">
        <v>0</v>
      </c>
      <c r="K3916" t="n">
        <v>0</v>
      </c>
      <c r="L3916" t="n">
        <v>0</v>
      </c>
      <c r="M3916" t="n">
        <v>0</v>
      </c>
      <c r="N3916" t="n">
        <v>0</v>
      </c>
      <c r="O3916" t="n">
        <v>0</v>
      </c>
      <c r="P3916" t="n">
        <v>0</v>
      </c>
      <c r="Q3916" t="n">
        <v>0</v>
      </c>
      <c r="R3916" s="2" t="inlineStr"/>
    </row>
    <row r="3917" ht="15" customHeight="1">
      <c r="A3917" t="inlineStr">
        <is>
          <t>A 2743-2024</t>
        </is>
      </c>
      <c r="B3917" s="1" t="n">
        <v>45314</v>
      </c>
      <c r="C3917" s="1" t="n">
        <v>45358</v>
      </c>
      <c r="D3917" t="inlineStr">
        <is>
          <t>HALLANDS LÄN</t>
        </is>
      </c>
      <c r="E3917" t="inlineStr">
        <is>
          <t>HYLTE</t>
        </is>
      </c>
      <c r="G3917" t="n">
        <v>1.7</v>
      </c>
      <c r="H3917" t="n">
        <v>0</v>
      </c>
      <c r="I3917" t="n">
        <v>0</v>
      </c>
      <c r="J3917" t="n">
        <v>0</v>
      </c>
      <c r="K3917" t="n">
        <v>0</v>
      </c>
      <c r="L3917" t="n">
        <v>0</v>
      </c>
      <c r="M3917" t="n">
        <v>0</v>
      </c>
      <c r="N3917" t="n">
        <v>0</v>
      </c>
      <c r="O3917" t="n">
        <v>0</v>
      </c>
      <c r="P3917" t="n">
        <v>0</v>
      </c>
      <c r="Q3917" t="n">
        <v>0</v>
      </c>
      <c r="R3917" s="2" t="inlineStr"/>
    </row>
    <row r="3918" ht="15" customHeight="1">
      <c r="A3918" t="inlineStr">
        <is>
          <t>A 2702-2024</t>
        </is>
      </c>
      <c r="B3918" s="1" t="n">
        <v>45314</v>
      </c>
      <c r="C3918" s="1" t="n">
        <v>45358</v>
      </c>
      <c r="D3918" t="inlineStr">
        <is>
          <t>HALLANDS LÄN</t>
        </is>
      </c>
      <c r="E3918" t="inlineStr">
        <is>
          <t>LAHOLM</t>
        </is>
      </c>
      <c r="G3918" t="n">
        <v>1.3</v>
      </c>
      <c r="H3918" t="n">
        <v>0</v>
      </c>
      <c r="I3918" t="n">
        <v>0</v>
      </c>
      <c r="J3918" t="n">
        <v>0</v>
      </c>
      <c r="K3918" t="n">
        <v>0</v>
      </c>
      <c r="L3918" t="n">
        <v>0</v>
      </c>
      <c r="M3918" t="n">
        <v>0</v>
      </c>
      <c r="N3918" t="n">
        <v>0</v>
      </c>
      <c r="O3918" t="n">
        <v>0</v>
      </c>
      <c r="P3918" t="n">
        <v>0</v>
      </c>
      <c r="Q3918" t="n">
        <v>0</v>
      </c>
      <c r="R3918" s="2" t="inlineStr"/>
    </row>
    <row r="3919" ht="15" customHeight="1">
      <c r="A3919" t="inlineStr">
        <is>
          <t>A 2839-2024</t>
        </is>
      </c>
      <c r="B3919" s="1" t="n">
        <v>45315</v>
      </c>
      <c r="C3919" s="1" t="n">
        <v>45358</v>
      </c>
      <c r="D3919" t="inlineStr">
        <is>
          <t>HALLANDS LÄN</t>
        </is>
      </c>
      <c r="E3919" t="inlineStr">
        <is>
          <t>HYLTE</t>
        </is>
      </c>
      <c r="G3919" t="n">
        <v>1.2</v>
      </c>
      <c r="H3919" t="n">
        <v>0</v>
      </c>
      <c r="I3919" t="n">
        <v>0</v>
      </c>
      <c r="J3919" t="n">
        <v>0</v>
      </c>
      <c r="K3919" t="n">
        <v>0</v>
      </c>
      <c r="L3919" t="n">
        <v>0</v>
      </c>
      <c r="M3919" t="n">
        <v>0</v>
      </c>
      <c r="N3919" t="n">
        <v>0</v>
      </c>
      <c r="O3919" t="n">
        <v>0</v>
      </c>
      <c r="P3919" t="n">
        <v>0</v>
      </c>
      <c r="Q3919" t="n">
        <v>0</v>
      </c>
      <c r="R3919" s="2" t="inlineStr"/>
    </row>
    <row r="3920" ht="15" customHeight="1">
      <c r="A3920" t="inlineStr">
        <is>
          <t>A 2892-2024</t>
        </is>
      </c>
      <c r="B3920" s="1" t="n">
        <v>45315</v>
      </c>
      <c r="C3920" s="1" t="n">
        <v>45358</v>
      </c>
      <c r="D3920" t="inlineStr">
        <is>
          <t>HALLANDS LÄN</t>
        </is>
      </c>
      <c r="E3920" t="inlineStr">
        <is>
          <t>VARBERG</t>
        </is>
      </c>
      <c r="G3920" t="n">
        <v>1</v>
      </c>
      <c r="H3920" t="n">
        <v>0</v>
      </c>
      <c r="I3920" t="n">
        <v>0</v>
      </c>
      <c r="J3920" t="n">
        <v>0</v>
      </c>
      <c r="K3920" t="n">
        <v>0</v>
      </c>
      <c r="L3920" t="n">
        <v>0</v>
      </c>
      <c r="M3920" t="n">
        <v>0</v>
      </c>
      <c r="N3920" t="n">
        <v>0</v>
      </c>
      <c r="O3920" t="n">
        <v>0</v>
      </c>
      <c r="P3920" t="n">
        <v>0</v>
      </c>
      <c r="Q3920" t="n">
        <v>0</v>
      </c>
      <c r="R3920" s="2" t="inlineStr"/>
    </row>
    <row r="3921" ht="15" customHeight="1">
      <c r="A3921" t="inlineStr">
        <is>
          <t>A 2997-2024</t>
        </is>
      </c>
      <c r="B3921" s="1" t="n">
        <v>45315</v>
      </c>
      <c r="C3921" s="1" t="n">
        <v>45358</v>
      </c>
      <c r="D3921" t="inlineStr">
        <is>
          <t>HALLANDS LÄN</t>
        </is>
      </c>
      <c r="E3921" t="inlineStr">
        <is>
          <t>VARBERG</t>
        </is>
      </c>
      <c r="G3921" t="n">
        <v>3.4</v>
      </c>
      <c r="H3921" t="n">
        <v>0</v>
      </c>
      <c r="I3921" t="n">
        <v>0</v>
      </c>
      <c r="J3921" t="n">
        <v>0</v>
      </c>
      <c r="K3921" t="n">
        <v>0</v>
      </c>
      <c r="L3921" t="n">
        <v>0</v>
      </c>
      <c r="M3921" t="n">
        <v>0</v>
      </c>
      <c r="N3921" t="n">
        <v>0</v>
      </c>
      <c r="O3921" t="n">
        <v>0</v>
      </c>
      <c r="P3921" t="n">
        <v>0</v>
      </c>
      <c r="Q3921" t="n">
        <v>0</v>
      </c>
      <c r="R3921" s="2" t="inlineStr"/>
    </row>
    <row r="3922" ht="15" customHeight="1">
      <c r="A3922" t="inlineStr">
        <is>
          <t>A 2990-2024</t>
        </is>
      </c>
      <c r="B3922" s="1" t="n">
        <v>45315</v>
      </c>
      <c r="C3922" s="1" t="n">
        <v>45358</v>
      </c>
      <c r="D3922" t="inlineStr">
        <is>
          <t>HALLANDS LÄN</t>
        </is>
      </c>
      <c r="E3922" t="inlineStr">
        <is>
          <t>KUNGSBACKA</t>
        </is>
      </c>
      <c r="G3922" t="n">
        <v>3.2</v>
      </c>
      <c r="H3922" t="n">
        <v>0</v>
      </c>
      <c r="I3922" t="n">
        <v>0</v>
      </c>
      <c r="J3922" t="n">
        <v>0</v>
      </c>
      <c r="K3922" t="n">
        <v>0</v>
      </c>
      <c r="L3922" t="n">
        <v>0</v>
      </c>
      <c r="M3922" t="n">
        <v>0</v>
      </c>
      <c r="N3922" t="n">
        <v>0</v>
      </c>
      <c r="O3922" t="n">
        <v>0</v>
      </c>
      <c r="P3922" t="n">
        <v>0</v>
      </c>
      <c r="Q3922" t="n">
        <v>0</v>
      </c>
      <c r="R3922" s="2" t="inlineStr"/>
    </row>
    <row r="3923" ht="15" customHeight="1">
      <c r="A3923" t="inlineStr">
        <is>
          <t>A 2991-2024</t>
        </is>
      </c>
      <c r="B3923" s="1" t="n">
        <v>45315</v>
      </c>
      <c r="C3923" s="1" t="n">
        <v>45358</v>
      </c>
      <c r="D3923" t="inlineStr">
        <is>
          <t>HALLANDS LÄN</t>
        </is>
      </c>
      <c r="E3923" t="inlineStr">
        <is>
          <t>HALMSTAD</t>
        </is>
      </c>
      <c r="F3923" t="inlineStr">
        <is>
          <t>Bergvik skog väst AB</t>
        </is>
      </c>
      <c r="G3923" t="n">
        <v>1.7</v>
      </c>
      <c r="H3923" t="n">
        <v>0</v>
      </c>
      <c r="I3923" t="n">
        <v>0</v>
      </c>
      <c r="J3923" t="n">
        <v>0</v>
      </c>
      <c r="K3923" t="n">
        <v>0</v>
      </c>
      <c r="L3923" t="n">
        <v>0</v>
      </c>
      <c r="M3923" t="n">
        <v>0</v>
      </c>
      <c r="N3923" t="n">
        <v>0</v>
      </c>
      <c r="O3923" t="n">
        <v>0</v>
      </c>
      <c r="P3923" t="n">
        <v>0</v>
      </c>
      <c r="Q3923" t="n">
        <v>0</v>
      </c>
      <c r="R3923" s="2" t="inlineStr"/>
    </row>
    <row r="3924" ht="15" customHeight="1">
      <c r="A3924" t="inlineStr">
        <is>
          <t>A 3032-2024</t>
        </is>
      </c>
      <c r="B3924" s="1" t="n">
        <v>45316</v>
      </c>
      <c r="C3924" s="1" t="n">
        <v>45358</v>
      </c>
      <c r="D3924" t="inlineStr">
        <is>
          <t>HALLANDS LÄN</t>
        </is>
      </c>
      <c r="E3924" t="inlineStr">
        <is>
          <t>HALMSTAD</t>
        </is>
      </c>
      <c r="G3924" t="n">
        <v>3.3</v>
      </c>
      <c r="H3924" t="n">
        <v>0</v>
      </c>
      <c r="I3924" t="n">
        <v>0</v>
      </c>
      <c r="J3924" t="n">
        <v>0</v>
      </c>
      <c r="K3924" t="n">
        <v>0</v>
      </c>
      <c r="L3924" t="n">
        <v>0</v>
      </c>
      <c r="M3924" t="n">
        <v>0</v>
      </c>
      <c r="N3924" t="n">
        <v>0</v>
      </c>
      <c r="O3924" t="n">
        <v>0</v>
      </c>
      <c r="P3924" t="n">
        <v>0</v>
      </c>
      <c r="Q3924" t="n">
        <v>0</v>
      </c>
      <c r="R3924" s="2" t="inlineStr"/>
    </row>
    <row r="3925" ht="15" customHeight="1">
      <c r="A3925" t="inlineStr">
        <is>
          <t>A 3226-2024</t>
        </is>
      </c>
      <c r="B3925" s="1" t="n">
        <v>45316</v>
      </c>
      <c r="C3925" s="1" t="n">
        <v>45358</v>
      </c>
      <c r="D3925" t="inlineStr">
        <is>
          <t>HALLANDS LÄN</t>
        </is>
      </c>
      <c r="E3925" t="inlineStr">
        <is>
          <t>HALMSTAD</t>
        </is>
      </c>
      <c r="G3925" t="n">
        <v>0.9</v>
      </c>
      <c r="H3925" t="n">
        <v>0</v>
      </c>
      <c r="I3925" t="n">
        <v>0</v>
      </c>
      <c r="J3925" t="n">
        <v>0</v>
      </c>
      <c r="K3925" t="n">
        <v>0</v>
      </c>
      <c r="L3925" t="n">
        <v>0</v>
      </c>
      <c r="M3925" t="n">
        <v>0</v>
      </c>
      <c r="N3925" t="n">
        <v>0</v>
      </c>
      <c r="O3925" t="n">
        <v>0</v>
      </c>
      <c r="P3925" t="n">
        <v>0</v>
      </c>
      <c r="Q3925" t="n">
        <v>0</v>
      </c>
      <c r="R3925" s="2" t="inlineStr"/>
    </row>
    <row r="3926" ht="15" customHeight="1">
      <c r="A3926" t="inlineStr">
        <is>
          <t>A 3037-2024</t>
        </is>
      </c>
      <c r="B3926" s="1" t="n">
        <v>45316</v>
      </c>
      <c r="C3926" s="1" t="n">
        <v>45358</v>
      </c>
      <c r="D3926" t="inlineStr">
        <is>
          <t>HALLANDS LÄN</t>
        </is>
      </c>
      <c r="E3926" t="inlineStr">
        <is>
          <t>HYLTE</t>
        </is>
      </c>
      <c r="F3926" t="inlineStr">
        <is>
          <t>Bergvik skog väst AB</t>
        </is>
      </c>
      <c r="G3926" t="n">
        <v>4.3</v>
      </c>
      <c r="H3926" t="n">
        <v>0</v>
      </c>
      <c r="I3926" t="n">
        <v>0</v>
      </c>
      <c r="J3926" t="n">
        <v>0</v>
      </c>
      <c r="K3926" t="n">
        <v>0</v>
      </c>
      <c r="L3926" t="n">
        <v>0</v>
      </c>
      <c r="M3926" t="n">
        <v>0</v>
      </c>
      <c r="N3926" t="n">
        <v>0</v>
      </c>
      <c r="O3926" t="n">
        <v>0</v>
      </c>
      <c r="P3926" t="n">
        <v>0</v>
      </c>
      <c r="Q3926" t="n">
        <v>0</v>
      </c>
      <c r="R3926" s="2" t="inlineStr"/>
    </row>
    <row r="3927" ht="15" customHeight="1">
      <c r="A3927" t="inlineStr">
        <is>
          <t>A 3122-2024</t>
        </is>
      </c>
      <c r="B3927" s="1" t="n">
        <v>45316</v>
      </c>
      <c r="C3927" s="1" t="n">
        <v>45358</v>
      </c>
      <c r="D3927" t="inlineStr">
        <is>
          <t>HALLANDS LÄN</t>
        </is>
      </c>
      <c r="E3927" t="inlineStr">
        <is>
          <t>HYLTE</t>
        </is>
      </c>
      <c r="F3927" t="inlineStr">
        <is>
          <t>Bergvik skog väst AB</t>
        </is>
      </c>
      <c r="G3927" t="n">
        <v>3.7</v>
      </c>
      <c r="H3927" t="n">
        <v>0</v>
      </c>
      <c r="I3927" t="n">
        <v>0</v>
      </c>
      <c r="J3927" t="n">
        <v>0</v>
      </c>
      <c r="K3927" t="n">
        <v>0</v>
      </c>
      <c r="L3927" t="n">
        <v>0</v>
      </c>
      <c r="M3927" t="n">
        <v>0</v>
      </c>
      <c r="N3927" t="n">
        <v>0</v>
      </c>
      <c r="O3927" t="n">
        <v>0</v>
      </c>
      <c r="P3927" t="n">
        <v>0</v>
      </c>
      <c r="Q3927" t="n">
        <v>0</v>
      </c>
      <c r="R3927" s="2" t="inlineStr"/>
    </row>
    <row r="3928" ht="15" customHeight="1">
      <c r="A3928" t="inlineStr">
        <is>
          <t>A 3126-2024</t>
        </is>
      </c>
      <c r="B3928" s="1" t="n">
        <v>45316</v>
      </c>
      <c r="C3928" s="1" t="n">
        <v>45358</v>
      </c>
      <c r="D3928" t="inlineStr">
        <is>
          <t>HALLANDS LÄN</t>
        </is>
      </c>
      <c r="E3928" t="inlineStr">
        <is>
          <t>HYLTE</t>
        </is>
      </c>
      <c r="G3928" t="n">
        <v>1.1</v>
      </c>
      <c r="H3928" t="n">
        <v>0</v>
      </c>
      <c r="I3928" t="n">
        <v>0</v>
      </c>
      <c r="J3928" t="n">
        <v>0</v>
      </c>
      <c r="K3928" t="n">
        <v>0</v>
      </c>
      <c r="L3928" t="n">
        <v>0</v>
      </c>
      <c r="M3928" t="n">
        <v>0</v>
      </c>
      <c r="N3928" t="n">
        <v>0</v>
      </c>
      <c r="O3928" t="n">
        <v>0</v>
      </c>
      <c r="P3928" t="n">
        <v>0</v>
      </c>
      <c r="Q3928" t="n">
        <v>0</v>
      </c>
      <c r="R3928" s="2" t="inlineStr"/>
    </row>
    <row r="3929" ht="15" customHeight="1">
      <c r="A3929" t="inlineStr">
        <is>
          <t>A 3147-2024</t>
        </is>
      </c>
      <c r="B3929" s="1" t="n">
        <v>45316</v>
      </c>
      <c r="C3929" s="1" t="n">
        <v>45358</v>
      </c>
      <c r="D3929" t="inlineStr">
        <is>
          <t>HALLANDS LÄN</t>
        </is>
      </c>
      <c r="E3929" t="inlineStr">
        <is>
          <t>HALMSTAD</t>
        </is>
      </c>
      <c r="G3929" t="n">
        <v>1</v>
      </c>
      <c r="H3929" t="n">
        <v>0</v>
      </c>
      <c r="I3929" t="n">
        <v>0</v>
      </c>
      <c r="J3929" t="n">
        <v>0</v>
      </c>
      <c r="K3929" t="n">
        <v>0</v>
      </c>
      <c r="L3929" t="n">
        <v>0</v>
      </c>
      <c r="M3929" t="n">
        <v>0</v>
      </c>
      <c r="N3929" t="n">
        <v>0</v>
      </c>
      <c r="O3929" t="n">
        <v>0</v>
      </c>
      <c r="P3929" t="n">
        <v>0</v>
      </c>
      <c r="Q3929" t="n">
        <v>0</v>
      </c>
      <c r="R3929" s="2" t="inlineStr"/>
    </row>
    <row r="3930" ht="15" customHeight="1">
      <c r="A3930" t="inlineStr">
        <is>
          <t>A 3167-2024</t>
        </is>
      </c>
      <c r="B3930" s="1" t="n">
        <v>45316</v>
      </c>
      <c r="C3930" s="1" t="n">
        <v>45358</v>
      </c>
      <c r="D3930" t="inlineStr">
        <is>
          <t>HALLANDS LÄN</t>
        </is>
      </c>
      <c r="E3930" t="inlineStr">
        <is>
          <t>HALMSTAD</t>
        </is>
      </c>
      <c r="G3930" t="n">
        <v>2.2</v>
      </c>
      <c r="H3930" t="n">
        <v>0</v>
      </c>
      <c r="I3930" t="n">
        <v>0</v>
      </c>
      <c r="J3930" t="n">
        <v>0</v>
      </c>
      <c r="K3930" t="n">
        <v>0</v>
      </c>
      <c r="L3930" t="n">
        <v>0</v>
      </c>
      <c r="M3930" t="n">
        <v>0</v>
      </c>
      <c r="N3930" t="n">
        <v>0</v>
      </c>
      <c r="O3930" t="n">
        <v>0</v>
      </c>
      <c r="P3930" t="n">
        <v>0</v>
      </c>
      <c r="Q3930" t="n">
        <v>0</v>
      </c>
      <c r="R3930" s="2" t="inlineStr"/>
    </row>
    <row r="3931" ht="15" customHeight="1">
      <c r="A3931" t="inlineStr">
        <is>
          <t>A 3055-2024</t>
        </is>
      </c>
      <c r="B3931" s="1" t="n">
        <v>45316</v>
      </c>
      <c r="C3931" s="1" t="n">
        <v>45358</v>
      </c>
      <c r="D3931" t="inlineStr">
        <is>
          <t>HALLANDS LÄN</t>
        </is>
      </c>
      <c r="E3931" t="inlineStr">
        <is>
          <t>VARBERG</t>
        </is>
      </c>
      <c r="G3931" t="n">
        <v>5.5</v>
      </c>
      <c r="H3931" t="n">
        <v>0</v>
      </c>
      <c r="I3931" t="n">
        <v>0</v>
      </c>
      <c r="J3931" t="n">
        <v>0</v>
      </c>
      <c r="K3931" t="n">
        <v>0</v>
      </c>
      <c r="L3931" t="n">
        <v>0</v>
      </c>
      <c r="M3931" t="n">
        <v>0</v>
      </c>
      <c r="N3931" t="n">
        <v>0</v>
      </c>
      <c r="O3931" t="n">
        <v>0</v>
      </c>
      <c r="P3931" t="n">
        <v>0</v>
      </c>
      <c r="Q3931" t="n">
        <v>0</v>
      </c>
      <c r="R3931" s="2" t="inlineStr"/>
    </row>
    <row r="3932" ht="15" customHeight="1">
      <c r="A3932" t="inlineStr">
        <is>
          <t>A 3132-2024</t>
        </is>
      </c>
      <c r="B3932" s="1" t="n">
        <v>45316</v>
      </c>
      <c r="C3932" s="1" t="n">
        <v>45358</v>
      </c>
      <c r="D3932" t="inlineStr">
        <is>
          <t>HALLANDS LÄN</t>
        </is>
      </c>
      <c r="E3932" t="inlineStr">
        <is>
          <t>HYLTE</t>
        </is>
      </c>
      <c r="G3932" t="n">
        <v>0.8</v>
      </c>
      <c r="H3932" t="n">
        <v>0</v>
      </c>
      <c r="I3932" t="n">
        <v>0</v>
      </c>
      <c r="J3932" t="n">
        <v>0</v>
      </c>
      <c r="K3932" t="n">
        <v>0</v>
      </c>
      <c r="L3932" t="n">
        <v>0</v>
      </c>
      <c r="M3932" t="n">
        <v>0</v>
      </c>
      <c r="N3932" t="n">
        <v>0</v>
      </c>
      <c r="O3932" t="n">
        <v>0</v>
      </c>
      <c r="P3932" t="n">
        <v>0</v>
      </c>
      <c r="Q3932" t="n">
        <v>0</v>
      </c>
      <c r="R3932" s="2" t="inlineStr"/>
    </row>
    <row r="3933" ht="15" customHeight="1">
      <c r="A3933" t="inlineStr">
        <is>
          <t>A 3248-2024</t>
        </is>
      </c>
      <c r="B3933" s="1" t="n">
        <v>45317</v>
      </c>
      <c r="C3933" s="1" t="n">
        <v>45358</v>
      </c>
      <c r="D3933" t="inlineStr">
        <is>
          <t>HALLANDS LÄN</t>
        </is>
      </c>
      <c r="E3933" t="inlineStr">
        <is>
          <t>LAHOLM</t>
        </is>
      </c>
      <c r="G3933" t="n">
        <v>0.9</v>
      </c>
      <c r="H3933" t="n">
        <v>0</v>
      </c>
      <c r="I3933" t="n">
        <v>0</v>
      </c>
      <c r="J3933" t="n">
        <v>0</v>
      </c>
      <c r="K3933" t="n">
        <v>0</v>
      </c>
      <c r="L3933" t="n">
        <v>0</v>
      </c>
      <c r="M3933" t="n">
        <v>0</v>
      </c>
      <c r="N3933" t="n">
        <v>0</v>
      </c>
      <c r="O3933" t="n">
        <v>0</v>
      </c>
      <c r="P3933" t="n">
        <v>0</v>
      </c>
      <c r="Q3933" t="n">
        <v>0</v>
      </c>
      <c r="R3933" s="2" t="inlineStr"/>
    </row>
    <row r="3934" ht="15" customHeight="1">
      <c r="A3934" t="inlineStr">
        <is>
          <t>A 3464-2024</t>
        </is>
      </c>
      <c r="B3934" s="1" t="n">
        <v>45320</v>
      </c>
      <c r="C3934" s="1" t="n">
        <v>45358</v>
      </c>
      <c r="D3934" t="inlineStr">
        <is>
          <t>HALLANDS LÄN</t>
        </is>
      </c>
      <c r="E3934" t="inlineStr">
        <is>
          <t>LAHOLM</t>
        </is>
      </c>
      <c r="G3934" t="n">
        <v>1.6</v>
      </c>
      <c r="H3934" t="n">
        <v>0</v>
      </c>
      <c r="I3934" t="n">
        <v>0</v>
      </c>
      <c r="J3934" t="n">
        <v>0</v>
      </c>
      <c r="K3934" t="n">
        <v>0</v>
      </c>
      <c r="L3934" t="n">
        <v>0</v>
      </c>
      <c r="M3934" t="n">
        <v>0</v>
      </c>
      <c r="N3934" t="n">
        <v>0</v>
      </c>
      <c r="O3934" t="n">
        <v>0</v>
      </c>
      <c r="P3934" t="n">
        <v>0</v>
      </c>
      <c r="Q3934" t="n">
        <v>0</v>
      </c>
      <c r="R3934" s="2" t="inlineStr"/>
    </row>
    <row r="3935" ht="15" customHeight="1">
      <c r="A3935" t="inlineStr">
        <is>
          <t>A 3463-2024</t>
        </is>
      </c>
      <c r="B3935" s="1" t="n">
        <v>45320</v>
      </c>
      <c r="C3935" s="1" t="n">
        <v>45358</v>
      </c>
      <c r="D3935" t="inlineStr">
        <is>
          <t>HALLANDS LÄN</t>
        </is>
      </c>
      <c r="E3935" t="inlineStr">
        <is>
          <t>LAHOLM</t>
        </is>
      </c>
      <c r="G3935" t="n">
        <v>0.5</v>
      </c>
      <c r="H3935" t="n">
        <v>0</v>
      </c>
      <c r="I3935" t="n">
        <v>0</v>
      </c>
      <c r="J3935" t="n">
        <v>0</v>
      </c>
      <c r="K3935" t="n">
        <v>0</v>
      </c>
      <c r="L3935" t="n">
        <v>0</v>
      </c>
      <c r="M3935" t="n">
        <v>0</v>
      </c>
      <c r="N3935" t="n">
        <v>0</v>
      </c>
      <c r="O3935" t="n">
        <v>0</v>
      </c>
      <c r="P3935" t="n">
        <v>0</v>
      </c>
      <c r="Q3935" t="n">
        <v>0</v>
      </c>
      <c r="R3935" s="2" t="inlineStr"/>
    </row>
    <row r="3936" ht="15" customHeight="1">
      <c r="A3936" t="inlineStr">
        <is>
          <t>A 3469-2024</t>
        </is>
      </c>
      <c r="B3936" s="1" t="n">
        <v>45320</v>
      </c>
      <c r="C3936" s="1" t="n">
        <v>45358</v>
      </c>
      <c r="D3936" t="inlineStr">
        <is>
          <t>HALLANDS LÄN</t>
        </is>
      </c>
      <c r="E3936" t="inlineStr">
        <is>
          <t>LAHOLM</t>
        </is>
      </c>
      <c r="G3936" t="n">
        <v>0.4</v>
      </c>
      <c r="H3936" t="n">
        <v>0</v>
      </c>
      <c r="I3936" t="n">
        <v>0</v>
      </c>
      <c r="J3936" t="n">
        <v>0</v>
      </c>
      <c r="K3936" t="n">
        <v>0</v>
      </c>
      <c r="L3936" t="n">
        <v>0</v>
      </c>
      <c r="M3936" t="n">
        <v>0</v>
      </c>
      <c r="N3936" t="n">
        <v>0</v>
      </c>
      <c r="O3936" t="n">
        <v>0</v>
      </c>
      <c r="P3936" t="n">
        <v>0</v>
      </c>
      <c r="Q3936" t="n">
        <v>0</v>
      </c>
      <c r="R3936" s="2" t="inlineStr"/>
    </row>
    <row r="3937" ht="15" customHeight="1">
      <c r="A3937" t="inlineStr">
        <is>
          <t>A 3493-2024</t>
        </is>
      </c>
      <c r="B3937" s="1" t="n">
        <v>45320</v>
      </c>
      <c r="C3937" s="1" t="n">
        <v>45358</v>
      </c>
      <c r="D3937" t="inlineStr">
        <is>
          <t>HALLANDS LÄN</t>
        </is>
      </c>
      <c r="E3937" t="inlineStr">
        <is>
          <t>VARBERG</t>
        </is>
      </c>
      <c r="G3937" t="n">
        <v>1.8</v>
      </c>
      <c r="H3937" t="n">
        <v>0</v>
      </c>
      <c r="I3937" t="n">
        <v>0</v>
      </c>
      <c r="J3937" t="n">
        <v>0</v>
      </c>
      <c r="K3937" t="n">
        <v>0</v>
      </c>
      <c r="L3937" t="n">
        <v>0</v>
      </c>
      <c r="M3937" t="n">
        <v>0</v>
      </c>
      <c r="N3937" t="n">
        <v>0</v>
      </c>
      <c r="O3937" t="n">
        <v>0</v>
      </c>
      <c r="P3937" t="n">
        <v>0</v>
      </c>
      <c r="Q3937" t="n">
        <v>0</v>
      </c>
      <c r="R3937" s="2" t="inlineStr"/>
    </row>
    <row r="3938" ht="15" customHeight="1">
      <c r="A3938" t="inlineStr">
        <is>
          <t>A 3460-2024</t>
        </is>
      </c>
      <c r="B3938" s="1" t="n">
        <v>45320</v>
      </c>
      <c r="C3938" s="1" t="n">
        <v>45358</v>
      </c>
      <c r="D3938" t="inlineStr">
        <is>
          <t>HALLANDS LÄN</t>
        </is>
      </c>
      <c r="E3938" t="inlineStr">
        <is>
          <t>LAHOLM</t>
        </is>
      </c>
      <c r="G3938" t="n">
        <v>3.7</v>
      </c>
      <c r="H3938" t="n">
        <v>0</v>
      </c>
      <c r="I3938" t="n">
        <v>0</v>
      </c>
      <c r="J3938" t="n">
        <v>0</v>
      </c>
      <c r="K3938" t="n">
        <v>0</v>
      </c>
      <c r="L3938" t="n">
        <v>0</v>
      </c>
      <c r="M3938" t="n">
        <v>0</v>
      </c>
      <c r="N3938" t="n">
        <v>0</v>
      </c>
      <c r="O3938" t="n">
        <v>0</v>
      </c>
      <c r="P3938" t="n">
        <v>0</v>
      </c>
      <c r="Q3938" t="n">
        <v>0</v>
      </c>
      <c r="R3938" s="2" t="inlineStr"/>
    </row>
    <row r="3939" ht="15" customHeight="1">
      <c r="A3939" t="inlineStr">
        <is>
          <t>A 3471-2024</t>
        </is>
      </c>
      <c r="B3939" s="1" t="n">
        <v>45320</v>
      </c>
      <c r="C3939" s="1" t="n">
        <v>45358</v>
      </c>
      <c r="D3939" t="inlineStr">
        <is>
          <t>HALLANDS LÄN</t>
        </is>
      </c>
      <c r="E3939" t="inlineStr">
        <is>
          <t>LAHOLM</t>
        </is>
      </c>
      <c r="G3939" t="n">
        <v>1.2</v>
      </c>
      <c r="H3939" t="n">
        <v>0</v>
      </c>
      <c r="I3939" t="n">
        <v>0</v>
      </c>
      <c r="J3939" t="n">
        <v>0</v>
      </c>
      <c r="K3939" t="n">
        <v>0</v>
      </c>
      <c r="L3939" t="n">
        <v>0</v>
      </c>
      <c r="M3939" t="n">
        <v>0</v>
      </c>
      <c r="N3939" t="n">
        <v>0</v>
      </c>
      <c r="O3939" t="n">
        <v>0</v>
      </c>
      <c r="P3939" t="n">
        <v>0</v>
      </c>
      <c r="Q3939" t="n">
        <v>0</v>
      </c>
      <c r="R3939" s="2" t="inlineStr"/>
    </row>
    <row r="3940" ht="15" customHeight="1">
      <c r="A3940" t="inlineStr">
        <is>
          <t>A 3495-2024</t>
        </is>
      </c>
      <c r="B3940" s="1" t="n">
        <v>45320</v>
      </c>
      <c r="C3940" s="1" t="n">
        <v>45358</v>
      </c>
      <c r="D3940" t="inlineStr">
        <is>
          <t>HALLANDS LÄN</t>
        </is>
      </c>
      <c r="E3940" t="inlineStr">
        <is>
          <t>LAHOLM</t>
        </is>
      </c>
      <c r="G3940" t="n">
        <v>3.4</v>
      </c>
      <c r="H3940" t="n">
        <v>0</v>
      </c>
      <c r="I3940" t="n">
        <v>0</v>
      </c>
      <c r="J3940" t="n">
        <v>0</v>
      </c>
      <c r="K3940" t="n">
        <v>0</v>
      </c>
      <c r="L3940" t="n">
        <v>0</v>
      </c>
      <c r="M3940" t="n">
        <v>0</v>
      </c>
      <c r="N3940" t="n">
        <v>0</v>
      </c>
      <c r="O3940" t="n">
        <v>0</v>
      </c>
      <c r="P3940" t="n">
        <v>0</v>
      </c>
      <c r="Q3940" t="n">
        <v>0</v>
      </c>
      <c r="R3940" s="2" t="inlineStr"/>
    </row>
    <row r="3941" ht="15" customHeight="1">
      <c r="A3941" t="inlineStr">
        <is>
          <t>A 3538-2024</t>
        </is>
      </c>
      <c r="B3941" s="1" t="n">
        <v>45320</v>
      </c>
      <c r="C3941" s="1" t="n">
        <v>45358</v>
      </c>
      <c r="D3941" t="inlineStr">
        <is>
          <t>HALLANDS LÄN</t>
        </is>
      </c>
      <c r="E3941" t="inlineStr">
        <is>
          <t>VARBERG</t>
        </is>
      </c>
      <c r="F3941" t="inlineStr">
        <is>
          <t>Övriga statliga verk och myndigheter</t>
        </is>
      </c>
      <c r="G3941" t="n">
        <v>7.7</v>
      </c>
      <c r="H3941" t="n">
        <v>0</v>
      </c>
      <c r="I3941" t="n">
        <v>0</v>
      </c>
      <c r="J3941" t="n">
        <v>0</v>
      </c>
      <c r="K3941" t="n">
        <v>0</v>
      </c>
      <c r="L3941" t="n">
        <v>0</v>
      </c>
      <c r="M3941" t="n">
        <v>0</v>
      </c>
      <c r="N3941" t="n">
        <v>0</v>
      </c>
      <c r="O3941" t="n">
        <v>0</v>
      </c>
      <c r="P3941" t="n">
        <v>0</v>
      </c>
      <c r="Q3941" t="n">
        <v>0</v>
      </c>
      <c r="R3941" s="2" t="inlineStr"/>
    </row>
    <row r="3942" ht="15" customHeight="1">
      <c r="A3942" t="inlineStr">
        <is>
          <t>A 3472-2024</t>
        </is>
      </c>
      <c r="B3942" s="1" t="n">
        <v>45320</v>
      </c>
      <c r="C3942" s="1" t="n">
        <v>45358</v>
      </c>
      <c r="D3942" t="inlineStr">
        <is>
          <t>HALLANDS LÄN</t>
        </is>
      </c>
      <c r="E3942" t="inlineStr">
        <is>
          <t>LAHOLM</t>
        </is>
      </c>
      <c r="G3942" t="n">
        <v>5.5</v>
      </c>
      <c r="H3942" t="n">
        <v>0</v>
      </c>
      <c r="I3942" t="n">
        <v>0</v>
      </c>
      <c r="J3942" t="n">
        <v>0</v>
      </c>
      <c r="K3942" t="n">
        <v>0</v>
      </c>
      <c r="L3942" t="n">
        <v>0</v>
      </c>
      <c r="M3942" t="n">
        <v>0</v>
      </c>
      <c r="N3942" t="n">
        <v>0</v>
      </c>
      <c r="O3942" t="n">
        <v>0</v>
      </c>
      <c r="P3942" t="n">
        <v>0</v>
      </c>
      <c r="Q3942" t="n">
        <v>0</v>
      </c>
      <c r="R3942" s="2" t="inlineStr"/>
    </row>
    <row r="3943" ht="15" customHeight="1">
      <c r="A3943" t="inlineStr">
        <is>
          <t>A 3727-2024</t>
        </is>
      </c>
      <c r="B3943" s="1" t="n">
        <v>45321</v>
      </c>
      <c r="C3943" s="1" t="n">
        <v>45358</v>
      </c>
      <c r="D3943" t="inlineStr">
        <is>
          <t>HALLANDS LÄN</t>
        </is>
      </c>
      <c r="E3943" t="inlineStr">
        <is>
          <t>FALKENBERG</t>
        </is>
      </c>
      <c r="G3943" t="n">
        <v>1.1</v>
      </c>
      <c r="H3943" t="n">
        <v>0</v>
      </c>
      <c r="I3943" t="n">
        <v>0</v>
      </c>
      <c r="J3943" t="n">
        <v>0</v>
      </c>
      <c r="K3943" t="n">
        <v>0</v>
      </c>
      <c r="L3943" t="n">
        <v>0</v>
      </c>
      <c r="M3943" t="n">
        <v>0</v>
      </c>
      <c r="N3943" t="n">
        <v>0</v>
      </c>
      <c r="O3943" t="n">
        <v>0</v>
      </c>
      <c r="P3943" t="n">
        <v>0</v>
      </c>
      <c r="Q3943" t="n">
        <v>0</v>
      </c>
      <c r="R3943" s="2" t="inlineStr"/>
    </row>
    <row r="3944" ht="15" customHeight="1">
      <c r="A3944" t="inlineStr">
        <is>
          <t>A 3732-2024</t>
        </is>
      </c>
      <c r="B3944" s="1" t="n">
        <v>45321</v>
      </c>
      <c r="C3944" s="1" t="n">
        <v>45358</v>
      </c>
      <c r="D3944" t="inlineStr">
        <is>
          <t>HALLANDS LÄN</t>
        </is>
      </c>
      <c r="E3944" t="inlineStr">
        <is>
          <t>FALKENBERG</t>
        </is>
      </c>
      <c r="G3944" t="n">
        <v>8.5</v>
      </c>
      <c r="H3944" t="n">
        <v>0</v>
      </c>
      <c r="I3944" t="n">
        <v>0</v>
      </c>
      <c r="J3944" t="n">
        <v>0</v>
      </c>
      <c r="K3944" t="n">
        <v>0</v>
      </c>
      <c r="L3944" t="n">
        <v>0</v>
      </c>
      <c r="M3944" t="n">
        <v>0</v>
      </c>
      <c r="N3944" t="n">
        <v>0</v>
      </c>
      <c r="O3944" t="n">
        <v>0</v>
      </c>
      <c r="P3944" t="n">
        <v>0</v>
      </c>
      <c r="Q3944" t="n">
        <v>0</v>
      </c>
      <c r="R3944" s="2" t="inlineStr"/>
    </row>
    <row r="3945" ht="15" customHeight="1">
      <c r="A3945" t="inlineStr">
        <is>
          <t>A 3718-2024</t>
        </is>
      </c>
      <c r="B3945" s="1" t="n">
        <v>45321</v>
      </c>
      <c r="C3945" s="1" t="n">
        <v>45358</v>
      </c>
      <c r="D3945" t="inlineStr">
        <is>
          <t>HALLANDS LÄN</t>
        </is>
      </c>
      <c r="E3945" t="inlineStr">
        <is>
          <t>FALKENBERG</t>
        </is>
      </c>
      <c r="G3945" t="n">
        <v>7.4</v>
      </c>
      <c r="H3945" t="n">
        <v>0</v>
      </c>
      <c r="I3945" t="n">
        <v>0</v>
      </c>
      <c r="J3945" t="n">
        <v>0</v>
      </c>
      <c r="K3945" t="n">
        <v>0</v>
      </c>
      <c r="L3945" t="n">
        <v>0</v>
      </c>
      <c r="M3945" t="n">
        <v>0</v>
      </c>
      <c r="N3945" t="n">
        <v>0</v>
      </c>
      <c r="O3945" t="n">
        <v>0</v>
      </c>
      <c r="P3945" t="n">
        <v>0</v>
      </c>
      <c r="Q3945" t="n">
        <v>0</v>
      </c>
      <c r="R3945" s="2" t="inlineStr"/>
    </row>
    <row r="3946" ht="15" customHeight="1">
      <c r="A3946" t="inlineStr">
        <is>
          <t>A 3646-2024</t>
        </is>
      </c>
      <c r="B3946" s="1" t="n">
        <v>45321</v>
      </c>
      <c r="C3946" s="1" t="n">
        <v>45358</v>
      </c>
      <c r="D3946" t="inlineStr">
        <is>
          <t>HALLANDS LÄN</t>
        </is>
      </c>
      <c r="E3946" t="inlineStr">
        <is>
          <t>FALKENBERG</t>
        </is>
      </c>
      <c r="G3946" t="n">
        <v>4.4</v>
      </c>
      <c r="H3946" t="n">
        <v>0</v>
      </c>
      <c r="I3946" t="n">
        <v>0</v>
      </c>
      <c r="J3946" t="n">
        <v>0</v>
      </c>
      <c r="K3946" t="n">
        <v>0</v>
      </c>
      <c r="L3946" t="n">
        <v>0</v>
      </c>
      <c r="M3946" t="n">
        <v>0</v>
      </c>
      <c r="N3946" t="n">
        <v>0</v>
      </c>
      <c r="O3946" t="n">
        <v>0</v>
      </c>
      <c r="P3946" t="n">
        <v>0</v>
      </c>
      <c r="Q3946" t="n">
        <v>0</v>
      </c>
      <c r="R3946" s="2" t="inlineStr"/>
    </row>
    <row r="3947" ht="15" customHeight="1">
      <c r="A3947" t="inlineStr">
        <is>
          <t>A 3758-2024</t>
        </is>
      </c>
      <c r="B3947" s="1" t="n">
        <v>45321</v>
      </c>
      <c r="C3947" s="1" t="n">
        <v>45358</v>
      </c>
      <c r="D3947" t="inlineStr">
        <is>
          <t>HALLANDS LÄN</t>
        </is>
      </c>
      <c r="E3947" t="inlineStr">
        <is>
          <t>HALMSTAD</t>
        </is>
      </c>
      <c r="G3947" t="n">
        <v>1.7</v>
      </c>
      <c r="H3947" t="n">
        <v>0</v>
      </c>
      <c r="I3947" t="n">
        <v>0</v>
      </c>
      <c r="J3947" t="n">
        <v>0</v>
      </c>
      <c r="K3947" t="n">
        <v>0</v>
      </c>
      <c r="L3947" t="n">
        <v>0</v>
      </c>
      <c r="M3947" t="n">
        <v>0</v>
      </c>
      <c r="N3947" t="n">
        <v>0</v>
      </c>
      <c r="O3947" t="n">
        <v>0</v>
      </c>
      <c r="P3947" t="n">
        <v>0</v>
      </c>
      <c r="Q3947" t="n">
        <v>0</v>
      </c>
      <c r="R3947" s="2" t="inlineStr"/>
    </row>
    <row r="3948" ht="15" customHeight="1">
      <c r="A3948" t="inlineStr">
        <is>
          <t>A 3691-2024</t>
        </is>
      </c>
      <c r="B3948" s="1" t="n">
        <v>45321</v>
      </c>
      <c r="C3948" s="1" t="n">
        <v>45358</v>
      </c>
      <c r="D3948" t="inlineStr">
        <is>
          <t>HALLANDS LÄN</t>
        </is>
      </c>
      <c r="E3948" t="inlineStr">
        <is>
          <t>LAHOLM</t>
        </is>
      </c>
      <c r="G3948" t="n">
        <v>6.6</v>
      </c>
      <c r="H3948" t="n">
        <v>0</v>
      </c>
      <c r="I3948" t="n">
        <v>0</v>
      </c>
      <c r="J3948" t="n">
        <v>0</v>
      </c>
      <c r="K3948" t="n">
        <v>0</v>
      </c>
      <c r="L3948" t="n">
        <v>0</v>
      </c>
      <c r="M3948" t="n">
        <v>0</v>
      </c>
      <c r="N3948" t="n">
        <v>0</v>
      </c>
      <c r="O3948" t="n">
        <v>0</v>
      </c>
      <c r="P3948" t="n">
        <v>0</v>
      </c>
      <c r="Q3948" t="n">
        <v>0</v>
      </c>
      <c r="R3948" s="2" t="inlineStr"/>
    </row>
    <row r="3949" ht="15" customHeight="1">
      <c r="A3949" t="inlineStr">
        <is>
          <t>A 3803-2024</t>
        </is>
      </c>
      <c r="B3949" s="1" t="n">
        <v>45321</v>
      </c>
      <c r="C3949" s="1" t="n">
        <v>45358</v>
      </c>
      <c r="D3949" t="inlineStr">
        <is>
          <t>HALLANDS LÄN</t>
        </is>
      </c>
      <c r="E3949" t="inlineStr">
        <is>
          <t>HALMSTAD</t>
        </is>
      </c>
      <c r="G3949" t="n">
        <v>8.6</v>
      </c>
      <c r="H3949" t="n">
        <v>0</v>
      </c>
      <c r="I3949" t="n">
        <v>0</v>
      </c>
      <c r="J3949" t="n">
        <v>0</v>
      </c>
      <c r="K3949" t="n">
        <v>0</v>
      </c>
      <c r="L3949" t="n">
        <v>0</v>
      </c>
      <c r="M3949" t="n">
        <v>0</v>
      </c>
      <c r="N3949" t="n">
        <v>0</v>
      </c>
      <c r="O3949" t="n">
        <v>0</v>
      </c>
      <c r="P3949" t="n">
        <v>0</v>
      </c>
      <c r="Q3949" t="n">
        <v>0</v>
      </c>
      <c r="R3949" s="2" t="inlineStr"/>
    </row>
    <row r="3950" ht="15" customHeight="1">
      <c r="A3950" t="inlineStr">
        <is>
          <t>A 3801-2024</t>
        </is>
      </c>
      <c r="B3950" s="1" t="n">
        <v>45321</v>
      </c>
      <c r="C3950" s="1" t="n">
        <v>45358</v>
      </c>
      <c r="D3950" t="inlineStr">
        <is>
          <t>HALLANDS LÄN</t>
        </is>
      </c>
      <c r="E3950" t="inlineStr">
        <is>
          <t>HALMSTAD</t>
        </is>
      </c>
      <c r="G3950" t="n">
        <v>11.4</v>
      </c>
      <c r="H3950" t="n">
        <v>0</v>
      </c>
      <c r="I3950" t="n">
        <v>0</v>
      </c>
      <c r="J3950" t="n">
        <v>0</v>
      </c>
      <c r="K3950" t="n">
        <v>0</v>
      </c>
      <c r="L3950" t="n">
        <v>0</v>
      </c>
      <c r="M3950" t="n">
        <v>0</v>
      </c>
      <c r="N3950" t="n">
        <v>0</v>
      </c>
      <c r="O3950" t="n">
        <v>0</v>
      </c>
      <c r="P3950" t="n">
        <v>0</v>
      </c>
      <c r="Q3950" t="n">
        <v>0</v>
      </c>
      <c r="R3950" s="2" t="inlineStr"/>
    </row>
    <row r="3951" ht="15" customHeight="1">
      <c r="A3951" t="inlineStr">
        <is>
          <t>A 3860-2024</t>
        </is>
      </c>
      <c r="B3951" s="1" t="n">
        <v>45322</v>
      </c>
      <c r="C3951" s="1" t="n">
        <v>45358</v>
      </c>
      <c r="D3951" t="inlineStr">
        <is>
          <t>HALLANDS LÄN</t>
        </is>
      </c>
      <c r="E3951" t="inlineStr">
        <is>
          <t>LAHOLM</t>
        </is>
      </c>
      <c r="G3951" t="n">
        <v>2.4</v>
      </c>
      <c r="H3951" t="n">
        <v>0</v>
      </c>
      <c r="I3951" t="n">
        <v>0</v>
      </c>
      <c r="J3951" t="n">
        <v>0</v>
      </c>
      <c r="K3951" t="n">
        <v>0</v>
      </c>
      <c r="L3951" t="n">
        <v>0</v>
      </c>
      <c r="M3951" t="n">
        <v>0</v>
      </c>
      <c r="N3951" t="n">
        <v>0</v>
      </c>
      <c r="O3951" t="n">
        <v>0</v>
      </c>
      <c r="P3951" t="n">
        <v>0</v>
      </c>
      <c r="Q3951" t="n">
        <v>0</v>
      </c>
      <c r="R3951" s="2" t="inlineStr"/>
    </row>
    <row r="3952" ht="15" customHeight="1">
      <c r="A3952" t="inlineStr">
        <is>
          <t>A 4003-2024</t>
        </is>
      </c>
      <c r="B3952" s="1" t="n">
        <v>45323</v>
      </c>
      <c r="C3952" s="1" t="n">
        <v>45358</v>
      </c>
      <c r="D3952" t="inlineStr">
        <is>
          <t>HALLANDS LÄN</t>
        </is>
      </c>
      <c r="E3952" t="inlineStr">
        <is>
          <t>FALKENBERG</t>
        </is>
      </c>
      <c r="G3952" t="n">
        <v>3.8</v>
      </c>
      <c r="H3952" t="n">
        <v>0</v>
      </c>
      <c r="I3952" t="n">
        <v>0</v>
      </c>
      <c r="J3952" t="n">
        <v>0</v>
      </c>
      <c r="K3952" t="n">
        <v>0</v>
      </c>
      <c r="L3952" t="n">
        <v>0</v>
      </c>
      <c r="M3952" t="n">
        <v>0</v>
      </c>
      <c r="N3952" t="n">
        <v>0</v>
      </c>
      <c r="O3952" t="n">
        <v>0</v>
      </c>
      <c r="P3952" t="n">
        <v>0</v>
      </c>
      <c r="Q3952" t="n">
        <v>0</v>
      </c>
      <c r="R3952" s="2" t="inlineStr"/>
    </row>
    <row r="3953" ht="15" customHeight="1">
      <c r="A3953" t="inlineStr">
        <is>
          <t>A 4059-2024</t>
        </is>
      </c>
      <c r="B3953" s="1" t="n">
        <v>45323</v>
      </c>
      <c r="C3953" s="1" t="n">
        <v>45358</v>
      </c>
      <c r="D3953" t="inlineStr">
        <is>
          <t>HALLANDS LÄN</t>
        </is>
      </c>
      <c r="E3953" t="inlineStr">
        <is>
          <t>FALKENBERG</t>
        </is>
      </c>
      <c r="G3953" t="n">
        <v>2.9</v>
      </c>
      <c r="H3953" t="n">
        <v>0</v>
      </c>
      <c r="I3953" t="n">
        <v>0</v>
      </c>
      <c r="J3953" t="n">
        <v>0</v>
      </c>
      <c r="K3953" t="n">
        <v>0</v>
      </c>
      <c r="L3953" t="n">
        <v>0</v>
      </c>
      <c r="M3953" t="n">
        <v>0</v>
      </c>
      <c r="N3953" t="n">
        <v>0</v>
      </c>
      <c r="O3953" t="n">
        <v>0</v>
      </c>
      <c r="P3953" t="n">
        <v>0</v>
      </c>
      <c r="Q3953" t="n">
        <v>0</v>
      </c>
      <c r="R3953" s="2" t="inlineStr"/>
    </row>
    <row r="3954" ht="15" customHeight="1">
      <c r="A3954" t="inlineStr">
        <is>
          <t>A 4145-2024</t>
        </is>
      </c>
      <c r="B3954" s="1" t="n">
        <v>45323</v>
      </c>
      <c r="C3954" s="1" t="n">
        <v>45358</v>
      </c>
      <c r="D3954" t="inlineStr">
        <is>
          <t>HALLANDS LÄN</t>
        </is>
      </c>
      <c r="E3954" t="inlineStr">
        <is>
          <t>KUNGSBACKA</t>
        </is>
      </c>
      <c r="G3954" t="n">
        <v>2.2</v>
      </c>
      <c r="H3954" t="n">
        <v>0</v>
      </c>
      <c r="I3954" t="n">
        <v>0</v>
      </c>
      <c r="J3954" t="n">
        <v>0</v>
      </c>
      <c r="K3954" t="n">
        <v>0</v>
      </c>
      <c r="L3954" t="n">
        <v>0</v>
      </c>
      <c r="M3954" t="n">
        <v>0</v>
      </c>
      <c r="N3954" t="n">
        <v>0</v>
      </c>
      <c r="O3954" t="n">
        <v>0</v>
      </c>
      <c r="P3954" t="n">
        <v>0</v>
      </c>
      <c r="Q3954" t="n">
        <v>0</v>
      </c>
      <c r="R3954" s="2" t="inlineStr"/>
    </row>
    <row r="3955" ht="15" customHeight="1">
      <c r="A3955" t="inlineStr">
        <is>
          <t>A 4005-2024</t>
        </is>
      </c>
      <c r="B3955" s="1" t="n">
        <v>45323</v>
      </c>
      <c r="C3955" s="1" t="n">
        <v>45358</v>
      </c>
      <c r="D3955" t="inlineStr">
        <is>
          <t>HALLANDS LÄN</t>
        </is>
      </c>
      <c r="E3955" t="inlineStr">
        <is>
          <t>HALMSTAD</t>
        </is>
      </c>
      <c r="G3955" t="n">
        <v>0.5</v>
      </c>
      <c r="H3955" t="n">
        <v>0</v>
      </c>
      <c r="I3955" t="n">
        <v>0</v>
      </c>
      <c r="J3955" t="n">
        <v>0</v>
      </c>
      <c r="K3955" t="n">
        <v>0</v>
      </c>
      <c r="L3955" t="n">
        <v>0</v>
      </c>
      <c r="M3955" t="n">
        <v>0</v>
      </c>
      <c r="N3955" t="n">
        <v>0</v>
      </c>
      <c r="O3955" t="n">
        <v>0</v>
      </c>
      <c r="P3955" t="n">
        <v>0</v>
      </c>
      <c r="Q3955" t="n">
        <v>0</v>
      </c>
      <c r="R3955" s="2" t="inlineStr"/>
    </row>
    <row r="3956" ht="15" customHeight="1">
      <c r="A3956" t="inlineStr">
        <is>
          <t>A 4073-2024</t>
        </is>
      </c>
      <c r="B3956" s="1" t="n">
        <v>45323</v>
      </c>
      <c r="C3956" s="1" t="n">
        <v>45358</v>
      </c>
      <c r="D3956" t="inlineStr">
        <is>
          <t>HALLANDS LÄN</t>
        </is>
      </c>
      <c r="E3956" t="inlineStr">
        <is>
          <t>HALMSTAD</t>
        </is>
      </c>
      <c r="G3956" t="n">
        <v>3.9</v>
      </c>
      <c r="H3956" t="n">
        <v>0</v>
      </c>
      <c r="I3956" t="n">
        <v>0</v>
      </c>
      <c r="J3956" t="n">
        <v>0</v>
      </c>
      <c r="K3956" t="n">
        <v>0</v>
      </c>
      <c r="L3956" t="n">
        <v>0</v>
      </c>
      <c r="M3956" t="n">
        <v>0</v>
      </c>
      <c r="N3956" t="n">
        <v>0</v>
      </c>
      <c r="O3956" t="n">
        <v>0</v>
      </c>
      <c r="P3956" t="n">
        <v>0</v>
      </c>
      <c r="Q3956" t="n">
        <v>0</v>
      </c>
      <c r="R3956" s="2" t="inlineStr"/>
    </row>
    <row r="3957" ht="15" customHeight="1">
      <c r="A3957" t="inlineStr">
        <is>
          <t>A 4082-2024</t>
        </is>
      </c>
      <c r="B3957" s="1" t="n">
        <v>45323</v>
      </c>
      <c r="C3957" s="1" t="n">
        <v>45358</v>
      </c>
      <c r="D3957" t="inlineStr">
        <is>
          <t>HALLANDS LÄN</t>
        </is>
      </c>
      <c r="E3957" t="inlineStr">
        <is>
          <t>VARBERG</t>
        </is>
      </c>
      <c r="G3957" t="n">
        <v>1.6</v>
      </c>
      <c r="H3957" t="n">
        <v>0</v>
      </c>
      <c r="I3957" t="n">
        <v>0</v>
      </c>
      <c r="J3957" t="n">
        <v>0</v>
      </c>
      <c r="K3957" t="n">
        <v>0</v>
      </c>
      <c r="L3957" t="n">
        <v>0</v>
      </c>
      <c r="M3957" t="n">
        <v>0</v>
      </c>
      <c r="N3957" t="n">
        <v>0</v>
      </c>
      <c r="O3957" t="n">
        <v>0</v>
      </c>
      <c r="P3957" t="n">
        <v>0</v>
      </c>
      <c r="Q3957" t="n">
        <v>0</v>
      </c>
      <c r="R3957" s="2" t="inlineStr"/>
    </row>
    <row r="3958" ht="15" customHeight="1">
      <c r="A3958" t="inlineStr">
        <is>
          <t>A 4102-2024</t>
        </is>
      </c>
      <c r="B3958" s="1" t="n">
        <v>45323</v>
      </c>
      <c r="C3958" s="1" t="n">
        <v>45358</v>
      </c>
      <c r="D3958" t="inlineStr">
        <is>
          <t>HALLANDS LÄN</t>
        </is>
      </c>
      <c r="E3958" t="inlineStr">
        <is>
          <t>LAHOLM</t>
        </is>
      </c>
      <c r="G3958" t="n">
        <v>0.7</v>
      </c>
      <c r="H3958" t="n">
        <v>0</v>
      </c>
      <c r="I3958" t="n">
        <v>0</v>
      </c>
      <c r="J3958" t="n">
        <v>0</v>
      </c>
      <c r="K3958" t="n">
        <v>0</v>
      </c>
      <c r="L3958" t="n">
        <v>0</v>
      </c>
      <c r="M3958" t="n">
        <v>0</v>
      </c>
      <c r="N3958" t="n">
        <v>0</v>
      </c>
      <c r="O3958" t="n">
        <v>0</v>
      </c>
      <c r="P3958" t="n">
        <v>0</v>
      </c>
      <c r="Q3958" t="n">
        <v>0</v>
      </c>
      <c r="R3958" s="2" t="inlineStr"/>
    </row>
    <row r="3959" ht="15" customHeight="1">
      <c r="A3959" t="inlineStr">
        <is>
          <t>A 4002-2024</t>
        </is>
      </c>
      <c r="B3959" s="1" t="n">
        <v>45323</v>
      </c>
      <c r="C3959" s="1" t="n">
        <v>45358</v>
      </c>
      <c r="D3959" t="inlineStr">
        <is>
          <t>HALLANDS LÄN</t>
        </is>
      </c>
      <c r="E3959" t="inlineStr">
        <is>
          <t>HALMSTAD</t>
        </is>
      </c>
      <c r="G3959" t="n">
        <v>3.9</v>
      </c>
      <c r="H3959" t="n">
        <v>0</v>
      </c>
      <c r="I3959" t="n">
        <v>0</v>
      </c>
      <c r="J3959" t="n">
        <v>0</v>
      </c>
      <c r="K3959" t="n">
        <v>0</v>
      </c>
      <c r="L3959" t="n">
        <v>0</v>
      </c>
      <c r="M3959" t="n">
        <v>0</v>
      </c>
      <c r="N3959" t="n">
        <v>0</v>
      </c>
      <c r="O3959" t="n">
        <v>0</v>
      </c>
      <c r="P3959" t="n">
        <v>0</v>
      </c>
      <c r="Q3959" t="n">
        <v>0</v>
      </c>
      <c r="R3959" s="2" t="inlineStr"/>
    </row>
    <row r="3960" ht="15" customHeight="1">
      <c r="A3960" t="inlineStr">
        <is>
          <t>A 4038-2024</t>
        </is>
      </c>
      <c r="B3960" s="1" t="n">
        <v>45323</v>
      </c>
      <c r="C3960" s="1" t="n">
        <v>45358</v>
      </c>
      <c r="D3960" t="inlineStr">
        <is>
          <t>HALLANDS LÄN</t>
        </is>
      </c>
      <c r="E3960" t="inlineStr">
        <is>
          <t>FALKENBERG</t>
        </is>
      </c>
      <c r="G3960" t="n">
        <v>2.3</v>
      </c>
      <c r="H3960" t="n">
        <v>0</v>
      </c>
      <c r="I3960" t="n">
        <v>0</v>
      </c>
      <c r="J3960" t="n">
        <v>0</v>
      </c>
      <c r="K3960" t="n">
        <v>0</v>
      </c>
      <c r="L3960" t="n">
        <v>0</v>
      </c>
      <c r="M3960" t="n">
        <v>0</v>
      </c>
      <c r="N3960" t="n">
        <v>0</v>
      </c>
      <c r="O3960" t="n">
        <v>0</v>
      </c>
      <c r="P3960" t="n">
        <v>0</v>
      </c>
      <c r="Q3960" t="n">
        <v>0</v>
      </c>
      <c r="R3960" s="2" t="inlineStr"/>
    </row>
    <row r="3961" ht="15" customHeight="1">
      <c r="A3961" t="inlineStr">
        <is>
          <t>A 4062-2024</t>
        </is>
      </c>
      <c r="B3961" s="1" t="n">
        <v>45323</v>
      </c>
      <c r="C3961" s="1" t="n">
        <v>45358</v>
      </c>
      <c r="D3961" t="inlineStr">
        <is>
          <t>HALLANDS LÄN</t>
        </is>
      </c>
      <c r="E3961" t="inlineStr">
        <is>
          <t>FALKENBERG</t>
        </is>
      </c>
      <c r="G3961" t="n">
        <v>0.7</v>
      </c>
      <c r="H3961" t="n">
        <v>0</v>
      </c>
      <c r="I3961" t="n">
        <v>0</v>
      </c>
      <c r="J3961" t="n">
        <v>0</v>
      </c>
      <c r="K3961" t="n">
        <v>0</v>
      </c>
      <c r="L3961" t="n">
        <v>0</v>
      </c>
      <c r="M3961" t="n">
        <v>0</v>
      </c>
      <c r="N3961" t="n">
        <v>0</v>
      </c>
      <c r="O3961" t="n">
        <v>0</v>
      </c>
      <c r="P3961" t="n">
        <v>0</v>
      </c>
      <c r="Q3961" t="n">
        <v>0</v>
      </c>
      <c r="R3961" s="2" t="inlineStr"/>
    </row>
    <row r="3962" ht="15" customHeight="1">
      <c r="A3962" t="inlineStr">
        <is>
          <t>A 4144-2024</t>
        </is>
      </c>
      <c r="B3962" s="1" t="n">
        <v>45323</v>
      </c>
      <c r="C3962" s="1" t="n">
        <v>45358</v>
      </c>
      <c r="D3962" t="inlineStr">
        <is>
          <t>HALLANDS LÄN</t>
        </is>
      </c>
      <c r="E3962" t="inlineStr">
        <is>
          <t>KUNGSBACKA</t>
        </is>
      </c>
      <c r="G3962" t="n">
        <v>2</v>
      </c>
      <c r="H3962" t="n">
        <v>0</v>
      </c>
      <c r="I3962" t="n">
        <v>0</v>
      </c>
      <c r="J3962" t="n">
        <v>0</v>
      </c>
      <c r="K3962" t="n">
        <v>0</v>
      </c>
      <c r="L3962" t="n">
        <v>0</v>
      </c>
      <c r="M3962" t="n">
        <v>0</v>
      </c>
      <c r="N3962" t="n">
        <v>0</v>
      </c>
      <c r="O3962" t="n">
        <v>0</v>
      </c>
      <c r="P3962" t="n">
        <v>0</v>
      </c>
      <c r="Q3962" t="n">
        <v>0</v>
      </c>
      <c r="R3962" s="2" t="inlineStr"/>
    </row>
    <row r="3963" ht="15" customHeight="1">
      <c r="A3963" t="inlineStr">
        <is>
          <t>A 4335-2024</t>
        </is>
      </c>
      <c r="B3963" s="1" t="n">
        <v>45324</v>
      </c>
      <c r="C3963" s="1" t="n">
        <v>45358</v>
      </c>
      <c r="D3963" t="inlineStr">
        <is>
          <t>HALLANDS LÄN</t>
        </is>
      </c>
      <c r="E3963" t="inlineStr">
        <is>
          <t>KUNGSBACKA</t>
        </is>
      </c>
      <c r="G3963" t="n">
        <v>4.1</v>
      </c>
      <c r="H3963" t="n">
        <v>0</v>
      </c>
      <c r="I3963" t="n">
        <v>0</v>
      </c>
      <c r="J3963" t="n">
        <v>0</v>
      </c>
      <c r="K3963" t="n">
        <v>0</v>
      </c>
      <c r="L3963" t="n">
        <v>0</v>
      </c>
      <c r="M3963" t="n">
        <v>0</v>
      </c>
      <c r="N3963" t="n">
        <v>0</v>
      </c>
      <c r="O3963" t="n">
        <v>0</v>
      </c>
      <c r="P3963" t="n">
        <v>0</v>
      </c>
      <c r="Q3963" t="n">
        <v>0</v>
      </c>
      <c r="R3963" s="2" t="inlineStr"/>
    </row>
    <row r="3964" ht="15" customHeight="1">
      <c r="A3964" t="inlineStr">
        <is>
          <t>A 4326-2024</t>
        </is>
      </c>
      <c r="B3964" s="1" t="n">
        <v>45324</v>
      </c>
      <c r="C3964" s="1" t="n">
        <v>45358</v>
      </c>
      <c r="D3964" t="inlineStr">
        <is>
          <t>HALLANDS LÄN</t>
        </is>
      </c>
      <c r="E3964" t="inlineStr">
        <is>
          <t>FALKENBERG</t>
        </is>
      </c>
      <c r="G3964" t="n">
        <v>0.6</v>
      </c>
      <c r="H3964" t="n">
        <v>0</v>
      </c>
      <c r="I3964" t="n">
        <v>0</v>
      </c>
      <c r="J3964" t="n">
        <v>0</v>
      </c>
      <c r="K3964" t="n">
        <v>0</v>
      </c>
      <c r="L3964" t="n">
        <v>0</v>
      </c>
      <c r="M3964" t="n">
        <v>0</v>
      </c>
      <c r="N3964" t="n">
        <v>0</v>
      </c>
      <c r="O3964" t="n">
        <v>0</v>
      </c>
      <c r="P3964" t="n">
        <v>0</v>
      </c>
      <c r="Q3964" t="n">
        <v>0</v>
      </c>
      <c r="R3964" s="2" t="inlineStr"/>
    </row>
    <row r="3965" ht="15" customHeight="1">
      <c r="A3965" t="inlineStr">
        <is>
          <t>A 4373-2024</t>
        </is>
      </c>
      <c r="B3965" s="1" t="n">
        <v>45326</v>
      </c>
      <c r="C3965" s="1" t="n">
        <v>45358</v>
      </c>
      <c r="D3965" t="inlineStr">
        <is>
          <t>HALLANDS LÄN</t>
        </is>
      </c>
      <c r="E3965" t="inlineStr">
        <is>
          <t>FALKENBERG</t>
        </is>
      </c>
      <c r="G3965" t="n">
        <v>2.7</v>
      </c>
      <c r="H3965" t="n">
        <v>0</v>
      </c>
      <c r="I3965" t="n">
        <v>0</v>
      </c>
      <c r="J3965" t="n">
        <v>0</v>
      </c>
      <c r="K3965" t="n">
        <v>0</v>
      </c>
      <c r="L3965" t="n">
        <v>0</v>
      </c>
      <c r="M3965" t="n">
        <v>0</v>
      </c>
      <c r="N3965" t="n">
        <v>0</v>
      </c>
      <c r="O3965" t="n">
        <v>0</v>
      </c>
      <c r="P3965" t="n">
        <v>0</v>
      </c>
      <c r="Q3965" t="n">
        <v>0</v>
      </c>
      <c r="R3965" s="2" t="inlineStr"/>
    </row>
    <row r="3966" ht="15" customHeight="1">
      <c r="A3966" t="inlineStr">
        <is>
          <t>A 4366-2024</t>
        </is>
      </c>
      <c r="B3966" s="1" t="n">
        <v>45326</v>
      </c>
      <c r="C3966" s="1" t="n">
        <v>45358</v>
      </c>
      <c r="D3966" t="inlineStr">
        <is>
          <t>HALLANDS LÄN</t>
        </is>
      </c>
      <c r="E3966" t="inlineStr">
        <is>
          <t>VARBERG</t>
        </is>
      </c>
      <c r="G3966" t="n">
        <v>4.8</v>
      </c>
      <c r="H3966" t="n">
        <v>0</v>
      </c>
      <c r="I3966" t="n">
        <v>0</v>
      </c>
      <c r="J3966" t="n">
        <v>0</v>
      </c>
      <c r="K3966" t="n">
        <v>0</v>
      </c>
      <c r="L3966" t="n">
        <v>0</v>
      </c>
      <c r="M3966" t="n">
        <v>0</v>
      </c>
      <c r="N3966" t="n">
        <v>0</v>
      </c>
      <c r="O3966" t="n">
        <v>0</v>
      </c>
      <c r="P3966" t="n">
        <v>0</v>
      </c>
      <c r="Q3966" t="n">
        <v>0</v>
      </c>
      <c r="R3966" s="2" t="inlineStr"/>
    </row>
    <row r="3967" ht="15" customHeight="1">
      <c r="A3967" t="inlineStr">
        <is>
          <t>A 4381-2024</t>
        </is>
      </c>
      <c r="B3967" s="1" t="n">
        <v>45327</v>
      </c>
      <c r="C3967" s="1" t="n">
        <v>45358</v>
      </c>
      <c r="D3967" t="inlineStr">
        <is>
          <t>HALLANDS LÄN</t>
        </is>
      </c>
      <c r="E3967" t="inlineStr">
        <is>
          <t>LAHOLM</t>
        </is>
      </c>
      <c r="G3967" t="n">
        <v>0.6</v>
      </c>
      <c r="H3967" t="n">
        <v>0</v>
      </c>
      <c r="I3967" t="n">
        <v>0</v>
      </c>
      <c r="J3967" t="n">
        <v>0</v>
      </c>
      <c r="K3967" t="n">
        <v>0</v>
      </c>
      <c r="L3967" t="n">
        <v>0</v>
      </c>
      <c r="M3967" t="n">
        <v>0</v>
      </c>
      <c r="N3967" t="n">
        <v>0</v>
      </c>
      <c r="O3967" t="n">
        <v>0</v>
      </c>
      <c r="P3967" t="n">
        <v>0</v>
      </c>
      <c r="Q3967" t="n">
        <v>0</v>
      </c>
      <c r="R3967" s="2" t="inlineStr"/>
    </row>
    <row r="3968" ht="15" customHeight="1">
      <c r="A3968" t="inlineStr">
        <is>
          <t>A 4523-2024</t>
        </is>
      </c>
      <c r="B3968" s="1" t="n">
        <v>45327</v>
      </c>
      <c r="C3968" s="1" t="n">
        <v>45358</v>
      </c>
      <c r="D3968" t="inlineStr">
        <is>
          <t>HALLANDS LÄN</t>
        </is>
      </c>
      <c r="E3968" t="inlineStr">
        <is>
          <t>HYLTE</t>
        </is>
      </c>
      <c r="G3968" t="n">
        <v>2.5</v>
      </c>
      <c r="H3968" t="n">
        <v>0</v>
      </c>
      <c r="I3968" t="n">
        <v>0</v>
      </c>
      <c r="J3968" t="n">
        <v>0</v>
      </c>
      <c r="K3968" t="n">
        <v>0</v>
      </c>
      <c r="L3968" t="n">
        <v>0</v>
      </c>
      <c r="M3968" t="n">
        <v>0</v>
      </c>
      <c r="N3968" t="n">
        <v>0</v>
      </c>
      <c r="O3968" t="n">
        <v>0</v>
      </c>
      <c r="P3968" t="n">
        <v>0</v>
      </c>
      <c r="Q3968" t="n">
        <v>0</v>
      </c>
      <c r="R3968" s="2" t="inlineStr"/>
    </row>
    <row r="3969" ht="15" customHeight="1">
      <c r="A3969" t="inlineStr">
        <is>
          <t>A 4527-2024</t>
        </is>
      </c>
      <c r="B3969" s="1" t="n">
        <v>45327</v>
      </c>
      <c r="C3969" s="1" t="n">
        <v>45358</v>
      </c>
      <c r="D3969" t="inlineStr">
        <is>
          <t>HALLANDS LÄN</t>
        </is>
      </c>
      <c r="E3969" t="inlineStr">
        <is>
          <t>HYLTE</t>
        </is>
      </c>
      <c r="G3969" t="n">
        <v>0.4</v>
      </c>
      <c r="H3969" t="n">
        <v>0</v>
      </c>
      <c r="I3969" t="n">
        <v>0</v>
      </c>
      <c r="J3969" t="n">
        <v>0</v>
      </c>
      <c r="K3969" t="n">
        <v>0</v>
      </c>
      <c r="L3969" t="n">
        <v>0</v>
      </c>
      <c r="M3969" t="n">
        <v>0</v>
      </c>
      <c r="N3969" t="n">
        <v>0</v>
      </c>
      <c r="O3969" t="n">
        <v>0</v>
      </c>
      <c r="P3969" t="n">
        <v>0</v>
      </c>
      <c r="Q3969" t="n">
        <v>0</v>
      </c>
      <c r="R3969" s="2" t="inlineStr"/>
    </row>
    <row r="3970" ht="15" customHeight="1">
      <c r="A3970" t="inlineStr">
        <is>
          <t>A 4462-2024</t>
        </is>
      </c>
      <c r="B3970" s="1" t="n">
        <v>45327</v>
      </c>
      <c r="C3970" s="1" t="n">
        <v>45358</v>
      </c>
      <c r="D3970" t="inlineStr">
        <is>
          <t>HALLANDS LÄN</t>
        </is>
      </c>
      <c r="E3970" t="inlineStr">
        <is>
          <t>FALKENBERG</t>
        </is>
      </c>
      <c r="G3970" t="n">
        <v>0.8</v>
      </c>
      <c r="H3970" t="n">
        <v>0</v>
      </c>
      <c r="I3970" t="n">
        <v>0</v>
      </c>
      <c r="J3970" t="n">
        <v>0</v>
      </c>
      <c r="K3970" t="n">
        <v>0</v>
      </c>
      <c r="L3970" t="n">
        <v>0</v>
      </c>
      <c r="M3970" t="n">
        <v>0</v>
      </c>
      <c r="N3970" t="n">
        <v>0</v>
      </c>
      <c r="O3970" t="n">
        <v>0</v>
      </c>
      <c r="P3970" t="n">
        <v>0</v>
      </c>
      <c r="Q3970" t="n">
        <v>0</v>
      </c>
      <c r="R3970" s="2" t="inlineStr"/>
    </row>
    <row r="3971" ht="15" customHeight="1">
      <c r="A3971" t="inlineStr">
        <is>
          <t>A 4490-2024</t>
        </is>
      </c>
      <c r="B3971" s="1" t="n">
        <v>45327</v>
      </c>
      <c r="C3971" s="1" t="n">
        <v>45358</v>
      </c>
      <c r="D3971" t="inlineStr">
        <is>
          <t>HALLANDS LÄN</t>
        </is>
      </c>
      <c r="E3971" t="inlineStr">
        <is>
          <t>LAHOLM</t>
        </is>
      </c>
      <c r="G3971" t="n">
        <v>0.6</v>
      </c>
      <c r="H3971" t="n">
        <v>0</v>
      </c>
      <c r="I3971" t="n">
        <v>0</v>
      </c>
      <c r="J3971" t="n">
        <v>0</v>
      </c>
      <c r="K3971" t="n">
        <v>0</v>
      </c>
      <c r="L3971" t="n">
        <v>0</v>
      </c>
      <c r="M3971" t="n">
        <v>0</v>
      </c>
      <c r="N3971" t="n">
        <v>0</v>
      </c>
      <c r="O3971" t="n">
        <v>0</v>
      </c>
      <c r="P3971" t="n">
        <v>0</v>
      </c>
      <c r="Q3971" t="n">
        <v>0</v>
      </c>
      <c r="R3971" s="2" t="inlineStr"/>
    </row>
    <row r="3972" ht="15" customHeight="1">
      <c r="A3972" t="inlineStr">
        <is>
          <t>A 4494-2024</t>
        </is>
      </c>
      <c r="B3972" s="1" t="n">
        <v>45327</v>
      </c>
      <c r="C3972" s="1" t="n">
        <v>45358</v>
      </c>
      <c r="D3972" t="inlineStr">
        <is>
          <t>HALLANDS LÄN</t>
        </is>
      </c>
      <c r="E3972" t="inlineStr">
        <is>
          <t>LAHOLM</t>
        </is>
      </c>
      <c r="G3972" t="n">
        <v>0.8</v>
      </c>
      <c r="H3972" t="n">
        <v>0</v>
      </c>
      <c r="I3972" t="n">
        <v>0</v>
      </c>
      <c r="J3972" t="n">
        <v>0</v>
      </c>
      <c r="K3972" t="n">
        <v>0</v>
      </c>
      <c r="L3972" t="n">
        <v>0</v>
      </c>
      <c r="M3972" t="n">
        <v>0</v>
      </c>
      <c r="N3972" t="n">
        <v>0</v>
      </c>
      <c r="O3972" t="n">
        <v>0</v>
      </c>
      <c r="P3972" t="n">
        <v>0</v>
      </c>
      <c r="Q3972" t="n">
        <v>0</v>
      </c>
      <c r="R3972" s="2" t="inlineStr"/>
    </row>
    <row r="3973" ht="15" customHeight="1">
      <c r="A3973" t="inlineStr">
        <is>
          <t>A 4528-2024</t>
        </is>
      </c>
      <c r="B3973" s="1" t="n">
        <v>45327</v>
      </c>
      <c r="C3973" s="1" t="n">
        <v>45358</v>
      </c>
      <c r="D3973" t="inlineStr">
        <is>
          <t>HALLANDS LÄN</t>
        </is>
      </c>
      <c r="E3973" t="inlineStr">
        <is>
          <t>HYLTE</t>
        </is>
      </c>
      <c r="G3973" t="n">
        <v>2.9</v>
      </c>
      <c r="H3973" t="n">
        <v>0</v>
      </c>
      <c r="I3973" t="n">
        <v>0</v>
      </c>
      <c r="J3973" t="n">
        <v>0</v>
      </c>
      <c r="K3973" t="n">
        <v>0</v>
      </c>
      <c r="L3973" t="n">
        <v>0</v>
      </c>
      <c r="M3973" t="n">
        <v>0</v>
      </c>
      <c r="N3973" t="n">
        <v>0</v>
      </c>
      <c r="O3973" t="n">
        <v>0</v>
      </c>
      <c r="P3973" t="n">
        <v>0</v>
      </c>
      <c r="Q3973" t="n">
        <v>0</v>
      </c>
      <c r="R3973" s="2" t="inlineStr"/>
    </row>
    <row r="3974" ht="15" customHeight="1">
      <c r="A3974" t="inlineStr">
        <is>
          <t>A 4609-2024</t>
        </is>
      </c>
      <c r="B3974" s="1" t="n">
        <v>45328</v>
      </c>
      <c r="C3974" s="1" t="n">
        <v>45358</v>
      </c>
      <c r="D3974" t="inlineStr">
        <is>
          <t>HALLANDS LÄN</t>
        </is>
      </c>
      <c r="E3974" t="inlineStr">
        <is>
          <t>FALKENBERG</t>
        </is>
      </c>
      <c r="F3974" t="inlineStr">
        <is>
          <t>Kyrkan</t>
        </is>
      </c>
      <c r="G3974" t="n">
        <v>0.4</v>
      </c>
      <c r="H3974" t="n">
        <v>0</v>
      </c>
      <c r="I3974" t="n">
        <v>0</v>
      </c>
      <c r="J3974" t="n">
        <v>0</v>
      </c>
      <c r="K3974" t="n">
        <v>0</v>
      </c>
      <c r="L3974" t="n">
        <v>0</v>
      </c>
      <c r="M3974" t="n">
        <v>0</v>
      </c>
      <c r="N3974" t="n">
        <v>0</v>
      </c>
      <c r="O3974" t="n">
        <v>0</v>
      </c>
      <c r="P3974" t="n">
        <v>0</v>
      </c>
      <c r="Q3974" t="n">
        <v>0</v>
      </c>
      <c r="R3974" s="2" t="inlineStr"/>
    </row>
    <row r="3975" ht="15" customHeight="1">
      <c r="A3975" t="inlineStr">
        <is>
          <t>A 4613-2024</t>
        </is>
      </c>
      <c r="B3975" s="1" t="n">
        <v>45328</v>
      </c>
      <c r="C3975" s="1" t="n">
        <v>45358</v>
      </c>
      <c r="D3975" t="inlineStr">
        <is>
          <t>HALLANDS LÄN</t>
        </is>
      </c>
      <c r="E3975" t="inlineStr">
        <is>
          <t>FALKENBERG</t>
        </is>
      </c>
      <c r="F3975" t="inlineStr">
        <is>
          <t>Kyrkan</t>
        </is>
      </c>
      <c r="G3975" t="n">
        <v>1.1</v>
      </c>
      <c r="H3975" t="n">
        <v>0</v>
      </c>
      <c r="I3975" t="n">
        <v>0</v>
      </c>
      <c r="J3975" t="n">
        <v>0</v>
      </c>
      <c r="K3975" t="n">
        <v>0</v>
      </c>
      <c r="L3975" t="n">
        <v>0</v>
      </c>
      <c r="M3975" t="n">
        <v>0</v>
      </c>
      <c r="N3975" t="n">
        <v>0</v>
      </c>
      <c r="O3975" t="n">
        <v>0</v>
      </c>
      <c r="P3975" t="n">
        <v>0</v>
      </c>
      <c r="Q3975" t="n">
        <v>0</v>
      </c>
      <c r="R3975" s="2" t="inlineStr"/>
    </row>
    <row r="3976" ht="15" customHeight="1">
      <c r="A3976" t="inlineStr">
        <is>
          <t>A 4608-2024</t>
        </is>
      </c>
      <c r="B3976" s="1" t="n">
        <v>45328</v>
      </c>
      <c r="C3976" s="1" t="n">
        <v>45358</v>
      </c>
      <c r="D3976" t="inlineStr">
        <is>
          <t>HALLANDS LÄN</t>
        </is>
      </c>
      <c r="E3976" t="inlineStr">
        <is>
          <t>FALKENBERG</t>
        </is>
      </c>
      <c r="F3976" t="inlineStr">
        <is>
          <t>Kyrkan</t>
        </is>
      </c>
      <c r="G3976" t="n">
        <v>1</v>
      </c>
      <c r="H3976" t="n">
        <v>0</v>
      </c>
      <c r="I3976" t="n">
        <v>0</v>
      </c>
      <c r="J3976" t="n">
        <v>0</v>
      </c>
      <c r="K3976" t="n">
        <v>0</v>
      </c>
      <c r="L3976" t="n">
        <v>0</v>
      </c>
      <c r="M3976" t="n">
        <v>0</v>
      </c>
      <c r="N3976" t="n">
        <v>0</v>
      </c>
      <c r="O3976" t="n">
        <v>0</v>
      </c>
      <c r="P3976" t="n">
        <v>0</v>
      </c>
      <c r="Q3976" t="n">
        <v>0</v>
      </c>
      <c r="R3976" s="2" t="inlineStr"/>
    </row>
    <row r="3977" ht="15" customHeight="1">
      <c r="A3977" t="inlineStr">
        <is>
          <t>A 4721-2024</t>
        </is>
      </c>
      <c r="B3977" s="1" t="n">
        <v>45328</v>
      </c>
      <c r="C3977" s="1" t="n">
        <v>45358</v>
      </c>
      <c r="D3977" t="inlineStr">
        <is>
          <t>HALLANDS LÄN</t>
        </is>
      </c>
      <c r="E3977" t="inlineStr">
        <is>
          <t>HYLTE</t>
        </is>
      </c>
      <c r="G3977" t="n">
        <v>4</v>
      </c>
      <c r="H3977" t="n">
        <v>0</v>
      </c>
      <c r="I3977" t="n">
        <v>0</v>
      </c>
      <c r="J3977" t="n">
        <v>0</v>
      </c>
      <c r="K3977" t="n">
        <v>0</v>
      </c>
      <c r="L3977" t="n">
        <v>0</v>
      </c>
      <c r="M3977" t="n">
        <v>0</v>
      </c>
      <c r="N3977" t="n">
        <v>0</v>
      </c>
      <c r="O3977" t="n">
        <v>0</v>
      </c>
      <c r="P3977" t="n">
        <v>0</v>
      </c>
      <c r="Q3977" t="n">
        <v>0</v>
      </c>
      <c r="R3977" s="2" t="inlineStr"/>
    </row>
    <row r="3978" ht="15" customHeight="1">
      <c r="A3978" t="inlineStr">
        <is>
          <t>A 4598-2024</t>
        </is>
      </c>
      <c r="B3978" s="1" t="n">
        <v>45328</v>
      </c>
      <c r="C3978" s="1" t="n">
        <v>45358</v>
      </c>
      <c r="D3978" t="inlineStr">
        <is>
          <t>HALLANDS LÄN</t>
        </is>
      </c>
      <c r="E3978" t="inlineStr">
        <is>
          <t>VARBERG</t>
        </is>
      </c>
      <c r="G3978" t="n">
        <v>6.7</v>
      </c>
      <c r="H3978" t="n">
        <v>0</v>
      </c>
      <c r="I3978" t="n">
        <v>0</v>
      </c>
      <c r="J3978" t="n">
        <v>0</v>
      </c>
      <c r="K3978" t="n">
        <v>0</v>
      </c>
      <c r="L3978" t="n">
        <v>0</v>
      </c>
      <c r="M3978" t="n">
        <v>0</v>
      </c>
      <c r="N3978" t="n">
        <v>0</v>
      </c>
      <c r="O3978" t="n">
        <v>0</v>
      </c>
      <c r="P3978" t="n">
        <v>0</v>
      </c>
      <c r="Q3978" t="n">
        <v>0</v>
      </c>
      <c r="R3978" s="2" t="inlineStr"/>
    </row>
    <row r="3979" ht="15" customHeight="1">
      <c r="A3979" t="inlineStr">
        <is>
          <t>A 4849-2024</t>
        </is>
      </c>
      <c r="B3979" s="1" t="n">
        <v>45329</v>
      </c>
      <c r="C3979" s="1" t="n">
        <v>45358</v>
      </c>
      <c r="D3979" t="inlineStr">
        <is>
          <t>HALLANDS LÄN</t>
        </is>
      </c>
      <c r="E3979" t="inlineStr">
        <is>
          <t>LAHOLM</t>
        </is>
      </c>
      <c r="G3979" t="n">
        <v>2.4</v>
      </c>
      <c r="H3979" t="n">
        <v>0</v>
      </c>
      <c r="I3979" t="n">
        <v>0</v>
      </c>
      <c r="J3979" t="n">
        <v>0</v>
      </c>
      <c r="K3979" t="n">
        <v>0</v>
      </c>
      <c r="L3979" t="n">
        <v>0</v>
      </c>
      <c r="M3979" t="n">
        <v>0</v>
      </c>
      <c r="N3979" t="n">
        <v>0</v>
      </c>
      <c r="O3979" t="n">
        <v>0</v>
      </c>
      <c r="P3979" t="n">
        <v>0</v>
      </c>
      <c r="Q3979" t="n">
        <v>0</v>
      </c>
      <c r="R3979" s="2" t="inlineStr"/>
    </row>
    <row r="3980" ht="15" customHeight="1">
      <c r="A3980" t="inlineStr">
        <is>
          <t>A 4869-2024</t>
        </is>
      </c>
      <c r="B3980" s="1" t="n">
        <v>45329</v>
      </c>
      <c r="C3980" s="1" t="n">
        <v>45358</v>
      </c>
      <c r="D3980" t="inlineStr">
        <is>
          <t>HALLANDS LÄN</t>
        </is>
      </c>
      <c r="E3980" t="inlineStr">
        <is>
          <t>HALMSTAD</t>
        </is>
      </c>
      <c r="G3980" t="n">
        <v>3.2</v>
      </c>
      <c r="H3980" t="n">
        <v>0</v>
      </c>
      <c r="I3980" t="n">
        <v>0</v>
      </c>
      <c r="J3980" t="n">
        <v>0</v>
      </c>
      <c r="K3980" t="n">
        <v>0</v>
      </c>
      <c r="L3980" t="n">
        <v>0</v>
      </c>
      <c r="M3980" t="n">
        <v>0</v>
      </c>
      <c r="N3980" t="n">
        <v>0</v>
      </c>
      <c r="O3980" t="n">
        <v>0</v>
      </c>
      <c r="P3980" t="n">
        <v>0</v>
      </c>
      <c r="Q3980" t="n">
        <v>0</v>
      </c>
      <c r="R3980" s="2" t="inlineStr"/>
    </row>
    <row r="3981" ht="15" customHeight="1">
      <c r="A3981" t="inlineStr">
        <is>
          <t>A 4903-2024</t>
        </is>
      </c>
      <c r="B3981" s="1" t="n">
        <v>45329</v>
      </c>
      <c r="C3981" s="1" t="n">
        <v>45358</v>
      </c>
      <c r="D3981" t="inlineStr">
        <is>
          <t>HALLANDS LÄN</t>
        </is>
      </c>
      <c r="E3981" t="inlineStr">
        <is>
          <t>HALMSTAD</t>
        </is>
      </c>
      <c r="G3981" t="n">
        <v>5.5</v>
      </c>
      <c r="H3981" t="n">
        <v>0</v>
      </c>
      <c r="I3981" t="n">
        <v>0</v>
      </c>
      <c r="J3981" t="n">
        <v>0</v>
      </c>
      <c r="K3981" t="n">
        <v>0</v>
      </c>
      <c r="L3981" t="n">
        <v>0</v>
      </c>
      <c r="M3981" t="n">
        <v>0</v>
      </c>
      <c r="N3981" t="n">
        <v>0</v>
      </c>
      <c r="O3981" t="n">
        <v>0</v>
      </c>
      <c r="P3981" t="n">
        <v>0</v>
      </c>
      <c r="Q3981" t="n">
        <v>0</v>
      </c>
      <c r="R3981" s="2" t="inlineStr"/>
    </row>
    <row r="3982" ht="15" customHeight="1">
      <c r="A3982" t="inlineStr">
        <is>
          <t>A 4919-2024</t>
        </is>
      </c>
      <c r="B3982" s="1" t="n">
        <v>45329</v>
      </c>
      <c r="C3982" s="1" t="n">
        <v>45358</v>
      </c>
      <c r="D3982" t="inlineStr">
        <is>
          <t>HALLANDS LÄN</t>
        </is>
      </c>
      <c r="E3982" t="inlineStr">
        <is>
          <t>KUNGSBACKA</t>
        </is>
      </c>
      <c r="G3982" t="n">
        <v>1.6</v>
      </c>
      <c r="H3982" t="n">
        <v>0</v>
      </c>
      <c r="I3982" t="n">
        <v>0</v>
      </c>
      <c r="J3982" t="n">
        <v>0</v>
      </c>
      <c r="K3982" t="n">
        <v>0</v>
      </c>
      <c r="L3982" t="n">
        <v>0</v>
      </c>
      <c r="M3982" t="n">
        <v>0</v>
      </c>
      <c r="N3982" t="n">
        <v>0</v>
      </c>
      <c r="O3982" t="n">
        <v>0</v>
      </c>
      <c r="P3982" t="n">
        <v>0</v>
      </c>
      <c r="Q3982" t="n">
        <v>0</v>
      </c>
      <c r="R3982" s="2" t="inlineStr"/>
    </row>
    <row r="3983" ht="15" customHeight="1">
      <c r="A3983" t="inlineStr">
        <is>
          <t>A 4927-2024</t>
        </is>
      </c>
      <c r="B3983" s="1" t="n">
        <v>45329</v>
      </c>
      <c r="C3983" s="1" t="n">
        <v>45358</v>
      </c>
      <c r="D3983" t="inlineStr">
        <is>
          <t>HALLANDS LÄN</t>
        </is>
      </c>
      <c r="E3983" t="inlineStr">
        <is>
          <t>KUNGSBACKA</t>
        </is>
      </c>
      <c r="G3983" t="n">
        <v>4.3</v>
      </c>
      <c r="H3983" t="n">
        <v>0</v>
      </c>
      <c r="I3983" t="n">
        <v>0</v>
      </c>
      <c r="J3983" t="n">
        <v>0</v>
      </c>
      <c r="K3983" t="n">
        <v>0</v>
      </c>
      <c r="L3983" t="n">
        <v>0</v>
      </c>
      <c r="M3983" t="n">
        <v>0</v>
      </c>
      <c r="N3983" t="n">
        <v>0</v>
      </c>
      <c r="O3983" t="n">
        <v>0</v>
      </c>
      <c r="P3983" t="n">
        <v>0</v>
      </c>
      <c r="Q3983" t="n">
        <v>0</v>
      </c>
      <c r="R3983" s="2" t="inlineStr"/>
    </row>
    <row r="3984" ht="15" customHeight="1">
      <c r="A3984" t="inlineStr">
        <is>
          <t>A 4939-2024</t>
        </is>
      </c>
      <c r="B3984" s="1" t="n">
        <v>45329</v>
      </c>
      <c r="C3984" s="1" t="n">
        <v>45358</v>
      </c>
      <c r="D3984" t="inlineStr">
        <is>
          <t>HALLANDS LÄN</t>
        </is>
      </c>
      <c r="E3984" t="inlineStr">
        <is>
          <t>HYLTE</t>
        </is>
      </c>
      <c r="G3984" t="n">
        <v>3.9</v>
      </c>
      <c r="H3984" t="n">
        <v>0</v>
      </c>
      <c r="I3984" t="n">
        <v>0</v>
      </c>
      <c r="J3984" t="n">
        <v>0</v>
      </c>
      <c r="K3984" t="n">
        <v>0</v>
      </c>
      <c r="L3984" t="n">
        <v>0</v>
      </c>
      <c r="M3984" t="n">
        <v>0</v>
      </c>
      <c r="N3984" t="n">
        <v>0</v>
      </c>
      <c r="O3984" t="n">
        <v>0</v>
      </c>
      <c r="P3984" t="n">
        <v>0</v>
      </c>
      <c r="Q3984" t="n">
        <v>0</v>
      </c>
      <c r="R3984" s="2" t="inlineStr"/>
    </row>
    <row r="3985" ht="15" customHeight="1">
      <c r="A3985" t="inlineStr">
        <is>
          <t>A 4847-2024</t>
        </is>
      </c>
      <c r="B3985" s="1" t="n">
        <v>45329</v>
      </c>
      <c r="C3985" s="1" t="n">
        <v>45358</v>
      </c>
      <c r="D3985" t="inlineStr">
        <is>
          <t>HALLANDS LÄN</t>
        </is>
      </c>
      <c r="E3985" t="inlineStr">
        <is>
          <t>LAHOLM</t>
        </is>
      </c>
      <c r="G3985" t="n">
        <v>3.4</v>
      </c>
      <c r="H3985" t="n">
        <v>0</v>
      </c>
      <c r="I3985" t="n">
        <v>0</v>
      </c>
      <c r="J3985" t="n">
        <v>0</v>
      </c>
      <c r="K3985" t="n">
        <v>0</v>
      </c>
      <c r="L3985" t="n">
        <v>0</v>
      </c>
      <c r="M3985" t="n">
        <v>0</v>
      </c>
      <c r="N3985" t="n">
        <v>0</v>
      </c>
      <c r="O3985" t="n">
        <v>0</v>
      </c>
      <c r="P3985" t="n">
        <v>0</v>
      </c>
      <c r="Q3985" t="n">
        <v>0</v>
      </c>
      <c r="R3985" s="2" t="inlineStr"/>
    </row>
    <row r="3986" ht="15" customHeight="1">
      <c r="A3986" t="inlineStr">
        <is>
          <t>A 4892-2024</t>
        </is>
      </c>
      <c r="B3986" s="1" t="n">
        <v>45329</v>
      </c>
      <c r="C3986" s="1" t="n">
        <v>45358</v>
      </c>
      <c r="D3986" t="inlineStr">
        <is>
          <t>HALLANDS LÄN</t>
        </is>
      </c>
      <c r="E3986" t="inlineStr">
        <is>
          <t>FALKENBERG</t>
        </is>
      </c>
      <c r="G3986" t="n">
        <v>2.7</v>
      </c>
      <c r="H3986" t="n">
        <v>0</v>
      </c>
      <c r="I3986" t="n">
        <v>0</v>
      </c>
      <c r="J3986" t="n">
        <v>0</v>
      </c>
      <c r="K3986" t="n">
        <v>0</v>
      </c>
      <c r="L3986" t="n">
        <v>0</v>
      </c>
      <c r="M3986" t="n">
        <v>0</v>
      </c>
      <c r="N3986" t="n">
        <v>0</v>
      </c>
      <c r="O3986" t="n">
        <v>0</v>
      </c>
      <c r="P3986" t="n">
        <v>0</v>
      </c>
      <c r="Q3986" t="n">
        <v>0</v>
      </c>
      <c r="R3986" s="2" t="inlineStr"/>
    </row>
    <row r="3987" ht="15" customHeight="1">
      <c r="A3987" t="inlineStr">
        <is>
          <t>A 4960-2024</t>
        </is>
      </c>
      <c r="B3987" s="1" t="n">
        <v>45329</v>
      </c>
      <c r="C3987" s="1" t="n">
        <v>45358</v>
      </c>
      <c r="D3987" t="inlineStr">
        <is>
          <t>HALLANDS LÄN</t>
        </is>
      </c>
      <c r="E3987" t="inlineStr">
        <is>
          <t>KUNGSBACKA</t>
        </is>
      </c>
      <c r="G3987" t="n">
        <v>2.6</v>
      </c>
      <c r="H3987" t="n">
        <v>0</v>
      </c>
      <c r="I3987" t="n">
        <v>0</v>
      </c>
      <c r="J3987" t="n">
        <v>0</v>
      </c>
      <c r="K3987" t="n">
        <v>0</v>
      </c>
      <c r="L3987" t="n">
        <v>0</v>
      </c>
      <c r="M3987" t="n">
        <v>0</v>
      </c>
      <c r="N3987" t="n">
        <v>0</v>
      </c>
      <c r="O3987" t="n">
        <v>0</v>
      </c>
      <c r="P3987" t="n">
        <v>0</v>
      </c>
      <c r="Q3987" t="n">
        <v>0</v>
      </c>
      <c r="R3987" s="2" t="inlineStr"/>
    </row>
    <row r="3988" ht="15" customHeight="1">
      <c r="A3988" t="inlineStr">
        <is>
          <t>A 4828-2024</t>
        </is>
      </c>
      <c r="B3988" s="1" t="n">
        <v>45329</v>
      </c>
      <c r="C3988" s="1" t="n">
        <v>45358</v>
      </c>
      <c r="D3988" t="inlineStr">
        <is>
          <t>HALLANDS LÄN</t>
        </is>
      </c>
      <c r="E3988" t="inlineStr">
        <is>
          <t>VARBERG</t>
        </is>
      </c>
      <c r="G3988" t="n">
        <v>0.8</v>
      </c>
      <c r="H3988" t="n">
        <v>0</v>
      </c>
      <c r="I3988" t="n">
        <v>0</v>
      </c>
      <c r="J3988" t="n">
        <v>0</v>
      </c>
      <c r="K3988" t="n">
        <v>0</v>
      </c>
      <c r="L3988" t="n">
        <v>0</v>
      </c>
      <c r="M3988" t="n">
        <v>0</v>
      </c>
      <c r="N3988" t="n">
        <v>0</v>
      </c>
      <c r="O3988" t="n">
        <v>0</v>
      </c>
      <c r="P3988" t="n">
        <v>0</v>
      </c>
      <c r="Q3988" t="n">
        <v>0</v>
      </c>
      <c r="R3988" s="2" t="inlineStr"/>
    </row>
    <row r="3989" ht="15" customHeight="1">
      <c r="A3989" t="inlineStr">
        <is>
          <t>A 5108-2024</t>
        </is>
      </c>
      <c r="B3989" s="1" t="n">
        <v>45330</v>
      </c>
      <c r="C3989" s="1" t="n">
        <v>45358</v>
      </c>
      <c r="D3989" t="inlineStr">
        <is>
          <t>HALLANDS LÄN</t>
        </is>
      </c>
      <c r="E3989" t="inlineStr">
        <is>
          <t>FALKENBERG</t>
        </is>
      </c>
      <c r="G3989" t="n">
        <v>0.8</v>
      </c>
      <c r="H3989" t="n">
        <v>0</v>
      </c>
      <c r="I3989" t="n">
        <v>0</v>
      </c>
      <c r="J3989" t="n">
        <v>0</v>
      </c>
      <c r="K3989" t="n">
        <v>0</v>
      </c>
      <c r="L3989" t="n">
        <v>0</v>
      </c>
      <c r="M3989" t="n">
        <v>0</v>
      </c>
      <c r="N3989" t="n">
        <v>0</v>
      </c>
      <c r="O3989" t="n">
        <v>0</v>
      </c>
      <c r="P3989" t="n">
        <v>0</v>
      </c>
      <c r="Q3989" t="n">
        <v>0</v>
      </c>
      <c r="R3989" s="2" t="inlineStr"/>
    </row>
    <row r="3990" ht="15" customHeight="1">
      <c r="A3990" t="inlineStr">
        <is>
          <t>A 5112-2024</t>
        </is>
      </c>
      <c r="B3990" s="1" t="n">
        <v>45330</v>
      </c>
      <c r="C3990" s="1" t="n">
        <v>45358</v>
      </c>
      <c r="D3990" t="inlineStr">
        <is>
          <t>HALLANDS LÄN</t>
        </is>
      </c>
      <c r="E3990" t="inlineStr">
        <is>
          <t>FALKENBERG</t>
        </is>
      </c>
      <c r="G3990" t="n">
        <v>3.1</v>
      </c>
      <c r="H3990" t="n">
        <v>0</v>
      </c>
      <c r="I3990" t="n">
        <v>0</v>
      </c>
      <c r="J3990" t="n">
        <v>0</v>
      </c>
      <c r="K3990" t="n">
        <v>0</v>
      </c>
      <c r="L3990" t="n">
        <v>0</v>
      </c>
      <c r="M3990" t="n">
        <v>0</v>
      </c>
      <c r="N3990" t="n">
        <v>0</v>
      </c>
      <c r="O3990" t="n">
        <v>0</v>
      </c>
      <c r="P3990" t="n">
        <v>0</v>
      </c>
      <c r="Q3990" t="n">
        <v>0</v>
      </c>
      <c r="R3990" s="2" t="inlineStr"/>
    </row>
    <row r="3991" ht="15" customHeight="1">
      <c r="A3991" t="inlineStr">
        <is>
          <t>A 5202-2024</t>
        </is>
      </c>
      <c r="B3991" s="1" t="n">
        <v>45330</v>
      </c>
      <c r="C3991" s="1" t="n">
        <v>45358</v>
      </c>
      <c r="D3991" t="inlineStr">
        <is>
          <t>HALLANDS LÄN</t>
        </is>
      </c>
      <c r="E3991" t="inlineStr">
        <is>
          <t>HALMSTAD</t>
        </is>
      </c>
      <c r="F3991" t="inlineStr">
        <is>
          <t>Bergvik skog väst AB</t>
        </is>
      </c>
      <c r="G3991" t="n">
        <v>2.1</v>
      </c>
      <c r="H3991" t="n">
        <v>0</v>
      </c>
      <c r="I3991" t="n">
        <v>0</v>
      </c>
      <c r="J3991" t="n">
        <v>0</v>
      </c>
      <c r="K3991" t="n">
        <v>0</v>
      </c>
      <c r="L3991" t="n">
        <v>0</v>
      </c>
      <c r="M3991" t="n">
        <v>0</v>
      </c>
      <c r="N3991" t="n">
        <v>0</v>
      </c>
      <c r="O3991" t="n">
        <v>0</v>
      </c>
      <c r="P3991" t="n">
        <v>0</v>
      </c>
      <c r="Q3991" t="n">
        <v>0</v>
      </c>
      <c r="R3991" s="2" t="inlineStr"/>
    </row>
    <row r="3992" ht="15" customHeight="1">
      <c r="A3992" t="inlineStr">
        <is>
          <t>A 5192-2024</t>
        </is>
      </c>
      <c r="B3992" s="1" t="n">
        <v>45330</v>
      </c>
      <c r="C3992" s="1" t="n">
        <v>45358</v>
      </c>
      <c r="D3992" t="inlineStr">
        <is>
          <t>HALLANDS LÄN</t>
        </is>
      </c>
      <c r="E3992" t="inlineStr">
        <is>
          <t>HALMSTAD</t>
        </is>
      </c>
      <c r="G3992" t="n">
        <v>2</v>
      </c>
      <c r="H3992" t="n">
        <v>0</v>
      </c>
      <c r="I3992" t="n">
        <v>0</v>
      </c>
      <c r="J3992" t="n">
        <v>0</v>
      </c>
      <c r="K3992" t="n">
        <v>0</v>
      </c>
      <c r="L3992" t="n">
        <v>0</v>
      </c>
      <c r="M3992" t="n">
        <v>0</v>
      </c>
      <c r="N3992" t="n">
        <v>0</v>
      </c>
      <c r="O3992" t="n">
        <v>0</v>
      </c>
      <c r="P3992" t="n">
        <v>0</v>
      </c>
      <c r="Q3992" t="n">
        <v>0</v>
      </c>
      <c r="R3992" s="2" t="inlineStr"/>
    </row>
    <row r="3993" ht="15" customHeight="1">
      <c r="A3993" t="inlineStr">
        <is>
          <t>A 5201-2024</t>
        </is>
      </c>
      <c r="B3993" s="1" t="n">
        <v>45330</v>
      </c>
      <c r="C3993" s="1" t="n">
        <v>45358</v>
      </c>
      <c r="D3993" t="inlineStr">
        <is>
          <t>HALLANDS LÄN</t>
        </is>
      </c>
      <c r="E3993" t="inlineStr">
        <is>
          <t>KUNGSBACKA</t>
        </is>
      </c>
      <c r="G3993" t="n">
        <v>6.7</v>
      </c>
      <c r="H3993" t="n">
        <v>0</v>
      </c>
      <c r="I3993" t="n">
        <v>0</v>
      </c>
      <c r="J3993" t="n">
        <v>0</v>
      </c>
      <c r="K3993" t="n">
        <v>0</v>
      </c>
      <c r="L3993" t="n">
        <v>0</v>
      </c>
      <c r="M3993" t="n">
        <v>0</v>
      </c>
      <c r="N3993" t="n">
        <v>0</v>
      </c>
      <c r="O3993" t="n">
        <v>0</v>
      </c>
      <c r="P3993" t="n">
        <v>0</v>
      </c>
      <c r="Q3993" t="n">
        <v>0</v>
      </c>
      <c r="R3993" s="2" t="inlineStr"/>
    </row>
    <row r="3994" ht="15" customHeight="1">
      <c r="A3994" t="inlineStr">
        <is>
          <t>A 5191-2024</t>
        </is>
      </c>
      <c r="B3994" s="1" t="n">
        <v>45330</v>
      </c>
      <c r="C3994" s="1" t="n">
        <v>45358</v>
      </c>
      <c r="D3994" t="inlineStr">
        <is>
          <t>HALLANDS LÄN</t>
        </is>
      </c>
      <c r="E3994" t="inlineStr">
        <is>
          <t>HALMSTAD</t>
        </is>
      </c>
      <c r="G3994" t="n">
        <v>1.8</v>
      </c>
      <c r="H3994" t="n">
        <v>0</v>
      </c>
      <c r="I3994" t="n">
        <v>0</v>
      </c>
      <c r="J3994" t="n">
        <v>0</v>
      </c>
      <c r="K3994" t="n">
        <v>0</v>
      </c>
      <c r="L3994" t="n">
        <v>0</v>
      </c>
      <c r="M3994" t="n">
        <v>0</v>
      </c>
      <c r="N3994" t="n">
        <v>0</v>
      </c>
      <c r="O3994" t="n">
        <v>0</v>
      </c>
      <c r="P3994" t="n">
        <v>0</v>
      </c>
      <c r="Q3994" t="n">
        <v>0</v>
      </c>
      <c r="R3994" s="2" t="inlineStr"/>
    </row>
    <row r="3995" ht="15" customHeight="1">
      <c r="A3995" t="inlineStr">
        <is>
          <t>A 5195-2024</t>
        </is>
      </c>
      <c r="B3995" s="1" t="n">
        <v>45330</v>
      </c>
      <c r="C3995" s="1" t="n">
        <v>45358</v>
      </c>
      <c r="D3995" t="inlineStr">
        <is>
          <t>HALLANDS LÄN</t>
        </is>
      </c>
      <c r="E3995" t="inlineStr">
        <is>
          <t>FALKENBERG</t>
        </is>
      </c>
      <c r="G3995" t="n">
        <v>2.1</v>
      </c>
      <c r="H3995" t="n">
        <v>0</v>
      </c>
      <c r="I3995" t="n">
        <v>0</v>
      </c>
      <c r="J3995" t="n">
        <v>0</v>
      </c>
      <c r="K3995" t="n">
        <v>0</v>
      </c>
      <c r="L3995" t="n">
        <v>0</v>
      </c>
      <c r="M3995" t="n">
        <v>0</v>
      </c>
      <c r="N3995" t="n">
        <v>0</v>
      </c>
      <c r="O3995" t="n">
        <v>0</v>
      </c>
      <c r="P3995" t="n">
        <v>0</v>
      </c>
      <c r="Q3995" t="n">
        <v>0</v>
      </c>
      <c r="R3995" s="2" t="inlineStr"/>
    </row>
    <row r="3996" ht="15" customHeight="1">
      <c r="A3996" t="inlineStr">
        <is>
          <t>A 5109-2024</t>
        </is>
      </c>
      <c r="B3996" s="1" t="n">
        <v>45330</v>
      </c>
      <c r="C3996" s="1" t="n">
        <v>45358</v>
      </c>
      <c r="D3996" t="inlineStr">
        <is>
          <t>HALLANDS LÄN</t>
        </is>
      </c>
      <c r="E3996" t="inlineStr">
        <is>
          <t>FALKENBERG</t>
        </is>
      </c>
      <c r="G3996" t="n">
        <v>1.2</v>
      </c>
      <c r="H3996" t="n">
        <v>0</v>
      </c>
      <c r="I3996" t="n">
        <v>0</v>
      </c>
      <c r="J3996" t="n">
        <v>0</v>
      </c>
      <c r="K3996" t="n">
        <v>0</v>
      </c>
      <c r="L3996" t="n">
        <v>0</v>
      </c>
      <c r="M3996" t="n">
        <v>0</v>
      </c>
      <c r="N3996" t="n">
        <v>0</v>
      </c>
      <c r="O3996" t="n">
        <v>0</v>
      </c>
      <c r="P3996" t="n">
        <v>0</v>
      </c>
      <c r="Q3996" t="n">
        <v>0</v>
      </c>
      <c r="R3996" s="2" t="inlineStr"/>
    </row>
    <row r="3997" ht="15" customHeight="1">
      <c r="A3997" t="inlineStr">
        <is>
          <t>A 5199-2024</t>
        </is>
      </c>
      <c r="B3997" s="1" t="n">
        <v>45330</v>
      </c>
      <c r="C3997" s="1" t="n">
        <v>45358</v>
      </c>
      <c r="D3997" t="inlineStr">
        <is>
          <t>HALLANDS LÄN</t>
        </is>
      </c>
      <c r="E3997" t="inlineStr">
        <is>
          <t>HYLTE</t>
        </is>
      </c>
      <c r="F3997" t="inlineStr">
        <is>
          <t>Bergvik skog väst AB</t>
        </is>
      </c>
      <c r="G3997" t="n">
        <v>2.6</v>
      </c>
      <c r="H3997" t="n">
        <v>0</v>
      </c>
      <c r="I3997" t="n">
        <v>0</v>
      </c>
      <c r="J3997" t="n">
        <v>0</v>
      </c>
      <c r="K3997" t="n">
        <v>0</v>
      </c>
      <c r="L3997" t="n">
        <v>0</v>
      </c>
      <c r="M3997" t="n">
        <v>0</v>
      </c>
      <c r="N3997" t="n">
        <v>0</v>
      </c>
      <c r="O3997" t="n">
        <v>0</v>
      </c>
      <c r="P3997" t="n">
        <v>0</v>
      </c>
      <c r="Q3997" t="n">
        <v>0</v>
      </c>
      <c r="R3997" s="2" t="inlineStr"/>
    </row>
    <row r="3998" ht="15" customHeight="1">
      <c r="A3998" t="inlineStr">
        <is>
          <t>A 5203-2024</t>
        </is>
      </c>
      <c r="B3998" s="1" t="n">
        <v>45330</v>
      </c>
      <c r="C3998" s="1" t="n">
        <v>45358</v>
      </c>
      <c r="D3998" t="inlineStr">
        <is>
          <t>HALLANDS LÄN</t>
        </is>
      </c>
      <c r="E3998" t="inlineStr">
        <is>
          <t>FALKENBERG</t>
        </is>
      </c>
      <c r="G3998" t="n">
        <v>3.6</v>
      </c>
      <c r="H3998" t="n">
        <v>0</v>
      </c>
      <c r="I3998" t="n">
        <v>0</v>
      </c>
      <c r="J3998" t="n">
        <v>0</v>
      </c>
      <c r="K3998" t="n">
        <v>0</v>
      </c>
      <c r="L3998" t="n">
        <v>0</v>
      </c>
      <c r="M3998" t="n">
        <v>0</v>
      </c>
      <c r="N3998" t="n">
        <v>0</v>
      </c>
      <c r="O3998" t="n">
        <v>0</v>
      </c>
      <c r="P3998" t="n">
        <v>0</v>
      </c>
      <c r="Q3998" t="n">
        <v>0</v>
      </c>
      <c r="R3998" s="2" t="inlineStr"/>
    </row>
    <row r="3999" ht="15" customHeight="1">
      <c r="A3999" t="inlineStr">
        <is>
          <t>A 5290-2024</t>
        </is>
      </c>
      <c r="B3999" s="1" t="n">
        <v>45331</v>
      </c>
      <c r="C3999" s="1" t="n">
        <v>45358</v>
      </c>
      <c r="D3999" t="inlineStr">
        <is>
          <t>HALLANDS LÄN</t>
        </is>
      </c>
      <c r="E3999" t="inlineStr">
        <is>
          <t>FALKENBERG</t>
        </is>
      </c>
      <c r="G3999" t="n">
        <v>1.4</v>
      </c>
      <c r="H3999" t="n">
        <v>0</v>
      </c>
      <c r="I3999" t="n">
        <v>0</v>
      </c>
      <c r="J3999" t="n">
        <v>0</v>
      </c>
      <c r="K3999" t="n">
        <v>0</v>
      </c>
      <c r="L3999" t="n">
        <v>0</v>
      </c>
      <c r="M3999" t="n">
        <v>0</v>
      </c>
      <c r="N3999" t="n">
        <v>0</v>
      </c>
      <c r="O3999" t="n">
        <v>0</v>
      </c>
      <c r="P3999" t="n">
        <v>0</v>
      </c>
      <c r="Q3999" t="n">
        <v>0</v>
      </c>
      <c r="R3999" s="2" t="inlineStr"/>
    </row>
    <row r="4000" ht="15" customHeight="1">
      <c r="A4000" t="inlineStr">
        <is>
          <t>A 5436-2024</t>
        </is>
      </c>
      <c r="B4000" s="1" t="n">
        <v>45331</v>
      </c>
      <c r="C4000" s="1" t="n">
        <v>45358</v>
      </c>
      <c r="D4000" t="inlineStr">
        <is>
          <t>HALLANDS LÄN</t>
        </is>
      </c>
      <c r="E4000" t="inlineStr">
        <is>
          <t>HYLTE</t>
        </is>
      </c>
      <c r="G4000" t="n">
        <v>1.7</v>
      </c>
      <c r="H4000" t="n">
        <v>0</v>
      </c>
      <c r="I4000" t="n">
        <v>0</v>
      </c>
      <c r="J4000" t="n">
        <v>0</v>
      </c>
      <c r="K4000" t="n">
        <v>0</v>
      </c>
      <c r="L4000" t="n">
        <v>0</v>
      </c>
      <c r="M4000" t="n">
        <v>0</v>
      </c>
      <c r="N4000" t="n">
        <v>0</v>
      </c>
      <c r="O4000" t="n">
        <v>0</v>
      </c>
      <c r="P4000" t="n">
        <v>0</v>
      </c>
      <c r="Q4000" t="n">
        <v>0</v>
      </c>
      <c r="R4000" s="2" t="inlineStr"/>
    </row>
    <row r="4001" ht="15" customHeight="1">
      <c r="A4001" t="inlineStr">
        <is>
          <t>A 5699-2024</t>
        </is>
      </c>
      <c r="B4001" s="1" t="n">
        <v>45334</v>
      </c>
      <c r="C4001" s="1" t="n">
        <v>45358</v>
      </c>
      <c r="D4001" t="inlineStr">
        <is>
          <t>HALLANDS LÄN</t>
        </is>
      </c>
      <c r="E4001" t="inlineStr">
        <is>
          <t>HYLTE</t>
        </is>
      </c>
      <c r="G4001" t="n">
        <v>0.6</v>
      </c>
      <c r="H4001" t="n">
        <v>0</v>
      </c>
      <c r="I4001" t="n">
        <v>0</v>
      </c>
      <c r="J4001" t="n">
        <v>0</v>
      </c>
      <c r="K4001" t="n">
        <v>0</v>
      </c>
      <c r="L4001" t="n">
        <v>0</v>
      </c>
      <c r="M4001" t="n">
        <v>0</v>
      </c>
      <c r="N4001" t="n">
        <v>0</v>
      </c>
      <c r="O4001" t="n">
        <v>0</v>
      </c>
      <c r="P4001" t="n">
        <v>0</v>
      </c>
      <c r="Q4001" t="n">
        <v>0</v>
      </c>
      <c r="R4001" s="2" t="inlineStr"/>
    </row>
    <row r="4002" ht="15" customHeight="1">
      <c r="A4002" t="inlineStr">
        <is>
          <t>A 5753-2024</t>
        </is>
      </c>
      <c r="B4002" s="1" t="n">
        <v>45335</v>
      </c>
      <c r="C4002" s="1" t="n">
        <v>45358</v>
      </c>
      <c r="D4002" t="inlineStr">
        <is>
          <t>HALLANDS LÄN</t>
        </is>
      </c>
      <c r="E4002" t="inlineStr">
        <is>
          <t>KUNGSBACKA</t>
        </is>
      </c>
      <c r="G4002" t="n">
        <v>1.5</v>
      </c>
      <c r="H4002" t="n">
        <v>0</v>
      </c>
      <c r="I4002" t="n">
        <v>0</v>
      </c>
      <c r="J4002" t="n">
        <v>0</v>
      </c>
      <c r="K4002" t="n">
        <v>0</v>
      </c>
      <c r="L4002" t="n">
        <v>0</v>
      </c>
      <c r="M4002" t="n">
        <v>0</v>
      </c>
      <c r="N4002" t="n">
        <v>0</v>
      </c>
      <c r="O4002" t="n">
        <v>0</v>
      </c>
      <c r="P4002" t="n">
        <v>0</v>
      </c>
      <c r="Q4002" t="n">
        <v>0</v>
      </c>
      <c r="R4002" s="2" t="inlineStr"/>
    </row>
    <row r="4003" ht="15" customHeight="1">
      <c r="A4003" t="inlineStr">
        <is>
          <t>A 5758-2024</t>
        </is>
      </c>
      <c r="B4003" s="1" t="n">
        <v>45335</v>
      </c>
      <c r="C4003" s="1" t="n">
        <v>45358</v>
      </c>
      <c r="D4003" t="inlineStr">
        <is>
          <t>HALLANDS LÄN</t>
        </is>
      </c>
      <c r="E4003" t="inlineStr">
        <is>
          <t>FALKENBERG</t>
        </is>
      </c>
      <c r="F4003" t="inlineStr">
        <is>
          <t>Kyrkan</t>
        </is>
      </c>
      <c r="G4003" t="n">
        <v>5.4</v>
      </c>
      <c r="H4003" t="n">
        <v>0</v>
      </c>
      <c r="I4003" t="n">
        <v>0</v>
      </c>
      <c r="J4003" t="n">
        <v>0</v>
      </c>
      <c r="K4003" t="n">
        <v>0</v>
      </c>
      <c r="L4003" t="n">
        <v>0</v>
      </c>
      <c r="M4003" t="n">
        <v>0</v>
      </c>
      <c r="N4003" t="n">
        <v>0</v>
      </c>
      <c r="O4003" t="n">
        <v>0</v>
      </c>
      <c r="P4003" t="n">
        <v>0</v>
      </c>
      <c r="Q4003" t="n">
        <v>0</v>
      </c>
      <c r="R4003" s="2" t="inlineStr"/>
    </row>
    <row r="4004" ht="15" customHeight="1">
      <c r="A4004" t="inlineStr">
        <is>
          <t>A 5812-2024</t>
        </is>
      </c>
      <c r="B4004" s="1" t="n">
        <v>45335</v>
      </c>
      <c r="C4004" s="1" t="n">
        <v>45358</v>
      </c>
      <c r="D4004" t="inlineStr">
        <is>
          <t>HALLANDS LÄN</t>
        </is>
      </c>
      <c r="E4004" t="inlineStr">
        <is>
          <t>KUNGSBACKA</t>
        </is>
      </c>
      <c r="G4004" t="n">
        <v>1.8</v>
      </c>
      <c r="H4004" t="n">
        <v>0</v>
      </c>
      <c r="I4004" t="n">
        <v>0</v>
      </c>
      <c r="J4004" t="n">
        <v>0</v>
      </c>
      <c r="K4004" t="n">
        <v>0</v>
      </c>
      <c r="L4004" t="n">
        <v>0</v>
      </c>
      <c r="M4004" t="n">
        <v>0</v>
      </c>
      <c r="N4004" t="n">
        <v>0</v>
      </c>
      <c r="O4004" t="n">
        <v>0</v>
      </c>
      <c r="P4004" t="n">
        <v>0</v>
      </c>
      <c r="Q4004" t="n">
        <v>0</v>
      </c>
      <c r="R4004" s="2" t="inlineStr"/>
    </row>
    <row r="4005" ht="15" customHeight="1">
      <c r="A4005" t="inlineStr">
        <is>
          <t>A 5892-2024</t>
        </is>
      </c>
      <c r="B4005" s="1" t="n">
        <v>45335</v>
      </c>
      <c r="C4005" s="1" t="n">
        <v>45358</v>
      </c>
      <c r="D4005" t="inlineStr">
        <is>
          <t>HALLANDS LÄN</t>
        </is>
      </c>
      <c r="E4005" t="inlineStr">
        <is>
          <t>KUNGSBACKA</t>
        </is>
      </c>
      <c r="G4005" t="n">
        <v>4.3</v>
      </c>
      <c r="H4005" t="n">
        <v>0</v>
      </c>
      <c r="I4005" t="n">
        <v>0</v>
      </c>
      <c r="J4005" t="n">
        <v>0</v>
      </c>
      <c r="K4005" t="n">
        <v>0</v>
      </c>
      <c r="L4005" t="n">
        <v>0</v>
      </c>
      <c r="M4005" t="n">
        <v>0</v>
      </c>
      <c r="N4005" t="n">
        <v>0</v>
      </c>
      <c r="O4005" t="n">
        <v>0</v>
      </c>
      <c r="P4005" t="n">
        <v>0</v>
      </c>
      <c r="Q4005" t="n">
        <v>0</v>
      </c>
      <c r="R4005" s="2" t="inlineStr"/>
    </row>
    <row r="4006" ht="15" customHeight="1">
      <c r="A4006" t="inlineStr">
        <is>
          <t>A 5886-2024</t>
        </is>
      </c>
      <c r="B4006" s="1" t="n">
        <v>45335</v>
      </c>
      <c r="C4006" s="1" t="n">
        <v>45358</v>
      </c>
      <c r="D4006" t="inlineStr">
        <is>
          <t>HALLANDS LÄN</t>
        </is>
      </c>
      <c r="E4006" t="inlineStr">
        <is>
          <t>HALMSTAD</t>
        </is>
      </c>
      <c r="G4006" t="n">
        <v>2.4</v>
      </c>
      <c r="H4006" t="n">
        <v>0</v>
      </c>
      <c r="I4006" t="n">
        <v>0</v>
      </c>
      <c r="J4006" t="n">
        <v>0</v>
      </c>
      <c r="K4006" t="n">
        <v>0</v>
      </c>
      <c r="L4006" t="n">
        <v>0</v>
      </c>
      <c r="M4006" t="n">
        <v>0</v>
      </c>
      <c r="N4006" t="n">
        <v>0</v>
      </c>
      <c r="O4006" t="n">
        <v>0</v>
      </c>
      <c r="P4006" t="n">
        <v>0</v>
      </c>
      <c r="Q4006" t="n">
        <v>0</v>
      </c>
      <c r="R4006" s="2" t="inlineStr"/>
    </row>
    <row r="4007" ht="15" customHeight="1">
      <c r="A4007" t="inlineStr">
        <is>
          <t>A 5890-2024</t>
        </is>
      </c>
      <c r="B4007" s="1" t="n">
        <v>45335</v>
      </c>
      <c r="C4007" s="1" t="n">
        <v>45358</v>
      </c>
      <c r="D4007" t="inlineStr">
        <is>
          <t>HALLANDS LÄN</t>
        </is>
      </c>
      <c r="E4007" t="inlineStr">
        <is>
          <t>KUNGSBACKA</t>
        </is>
      </c>
      <c r="G4007" t="n">
        <v>2.9</v>
      </c>
      <c r="H4007" t="n">
        <v>0</v>
      </c>
      <c r="I4007" t="n">
        <v>0</v>
      </c>
      <c r="J4007" t="n">
        <v>0</v>
      </c>
      <c r="K4007" t="n">
        <v>0</v>
      </c>
      <c r="L4007" t="n">
        <v>0</v>
      </c>
      <c r="M4007" t="n">
        <v>0</v>
      </c>
      <c r="N4007" t="n">
        <v>0</v>
      </c>
      <c r="O4007" t="n">
        <v>0</v>
      </c>
      <c r="P4007" t="n">
        <v>0</v>
      </c>
      <c r="Q4007" t="n">
        <v>0</v>
      </c>
      <c r="R4007" s="2" t="inlineStr"/>
    </row>
    <row r="4008" ht="15" customHeight="1">
      <c r="A4008" t="inlineStr">
        <is>
          <t>A 5996-2024</t>
        </is>
      </c>
      <c r="B4008" s="1" t="n">
        <v>45336</v>
      </c>
      <c r="C4008" s="1" t="n">
        <v>45358</v>
      </c>
      <c r="D4008" t="inlineStr">
        <is>
          <t>HALLANDS LÄN</t>
        </is>
      </c>
      <c r="E4008" t="inlineStr">
        <is>
          <t>VARBERG</t>
        </is>
      </c>
      <c r="G4008" t="n">
        <v>6.1</v>
      </c>
      <c r="H4008" t="n">
        <v>0</v>
      </c>
      <c r="I4008" t="n">
        <v>0</v>
      </c>
      <c r="J4008" t="n">
        <v>0</v>
      </c>
      <c r="K4008" t="n">
        <v>0</v>
      </c>
      <c r="L4008" t="n">
        <v>0</v>
      </c>
      <c r="M4008" t="n">
        <v>0</v>
      </c>
      <c r="N4008" t="n">
        <v>0</v>
      </c>
      <c r="O4008" t="n">
        <v>0</v>
      </c>
      <c r="P4008" t="n">
        <v>0</v>
      </c>
      <c r="Q4008" t="n">
        <v>0</v>
      </c>
      <c r="R4008" s="2" t="inlineStr"/>
    </row>
    <row r="4009" ht="15" customHeight="1">
      <c r="A4009" t="inlineStr">
        <is>
          <t>A 6041-2024</t>
        </is>
      </c>
      <c r="B4009" s="1" t="n">
        <v>45336</v>
      </c>
      <c r="C4009" s="1" t="n">
        <v>45358</v>
      </c>
      <c r="D4009" t="inlineStr">
        <is>
          <t>HALLANDS LÄN</t>
        </is>
      </c>
      <c r="E4009" t="inlineStr">
        <is>
          <t>FALKENBERG</t>
        </is>
      </c>
      <c r="G4009" t="n">
        <v>6.7</v>
      </c>
      <c r="H4009" t="n">
        <v>0</v>
      </c>
      <c r="I4009" t="n">
        <v>0</v>
      </c>
      <c r="J4009" t="n">
        <v>0</v>
      </c>
      <c r="K4009" t="n">
        <v>0</v>
      </c>
      <c r="L4009" t="n">
        <v>0</v>
      </c>
      <c r="M4009" t="n">
        <v>0</v>
      </c>
      <c r="N4009" t="n">
        <v>0</v>
      </c>
      <c r="O4009" t="n">
        <v>0</v>
      </c>
      <c r="P4009" t="n">
        <v>0</v>
      </c>
      <c r="Q4009" t="n">
        <v>0</v>
      </c>
      <c r="R4009" s="2" t="inlineStr"/>
    </row>
    <row r="4010" ht="15" customHeight="1">
      <c r="A4010" t="inlineStr">
        <is>
          <t>A 6008-2024</t>
        </is>
      </c>
      <c r="B4010" s="1" t="n">
        <v>45336</v>
      </c>
      <c r="C4010" s="1" t="n">
        <v>45358</v>
      </c>
      <c r="D4010" t="inlineStr">
        <is>
          <t>HALLANDS LÄN</t>
        </is>
      </c>
      <c r="E4010" t="inlineStr">
        <is>
          <t>VARBERG</t>
        </is>
      </c>
      <c r="G4010" t="n">
        <v>4.9</v>
      </c>
      <c r="H4010" t="n">
        <v>0</v>
      </c>
      <c r="I4010" t="n">
        <v>0</v>
      </c>
      <c r="J4010" t="n">
        <v>0</v>
      </c>
      <c r="K4010" t="n">
        <v>0</v>
      </c>
      <c r="L4010" t="n">
        <v>0</v>
      </c>
      <c r="M4010" t="n">
        <v>0</v>
      </c>
      <c r="N4010" t="n">
        <v>0</v>
      </c>
      <c r="O4010" t="n">
        <v>0</v>
      </c>
      <c r="P4010" t="n">
        <v>0</v>
      </c>
      <c r="Q4010" t="n">
        <v>0</v>
      </c>
      <c r="R4010" s="2" t="inlineStr"/>
    </row>
    <row r="4011" ht="15" customHeight="1">
      <c r="A4011" t="inlineStr">
        <is>
          <t>A 5994-2024</t>
        </is>
      </c>
      <c r="B4011" s="1" t="n">
        <v>45336</v>
      </c>
      <c r="C4011" s="1" t="n">
        <v>45358</v>
      </c>
      <c r="D4011" t="inlineStr">
        <is>
          <t>HALLANDS LÄN</t>
        </is>
      </c>
      <c r="E4011" t="inlineStr">
        <is>
          <t>VARBERG</t>
        </is>
      </c>
      <c r="G4011" t="n">
        <v>3.7</v>
      </c>
      <c r="H4011" t="n">
        <v>0</v>
      </c>
      <c r="I4011" t="n">
        <v>0</v>
      </c>
      <c r="J4011" t="n">
        <v>0</v>
      </c>
      <c r="K4011" t="n">
        <v>0</v>
      </c>
      <c r="L4011" t="n">
        <v>0</v>
      </c>
      <c r="M4011" t="n">
        <v>0</v>
      </c>
      <c r="N4011" t="n">
        <v>0</v>
      </c>
      <c r="O4011" t="n">
        <v>0</v>
      </c>
      <c r="P4011" t="n">
        <v>0</v>
      </c>
      <c r="Q4011" t="n">
        <v>0</v>
      </c>
      <c r="R4011" s="2" t="inlineStr"/>
    </row>
    <row r="4012" ht="15" customHeight="1">
      <c r="A4012" t="inlineStr">
        <is>
          <t>A 6014-2024</t>
        </is>
      </c>
      <c r="B4012" s="1" t="n">
        <v>45336</v>
      </c>
      <c r="C4012" s="1" t="n">
        <v>45358</v>
      </c>
      <c r="D4012" t="inlineStr">
        <is>
          <t>HALLANDS LÄN</t>
        </is>
      </c>
      <c r="E4012" t="inlineStr">
        <is>
          <t>VARBERG</t>
        </is>
      </c>
      <c r="G4012" t="n">
        <v>1.5</v>
      </c>
      <c r="H4012" t="n">
        <v>0</v>
      </c>
      <c r="I4012" t="n">
        <v>0</v>
      </c>
      <c r="J4012" t="n">
        <v>0</v>
      </c>
      <c r="K4012" t="n">
        <v>0</v>
      </c>
      <c r="L4012" t="n">
        <v>0</v>
      </c>
      <c r="M4012" t="n">
        <v>0</v>
      </c>
      <c r="N4012" t="n">
        <v>0</v>
      </c>
      <c r="O4012" t="n">
        <v>0</v>
      </c>
      <c r="P4012" t="n">
        <v>0</v>
      </c>
      <c r="Q4012" t="n">
        <v>0</v>
      </c>
      <c r="R4012" s="2" t="inlineStr"/>
    </row>
    <row r="4013" ht="15" customHeight="1">
      <c r="A4013" t="inlineStr">
        <is>
          <t>A 6103-2024</t>
        </is>
      </c>
      <c r="B4013" s="1" t="n">
        <v>45337</v>
      </c>
      <c r="C4013" s="1" t="n">
        <v>45358</v>
      </c>
      <c r="D4013" t="inlineStr">
        <is>
          <t>HALLANDS LÄN</t>
        </is>
      </c>
      <c r="E4013" t="inlineStr">
        <is>
          <t>KUNGSBACKA</t>
        </is>
      </c>
      <c r="G4013" t="n">
        <v>0.9</v>
      </c>
      <c r="H4013" t="n">
        <v>0</v>
      </c>
      <c r="I4013" t="n">
        <v>0</v>
      </c>
      <c r="J4013" t="n">
        <v>0</v>
      </c>
      <c r="K4013" t="n">
        <v>0</v>
      </c>
      <c r="L4013" t="n">
        <v>0</v>
      </c>
      <c r="M4013" t="n">
        <v>0</v>
      </c>
      <c r="N4013" t="n">
        <v>0</v>
      </c>
      <c r="O4013" t="n">
        <v>0</v>
      </c>
      <c r="P4013" t="n">
        <v>0</v>
      </c>
      <c r="Q4013" t="n">
        <v>0</v>
      </c>
      <c r="R4013" s="2" t="inlineStr"/>
    </row>
    <row r="4014" ht="15" customHeight="1">
      <c r="A4014" t="inlineStr">
        <is>
          <t>A 6149-2024</t>
        </is>
      </c>
      <c r="B4014" s="1" t="n">
        <v>45337</v>
      </c>
      <c r="C4014" s="1" t="n">
        <v>45358</v>
      </c>
      <c r="D4014" t="inlineStr">
        <is>
          <t>HALLANDS LÄN</t>
        </is>
      </c>
      <c r="E4014" t="inlineStr">
        <is>
          <t>FALKENBERG</t>
        </is>
      </c>
      <c r="G4014" t="n">
        <v>5.8</v>
      </c>
      <c r="H4014" t="n">
        <v>0</v>
      </c>
      <c r="I4014" t="n">
        <v>0</v>
      </c>
      <c r="J4014" t="n">
        <v>0</v>
      </c>
      <c r="K4014" t="n">
        <v>0</v>
      </c>
      <c r="L4014" t="n">
        <v>0</v>
      </c>
      <c r="M4014" t="n">
        <v>0</v>
      </c>
      <c r="N4014" t="n">
        <v>0</v>
      </c>
      <c r="O4014" t="n">
        <v>0</v>
      </c>
      <c r="P4014" t="n">
        <v>0</v>
      </c>
      <c r="Q4014" t="n">
        <v>0</v>
      </c>
      <c r="R4014" s="2" t="inlineStr"/>
    </row>
    <row r="4015" ht="15" customHeight="1">
      <c r="A4015" t="inlineStr">
        <is>
          <t>A 6158-2024</t>
        </is>
      </c>
      <c r="B4015" s="1" t="n">
        <v>45337</v>
      </c>
      <c r="C4015" s="1" t="n">
        <v>45358</v>
      </c>
      <c r="D4015" t="inlineStr">
        <is>
          <t>HALLANDS LÄN</t>
        </is>
      </c>
      <c r="E4015" t="inlineStr">
        <is>
          <t>FALKENBERG</t>
        </is>
      </c>
      <c r="G4015" t="n">
        <v>3</v>
      </c>
      <c r="H4015" t="n">
        <v>0</v>
      </c>
      <c r="I4015" t="n">
        <v>0</v>
      </c>
      <c r="J4015" t="n">
        <v>0</v>
      </c>
      <c r="K4015" t="n">
        <v>0</v>
      </c>
      <c r="L4015" t="n">
        <v>0</v>
      </c>
      <c r="M4015" t="n">
        <v>0</v>
      </c>
      <c r="N4015" t="n">
        <v>0</v>
      </c>
      <c r="O4015" t="n">
        <v>0</v>
      </c>
      <c r="P4015" t="n">
        <v>0</v>
      </c>
      <c r="Q4015" t="n">
        <v>0</v>
      </c>
      <c r="R4015" s="2" t="inlineStr"/>
    </row>
    <row r="4016" ht="15" customHeight="1">
      <c r="A4016" t="inlineStr">
        <is>
          <t>A 6114-2024</t>
        </is>
      </c>
      <c r="B4016" s="1" t="n">
        <v>45337</v>
      </c>
      <c r="C4016" s="1" t="n">
        <v>45358</v>
      </c>
      <c r="D4016" t="inlineStr">
        <is>
          <t>HALLANDS LÄN</t>
        </is>
      </c>
      <c r="E4016" t="inlineStr">
        <is>
          <t>FALKENBERG</t>
        </is>
      </c>
      <c r="G4016" t="n">
        <v>1</v>
      </c>
      <c r="H4016" t="n">
        <v>0</v>
      </c>
      <c r="I4016" t="n">
        <v>0</v>
      </c>
      <c r="J4016" t="n">
        <v>0</v>
      </c>
      <c r="K4016" t="n">
        <v>0</v>
      </c>
      <c r="L4016" t="n">
        <v>0</v>
      </c>
      <c r="M4016" t="n">
        <v>0</v>
      </c>
      <c r="N4016" t="n">
        <v>0</v>
      </c>
      <c r="O4016" t="n">
        <v>0</v>
      </c>
      <c r="P4016" t="n">
        <v>0</v>
      </c>
      <c r="Q4016" t="n">
        <v>0</v>
      </c>
      <c r="R4016" s="2" t="inlineStr"/>
    </row>
    <row r="4017" ht="15" customHeight="1">
      <c r="A4017" t="inlineStr">
        <is>
          <t>A 6122-2024</t>
        </is>
      </c>
      <c r="B4017" s="1" t="n">
        <v>45337</v>
      </c>
      <c r="C4017" s="1" t="n">
        <v>45358</v>
      </c>
      <c r="D4017" t="inlineStr">
        <is>
          <t>HALLANDS LÄN</t>
        </is>
      </c>
      <c r="E4017" t="inlineStr">
        <is>
          <t>FALKENBERG</t>
        </is>
      </c>
      <c r="G4017" t="n">
        <v>4.8</v>
      </c>
      <c r="H4017" t="n">
        <v>0</v>
      </c>
      <c r="I4017" t="n">
        <v>0</v>
      </c>
      <c r="J4017" t="n">
        <v>0</v>
      </c>
      <c r="K4017" t="n">
        <v>0</v>
      </c>
      <c r="L4017" t="n">
        <v>0</v>
      </c>
      <c r="M4017" t="n">
        <v>0</v>
      </c>
      <c r="N4017" t="n">
        <v>0</v>
      </c>
      <c r="O4017" t="n">
        <v>0</v>
      </c>
      <c r="P4017" t="n">
        <v>0</v>
      </c>
      <c r="Q4017" t="n">
        <v>0</v>
      </c>
      <c r="R4017" s="2" t="inlineStr"/>
    </row>
    <row r="4018" ht="15" customHeight="1">
      <c r="A4018" t="inlineStr">
        <is>
          <t>A 6200-2024</t>
        </is>
      </c>
      <c r="B4018" s="1" t="n">
        <v>45337</v>
      </c>
      <c r="C4018" s="1" t="n">
        <v>45358</v>
      </c>
      <c r="D4018" t="inlineStr">
        <is>
          <t>HALLANDS LÄN</t>
        </is>
      </c>
      <c r="E4018" t="inlineStr">
        <is>
          <t>LAHOLM</t>
        </is>
      </c>
      <c r="G4018" t="n">
        <v>0.4</v>
      </c>
      <c r="H4018" t="n">
        <v>0</v>
      </c>
      <c r="I4018" t="n">
        <v>0</v>
      </c>
      <c r="J4018" t="n">
        <v>0</v>
      </c>
      <c r="K4018" t="n">
        <v>0</v>
      </c>
      <c r="L4018" t="n">
        <v>0</v>
      </c>
      <c r="M4018" t="n">
        <v>0</v>
      </c>
      <c r="N4018" t="n">
        <v>0</v>
      </c>
      <c r="O4018" t="n">
        <v>0</v>
      </c>
      <c r="P4018" t="n">
        <v>0</v>
      </c>
      <c r="Q4018" t="n">
        <v>0</v>
      </c>
      <c r="R4018" s="2" t="inlineStr"/>
    </row>
    <row r="4019" ht="15" customHeight="1">
      <c r="A4019" t="inlineStr">
        <is>
          <t>A 6198-2024</t>
        </is>
      </c>
      <c r="B4019" s="1" t="n">
        <v>45337</v>
      </c>
      <c r="C4019" s="1" t="n">
        <v>45358</v>
      </c>
      <c r="D4019" t="inlineStr">
        <is>
          <t>HALLANDS LÄN</t>
        </is>
      </c>
      <c r="E4019" t="inlineStr">
        <is>
          <t>LAHOLM</t>
        </is>
      </c>
      <c r="G4019" t="n">
        <v>1.5</v>
      </c>
      <c r="H4019" t="n">
        <v>0</v>
      </c>
      <c r="I4019" t="n">
        <v>0</v>
      </c>
      <c r="J4019" t="n">
        <v>0</v>
      </c>
      <c r="K4019" t="n">
        <v>0</v>
      </c>
      <c r="L4019" t="n">
        <v>0</v>
      </c>
      <c r="M4019" t="n">
        <v>0</v>
      </c>
      <c r="N4019" t="n">
        <v>0</v>
      </c>
      <c r="O4019" t="n">
        <v>0</v>
      </c>
      <c r="P4019" t="n">
        <v>0</v>
      </c>
      <c r="Q4019" t="n">
        <v>0</v>
      </c>
      <c r="R4019" s="2" t="inlineStr"/>
    </row>
    <row r="4020" ht="15" customHeight="1">
      <c r="A4020" t="inlineStr">
        <is>
          <t>A 6214-2024</t>
        </is>
      </c>
      <c r="B4020" s="1" t="n">
        <v>45337</v>
      </c>
      <c r="C4020" s="1" t="n">
        <v>45358</v>
      </c>
      <c r="D4020" t="inlineStr">
        <is>
          <t>HALLANDS LÄN</t>
        </is>
      </c>
      <c r="E4020" t="inlineStr">
        <is>
          <t>KUNGSBACKA</t>
        </is>
      </c>
      <c r="G4020" t="n">
        <v>0.9</v>
      </c>
      <c r="H4020" t="n">
        <v>0</v>
      </c>
      <c r="I4020" t="n">
        <v>0</v>
      </c>
      <c r="J4020" t="n">
        <v>0</v>
      </c>
      <c r="K4020" t="n">
        <v>0</v>
      </c>
      <c r="L4020" t="n">
        <v>0</v>
      </c>
      <c r="M4020" t="n">
        <v>0</v>
      </c>
      <c r="N4020" t="n">
        <v>0</v>
      </c>
      <c r="O4020" t="n">
        <v>0</v>
      </c>
      <c r="P4020" t="n">
        <v>0</v>
      </c>
      <c r="Q4020" t="n">
        <v>0</v>
      </c>
      <c r="R4020" s="2" t="inlineStr"/>
    </row>
    <row r="4021" ht="15" customHeight="1">
      <c r="A4021" t="inlineStr">
        <is>
          <t>A 6417-2024</t>
        </is>
      </c>
      <c r="B4021" s="1" t="n">
        <v>45338</v>
      </c>
      <c r="C4021" s="1" t="n">
        <v>45358</v>
      </c>
      <c r="D4021" t="inlineStr">
        <is>
          <t>HALLANDS LÄN</t>
        </is>
      </c>
      <c r="E4021" t="inlineStr">
        <is>
          <t>KUNGSBACKA</t>
        </is>
      </c>
      <c r="G4021" t="n">
        <v>6.3</v>
      </c>
      <c r="H4021" t="n">
        <v>0</v>
      </c>
      <c r="I4021" t="n">
        <v>0</v>
      </c>
      <c r="J4021" t="n">
        <v>0</v>
      </c>
      <c r="K4021" t="n">
        <v>0</v>
      </c>
      <c r="L4021" t="n">
        <v>0</v>
      </c>
      <c r="M4021" t="n">
        <v>0</v>
      </c>
      <c r="N4021" t="n">
        <v>0</v>
      </c>
      <c r="O4021" t="n">
        <v>0</v>
      </c>
      <c r="P4021" t="n">
        <v>0</v>
      </c>
      <c r="Q4021" t="n">
        <v>0</v>
      </c>
      <c r="R4021" s="2" t="inlineStr"/>
    </row>
    <row r="4022" ht="15" customHeight="1">
      <c r="A4022" t="inlineStr">
        <is>
          <t>A 6374-2024</t>
        </is>
      </c>
      <c r="B4022" s="1" t="n">
        <v>45338</v>
      </c>
      <c r="C4022" s="1" t="n">
        <v>45358</v>
      </c>
      <c r="D4022" t="inlineStr">
        <is>
          <t>HALLANDS LÄN</t>
        </is>
      </c>
      <c r="E4022" t="inlineStr">
        <is>
          <t>HALMSTAD</t>
        </is>
      </c>
      <c r="G4022" t="n">
        <v>1.7</v>
      </c>
      <c r="H4022" t="n">
        <v>0</v>
      </c>
      <c r="I4022" t="n">
        <v>0</v>
      </c>
      <c r="J4022" t="n">
        <v>0</v>
      </c>
      <c r="K4022" t="n">
        <v>0</v>
      </c>
      <c r="L4022" t="n">
        <v>0</v>
      </c>
      <c r="M4022" t="n">
        <v>0</v>
      </c>
      <c r="N4022" t="n">
        <v>0</v>
      </c>
      <c r="O4022" t="n">
        <v>0</v>
      </c>
      <c r="P4022" t="n">
        <v>0</v>
      </c>
      <c r="Q4022" t="n">
        <v>0</v>
      </c>
      <c r="R4022" s="2" t="inlineStr"/>
    </row>
    <row r="4023" ht="15" customHeight="1">
      <c r="A4023" t="inlineStr">
        <is>
          <t>A 6393-2024</t>
        </is>
      </c>
      <c r="B4023" s="1" t="n">
        <v>45338</v>
      </c>
      <c r="C4023" s="1" t="n">
        <v>45358</v>
      </c>
      <c r="D4023" t="inlineStr">
        <is>
          <t>HALLANDS LÄN</t>
        </is>
      </c>
      <c r="E4023" t="inlineStr">
        <is>
          <t>KUNGSBACKA</t>
        </is>
      </c>
      <c r="G4023" t="n">
        <v>1.3</v>
      </c>
      <c r="H4023" t="n">
        <v>0</v>
      </c>
      <c r="I4023" t="n">
        <v>0</v>
      </c>
      <c r="J4023" t="n">
        <v>0</v>
      </c>
      <c r="K4023" t="n">
        <v>0</v>
      </c>
      <c r="L4023" t="n">
        <v>0</v>
      </c>
      <c r="M4023" t="n">
        <v>0</v>
      </c>
      <c r="N4023" t="n">
        <v>0</v>
      </c>
      <c r="O4023" t="n">
        <v>0</v>
      </c>
      <c r="P4023" t="n">
        <v>0</v>
      </c>
      <c r="Q4023" t="n">
        <v>0</v>
      </c>
      <c r="R4023" s="2" t="inlineStr"/>
    </row>
    <row r="4024" ht="15" customHeight="1">
      <c r="A4024" t="inlineStr">
        <is>
          <t>A 6647-2024</t>
        </is>
      </c>
      <c r="B4024" s="1" t="n">
        <v>45341</v>
      </c>
      <c r="C4024" s="1" t="n">
        <v>45358</v>
      </c>
      <c r="D4024" t="inlineStr">
        <is>
          <t>HALLANDS LÄN</t>
        </is>
      </c>
      <c r="E4024" t="inlineStr">
        <is>
          <t>VARBERG</t>
        </is>
      </c>
      <c r="G4024" t="n">
        <v>3.6</v>
      </c>
      <c r="H4024" t="n">
        <v>0</v>
      </c>
      <c r="I4024" t="n">
        <v>0</v>
      </c>
      <c r="J4024" t="n">
        <v>0</v>
      </c>
      <c r="K4024" t="n">
        <v>0</v>
      </c>
      <c r="L4024" t="n">
        <v>0</v>
      </c>
      <c r="M4024" t="n">
        <v>0</v>
      </c>
      <c r="N4024" t="n">
        <v>0</v>
      </c>
      <c r="O4024" t="n">
        <v>0</v>
      </c>
      <c r="P4024" t="n">
        <v>0</v>
      </c>
      <c r="Q4024" t="n">
        <v>0</v>
      </c>
      <c r="R4024" s="2" t="inlineStr"/>
    </row>
    <row r="4025" ht="15" customHeight="1">
      <c r="A4025" t="inlineStr">
        <is>
          <t>A 6603-2024</t>
        </is>
      </c>
      <c r="B4025" s="1" t="n">
        <v>45341</v>
      </c>
      <c r="C4025" s="1" t="n">
        <v>45358</v>
      </c>
      <c r="D4025" t="inlineStr">
        <is>
          <t>HALLANDS LÄN</t>
        </is>
      </c>
      <c r="E4025" t="inlineStr">
        <is>
          <t>LAHOLM</t>
        </is>
      </c>
      <c r="G4025" t="n">
        <v>9.300000000000001</v>
      </c>
      <c r="H4025" t="n">
        <v>0</v>
      </c>
      <c r="I4025" t="n">
        <v>0</v>
      </c>
      <c r="J4025" t="n">
        <v>0</v>
      </c>
      <c r="K4025" t="n">
        <v>0</v>
      </c>
      <c r="L4025" t="n">
        <v>0</v>
      </c>
      <c r="M4025" t="n">
        <v>0</v>
      </c>
      <c r="N4025" t="n">
        <v>0</v>
      </c>
      <c r="O4025" t="n">
        <v>0</v>
      </c>
      <c r="P4025" t="n">
        <v>0</v>
      </c>
      <c r="Q4025" t="n">
        <v>0</v>
      </c>
      <c r="R4025" s="2" t="inlineStr"/>
    </row>
    <row r="4026" ht="15" customHeight="1">
      <c r="A4026" t="inlineStr">
        <is>
          <t>A 6765-2024</t>
        </is>
      </c>
      <c r="B4026" s="1" t="n">
        <v>45342</v>
      </c>
      <c r="C4026" s="1" t="n">
        <v>45358</v>
      </c>
      <c r="D4026" t="inlineStr">
        <is>
          <t>HALLANDS LÄN</t>
        </is>
      </c>
      <c r="E4026" t="inlineStr">
        <is>
          <t>HALMSTAD</t>
        </is>
      </c>
      <c r="G4026" t="n">
        <v>1.3</v>
      </c>
      <c r="H4026" t="n">
        <v>0</v>
      </c>
      <c r="I4026" t="n">
        <v>0</v>
      </c>
      <c r="J4026" t="n">
        <v>0</v>
      </c>
      <c r="K4026" t="n">
        <v>0</v>
      </c>
      <c r="L4026" t="n">
        <v>0</v>
      </c>
      <c r="M4026" t="n">
        <v>0</v>
      </c>
      <c r="N4026" t="n">
        <v>0</v>
      </c>
      <c r="O4026" t="n">
        <v>0</v>
      </c>
      <c r="P4026" t="n">
        <v>0</v>
      </c>
      <c r="Q4026" t="n">
        <v>0</v>
      </c>
      <c r="R4026" s="2" t="inlineStr"/>
    </row>
    <row r="4027" ht="15" customHeight="1">
      <c r="A4027" t="inlineStr">
        <is>
          <t>A 6738-2024</t>
        </is>
      </c>
      <c r="B4027" s="1" t="n">
        <v>45342</v>
      </c>
      <c r="C4027" s="1" t="n">
        <v>45358</v>
      </c>
      <c r="D4027" t="inlineStr">
        <is>
          <t>HALLANDS LÄN</t>
        </is>
      </c>
      <c r="E4027" t="inlineStr">
        <is>
          <t>HALMSTAD</t>
        </is>
      </c>
      <c r="G4027" t="n">
        <v>2.9</v>
      </c>
      <c r="H4027" t="n">
        <v>0</v>
      </c>
      <c r="I4027" t="n">
        <v>0</v>
      </c>
      <c r="J4027" t="n">
        <v>0</v>
      </c>
      <c r="K4027" t="n">
        <v>0</v>
      </c>
      <c r="L4027" t="n">
        <v>0</v>
      </c>
      <c r="M4027" t="n">
        <v>0</v>
      </c>
      <c r="N4027" t="n">
        <v>0</v>
      </c>
      <c r="O4027" t="n">
        <v>0</v>
      </c>
      <c r="P4027" t="n">
        <v>0</v>
      </c>
      <c r="Q4027" t="n">
        <v>0</v>
      </c>
      <c r="R4027" s="2" t="inlineStr"/>
    </row>
    <row r="4028" ht="15" customHeight="1">
      <c r="A4028" t="inlineStr">
        <is>
          <t>A 6793-2024</t>
        </is>
      </c>
      <c r="B4028" s="1" t="n">
        <v>45342</v>
      </c>
      <c r="C4028" s="1" t="n">
        <v>45358</v>
      </c>
      <c r="D4028" t="inlineStr">
        <is>
          <t>HALLANDS LÄN</t>
        </is>
      </c>
      <c r="E4028" t="inlineStr">
        <is>
          <t>HYLTE</t>
        </is>
      </c>
      <c r="F4028" t="inlineStr">
        <is>
          <t>Bergvik skog väst AB</t>
        </is>
      </c>
      <c r="G4028" t="n">
        <v>2.6</v>
      </c>
      <c r="H4028" t="n">
        <v>0</v>
      </c>
      <c r="I4028" t="n">
        <v>0</v>
      </c>
      <c r="J4028" t="n">
        <v>0</v>
      </c>
      <c r="K4028" t="n">
        <v>0</v>
      </c>
      <c r="L4028" t="n">
        <v>0</v>
      </c>
      <c r="M4028" t="n">
        <v>0</v>
      </c>
      <c r="N4028" t="n">
        <v>0</v>
      </c>
      <c r="O4028" t="n">
        <v>0</v>
      </c>
      <c r="P4028" t="n">
        <v>0</v>
      </c>
      <c r="Q4028" t="n">
        <v>0</v>
      </c>
      <c r="R4028" s="2" t="inlineStr"/>
    </row>
    <row r="4029" ht="15" customHeight="1">
      <c r="A4029" t="inlineStr">
        <is>
          <t>A 6754-2024</t>
        </is>
      </c>
      <c r="B4029" s="1" t="n">
        <v>45342</v>
      </c>
      <c r="C4029" s="1" t="n">
        <v>45358</v>
      </c>
      <c r="D4029" t="inlineStr">
        <is>
          <t>HALLANDS LÄN</t>
        </is>
      </c>
      <c r="E4029" t="inlineStr">
        <is>
          <t>LAHOLM</t>
        </is>
      </c>
      <c r="G4029" t="n">
        <v>0.6</v>
      </c>
      <c r="H4029" t="n">
        <v>0</v>
      </c>
      <c r="I4029" t="n">
        <v>0</v>
      </c>
      <c r="J4029" t="n">
        <v>0</v>
      </c>
      <c r="K4029" t="n">
        <v>0</v>
      </c>
      <c r="L4029" t="n">
        <v>0</v>
      </c>
      <c r="M4029" t="n">
        <v>0</v>
      </c>
      <c r="N4029" t="n">
        <v>0</v>
      </c>
      <c r="O4029" t="n">
        <v>0</v>
      </c>
      <c r="P4029" t="n">
        <v>0</v>
      </c>
      <c r="Q4029" t="n">
        <v>0</v>
      </c>
      <c r="R4029" s="2" t="inlineStr"/>
    </row>
    <row r="4030" ht="15" customHeight="1">
      <c r="A4030" t="inlineStr">
        <is>
          <t>A 6779-2024</t>
        </is>
      </c>
      <c r="B4030" s="1" t="n">
        <v>45342</v>
      </c>
      <c r="C4030" s="1" t="n">
        <v>45358</v>
      </c>
      <c r="D4030" t="inlineStr">
        <is>
          <t>HALLANDS LÄN</t>
        </is>
      </c>
      <c r="E4030" t="inlineStr">
        <is>
          <t>HYLTE</t>
        </is>
      </c>
      <c r="F4030" t="inlineStr">
        <is>
          <t>Bergvik skog väst AB</t>
        </is>
      </c>
      <c r="G4030" t="n">
        <v>4.2</v>
      </c>
      <c r="H4030" t="n">
        <v>0</v>
      </c>
      <c r="I4030" t="n">
        <v>0</v>
      </c>
      <c r="J4030" t="n">
        <v>0</v>
      </c>
      <c r="K4030" t="n">
        <v>0</v>
      </c>
      <c r="L4030" t="n">
        <v>0</v>
      </c>
      <c r="M4030" t="n">
        <v>0</v>
      </c>
      <c r="N4030" t="n">
        <v>0</v>
      </c>
      <c r="O4030" t="n">
        <v>0</v>
      </c>
      <c r="P4030" t="n">
        <v>0</v>
      </c>
      <c r="Q4030" t="n">
        <v>0</v>
      </c>
      <c r="R4030" s="2" t="inlineStr"/>
    </row>
    <row r="4031" ht="15" customHeight="1">
      <c r="A4031" t="inlineStr">
        <is>
          <t>A 6783-2024</t>
        </is>
      </c>
      <c r="B4031" s="1" t="n">
        <v>45342</v>
      </c>
      <c r="C4031" s="1" t="n">
        <v>45358</v>
      </c>
      <c r="D4031" t="inlineStr">
        <is>
          <t>HALLANDS LÄN</t>
        </is>
      </c>
      <c r="E4031" t="inlineStr">
        <is>
          <t>FALKENBERG</t>
        </is>
      </c>
      <c r="F4031" t="inlineStr">
        <is>
          <t>Kommuner</t>
        </is>
      </c>
      <c r="G4031" t="n">
        <v>3.7</v>
      </c>
      <c r="H4031" t="n">
        <v>0</v>
      </c>
      <c r="I4031" t="n">
        <v>0</v>
      </c>
      <c r="J4031" t="n">
        <v>0</v>
      </c>
      <c r="K4031" t="n">
        <v>0</v>
      </c>
      <c r="L4031" t="n">
        <v>0</v>
      </c>
      <c r="M4031" t="n">
        <v>0</v>
      </c>
      <c r="N4031" t="n">
        <v>0</v>
      </c>
      <c r="O4031" t="n">
        <v>0</v>
      </c>
      <c r="P4031" t="n">
        <v>0</v>
      </c>
      <c r="Q4031" t="n">
        <v>0</v>
      </c>
      <c r="R4031" s="2" t="inlineStr"/>
    </row>
    <row r="4032" ht="15" customHeight="1">
      <c r="A4032" t="inlineStr">
        <is>
          <t>A 6787-2024</t>
        </is>
      </c>
      <c r="B4032" s="1" t="n">
        <v>45342</v>
      </c>
      <c r="C4032" s="1" t="n">
        <v>45358</v>
      </c>
      <c r="D4032" t="inlineStr">
        <is>
          <t>HALLANDS LÄN</t>
        </is>
      </c>
      <c r="E4032" t="inlineStr">
        <is>
          <t>HYLTE</t>
        </is>
      </c>
      <c r="F4032" t="inlineStr">
        <is>
          <t>Bergvik skog väst AB</t>
        </is>
      </c>
      <c r="G4032" t="n">
        <v>5.2</v>
      </c>
      <c r="H4032" t="n">
        <v>0</v>
      </c>
      <c r="I4032" t="n">
        <v>0</v>
      </c>
      <c r="J4032" t="n">
        <v>0</v>
      </c>
      <c r="K4032" t="n">
        <v>0</v>
      </c>
      <c r="L4032" t="n">
        <v>0</v>
      </c>
      <c r="M4032" t="n">
        <v>0</v>
      </c>
      <c r="N4032" t="n">
        <v>0</v>
      </c>
      <c r="O4032" t="n">
        <v>0</v>
      </c>
      <c r="P4032" t="n">
        <v>0</v>
      </c>
      <c r="Q4032" t="n">
        <v>0</v>
      </c>
      <c r="R4032" s="2" t="inlineStr"/>
    </row>
    <row r="4033" ht="15" customHeight="1">
      <c r="A4033" t="inlineStr">
        <is>
          <t>A 6728-2024</t>
        </is>
      </c>
      <c r="B4033" s="1" t="n">
        <v>45342</v>
      </c>
      <c r="C4033" s="1" t="n">
        <v>45358</v>
      </c>
      <c r="D4033" t="inlineStr">
        <is>
          <t>HALLANDS LÄN</t>
        </is>
      </c>
      <c r="E4033" t="inlineStr">
        <is>
          <t>FALKENBERG</t>
        </is>
      </c>
      <c r="G4033" t="n">
        <v>3.5</v>
      </c>
      <c r="H4033" t="n">
        <v>0</v>
      </c>
      <c r="I4033" t="n">
        <v>0</v>
      </c>
      <c r="J4033" t="n">
        <v>0</v>
      </c>
      <c r="K4033" t="n">
        <v>0</v>
      </c>
      <c r="L4033" t="n">
        <v>0</v>
      </c>
      <c r="M4033" t="n">
        <v>0</v>
      </c>
      <c r="N4033" t="n">
        <v>0</v>
      </c>
      <c r="O4033" t="n">
        <v>0</v>
      </c>
      <c r="P4033" t="n">
        <v>0</v>
      </c>
      <c r="Q4033" t="n">
        <v>0</v>
      </c>
      <c r="R4033" s="2" t="inlineStr"/>
    </row>
    <row r="4034" ht="15" customHeight="1">
      <c r="A4034" t="inlineStr">
        <is>
          <t>A 6753-2024</t>
        </is>
      </c>
      <c r="B4034" s="1" t="n">
        <v>45342</v>
      </c>
      <c r="C4034" s="1" t="n">
        <v>45358</v>
      </c>
      <c r="D4034" t="inlineStr">
        <is>
          <t>HALLANDS LÄN</t>
        </is>
      </c>
      <c r="E4034" t="inlineStr">
        <is>
          <t>LAHOLM</t>
        </is>
      </c>
      <c r="G4034" t="n">
        <v>1.1</v>
      </c>
      <c r="H4034" t="n">
        <v>0</v>
      </c>
      <c r="I4034" t="n">
        <v>0</v>
      </c>
      <c r="J4034" t="n">
        <v>0</v>
      </c>
      <c r="K4034" t="n">
        <v>0</v>
      </c>
      <c r="L4034" t="n">
        <v>0</v>
      </c>
      <c r="M4034" t="n">
        <v>0</v>
      </c>
      <c r="N4034" t="n">
        <v>0</v>
      </c>
      <c r="O4034" t="n">
        <v>0</v>
      </c>
      <c r="P4034" t="n">
        <v>0</v>
      </c>
      <c r="Q4034" t="n">
        <v>0</v>
      </c>
      <c r="R4034" s="2" t="inlineStr"/>
    </row>
    <row r="4035" ht="15" customHeight="1">
      <c r="A4035" t="inlineStr">
        <is>
          <t>A 6764-2024</t>
        </is>
      </c>
      <c r="B4035" s="1" t="n">
        <v>45342</v>
      </c>
      <c r="C4035" s="1" t="n">
        <v>45358</v>
      </c>
      <c r="D4035" t="inlineStr">
        <is>
          <t>HALLANDS LÄN</t>
        </is>
      </c>
      <c r="E4035" t="inlineStr">
        <is>
          <t>HALMSTAD</t>
        </is>
      </c>
      <c r="G4035" t="n">
        <v>1.2</v>
      </c>
      <c r="H4035" t="n">
        <v>0</v>
      </c>
      <c r="I4035" t="n">
        <v>0</v>
      </c>
      <c r="J4035" t="n">
        <v>0</v>
      </c>
      <c r="K4035" t="n">
        <v>0</v>
      </c>
      <c r="L4035" t="n">
        <v>0</v>
      </c>
      <c r="M4035" t="n">
        <v>0</v>
      </c>
      <c r="N4035" t="n">
        <v>0</v>
      </c>
      <c r="O4035" t="n">
        <v>0</v>
      </c>
      <c r="P4035" t="n">
        <v>0</v>
      </c>
      <c r="Q4035" t="n">
        <v>0</v>
      </c>
      <c r="R4035" s="2" t="inlineStr"/>
    </row>
    <row r="4036" ht="15" customHeight="1">
      <c r="A4036" t="inlineStr">
        <is>
          <t>A 6911-2024</t>
        </is>
      </c>
      <c r="B4036" s="1" t="n">
        <v>45343</v>
      </c>
      <c r="C4036" s="1" t="n">
        <v>45358</v>
      </c>
      <c r="D4036" t="inlineStr">
        <is>
          <t>HALLANDS LÄN</t>
        </is>
      </c>
      <c r="E4036" t="inlineStr">
        <is>
          <t>LAHOLM</t>
        </is>
      </c>
      <c r="G4036" t="n">
        <v>2.1</v>
      </c>
      <c r="H4036" t="n">
        <v>0</v>
      </c>
      <c r="I4036" t="n">
        <v>0</v>
      </c>
      <c r="J4036" t="n">
        <v>0</v>
      </c>
      <c r="K4036" t="n">
        <v>0</v>
      </c>
      <c r="L4036" t="n">
        <v>0</v>
      </c>
      <c r="M4036" t="n">
        <v>0</v>
      </c>
      <c r="N4036" t="n">
        <v>0</v>
      </c>
      <c r="O4036" t="n">
        <v>0</v>
      </c>
      <c r="P4036" t="n">
        <v>0</v>
      </c>
      <c r="Q4036" t="n">
        <v>0</v>
      </c>
      <c r="R4036" s="2" t="inlineStr"/>
    </row>
    <row r="4037" ht="15" customHeight="1">
      <c r="A4037" t="inlineStr">
        <is>
          <t>A 7004-2024</t>
        </is>
      </c>
      <c r="B4037" s="1" t="n">
        <v>45343</v>
      </c>
      <c r="C4037" s="1" t="n">
        <v>45358</v>
      </c>
      <c r="D4037" t="inlineStr">
        <is>
          <t>HALLANDS LÄN</t>
        </is>
      </c>
      <c r="E4037" t="inlineStr">
        <is>
          <t>FALKENBERG</t>
        </is>
      </c>
      <c r="G4037" t="n">
        <v>0.6</v>
      </c>
      <c r="H4037" t="n">
        <v>0</v>
      </c>
      <c r="I4037" t="n">
        <v>0</v>
      </c>
      <c r="J4037" t="n">
        <v>0</v>
      </c>
      <c r="K4037" t="n">
        <v>0</v>
      </c>
      <c r="L4037" t="n">
        <v>0</v>
      </c>
      <c r="M4037" t="n">
        <v>0</v>
      </c>
      <c r="N4037" t="n">
        <v>0</v>
      </c>
      <c r="O4037" t="n">
        <v>0</v>
      </c>
      <c r="P4037" t="n">
        <v>0</v>
      </c>
      <c r="Q4037" t="n">
        <v>0</v>
      </c>
      <c r="R4037" s="2" t="inlineStr"/>
    </row>
    <row r="4038" ht="15" customHeight="1">
      <c r="A4038" t="inlineStr">
        <is>
          <t>A 7038-2024</t>
        </is>
      </c>
      <c r="B4038" s="1" t="n">
        <v>45343</v>
      </c>
      <c r="C4038" s="1" t="n">
        <v>45358</v>
      </c>
      <c r="D4038" t="inlineStr">
        <is>
          <t>HALLANDS LÄN</t>
        </is>
      </c>
      <c r="E4038" t="inlineStr">
        <is>
          <t>VARBERG</t>
        </is>
      </c>
      <c r="G4038" t="n">
        <v>2.6</v>
      </c>
      <c r="H4038" t="n">
        <v>0</v>
      </c>
      <c r="I4038" t="n">
        <v>0</v>
      </c>
      <c r="J4038" t="n">
        <v>0</v>
      </c>
      <c r="K4038" t="n">
        <v>0</v>
      </c>
      <c r="L4038" t="n">
        <v>0</v>
      </c>
      <c r="M4038" t="n">
        <v>0</v>
      </c>
      <c r="N4038" t="n">
        <v>0</v>
      </c>
      <c r="O4038" t="n">
        <v>0</v>
      </c>
      <c r="P4038" t="n">
        <v>0</v>
      </c>
      <c r="Q4038" t="n">
        <v>0</v>
      </c>
      <c r="R4038" s="2" t="inlineStr"/>
    </row>
    <row r="4039" ht="15" customHeight="1">
      <c r="A4039" t="inlineStr">
        <is>
          <t>A 7097-2024</t>
        </is>
      </c>
      <c r="B4039" s="1" t="n">
        <v>45343</v>
      </c>
      <c r="C4039" s="1" t="n">
        <v>45358</v>
      </c>
      <c r="D4039" t="inlineStr">
        <is>
          <t>HALLANDS LÄN</t>
        </is>
      </c>
      <c r="E4039" t="inlineStr">
        <is>
          <t>HYLTE</t>
        </is>
      </c>
      <c r="G4039" t="n">
        <v>1.9</v>
      </c>
      <c r="H4039" t="n">
        <v>0</v>
      </c>
      <c r="I4039" t="n">
        <v>0</v>
      </c>
      <c r="J4039" t="n">
        <v>0</v>
      </c>
      <c r="K4039" t="n">
        <v>0</v>
      </c>
      <c r="L4039" t="n">
        <v>0</v>
      </c>
      <c r="M4039" t="n">
        <v>0</v>
      </c>
      <c r="N4039" t="n">
        <v>0</v>
      </c>
      <c r="O4039" t="n">
        <v>0</v>
      </c>
      <c r="P4039" t="n">
        <v>0</v>
      </c>
      <c r="Q4039" t="n">
        <v>0</v>
      </c>
      <c r="R4039" s="2" t="inlineStr"/>
    </row>
    <row r="4040" ht="15" customHeight="1">
      <c r="A4040" t="inlineStr">
        <is>
          <t>A 7124-2024</t>
        </is>
      </c>
      <c r="B4040" s="1" t="n">
        <v>45344</v>
      </c>
      <c r="C4040" s="1" t="n">
        <v>45358</v>
      </c>
      <c r="D4040" t="inlineStr">
        <is>
          <t>HALLANDS LÄN</t>
        </is>
      </c>
      <c r="E4040" t="inlineStr">
        <is>
          <t>VARBERG</t>
        </is>
      </c>
      <c r="G4040" t="n">
        <v>2.7</v>
      </c>
      <c r="H4040" t="n">
        <v>0</v>
      </c>
      <c r="I4040" t="n">
        <v>0</v>
      </c>
      <c r="J4040" t="n">
        <v>0</v>
      </c>
      <c r="K4040" t="n">
        <v>0</v>
      </c>
      <c r="L4040" t="n">
        <v>0</v>
      </c>
      <c r="M4040" t="n">
        <v>0</v>
      </c>
      <c r="N4040" t="n">
        <v>0</v>
      </c>
      <c r="O4040" t="n">
        <v>0</v>
      </c>
      <c r="P4040" t="n">
        <v>0</v>
      </c>
      <c r="Q4040" t="n">
        <v>0</v>
      </c>
      <c r="R4040" s="2" t="inlineStr"/>
    </row>
    <row r="4041" ht="15" customHeight="1">
      <c r="A4041" t="inlineStr">
        <is>
          <t>A 7123-2024</t>
        </is>
      </c>
      <c r="B4041" s="1" t="n">
        <v>45344</v>
      </c>
      <c r="C4041" s="1" t="n">
        <v>45358</v>
      </c>
      <c r="D4041" t="inlineStr">
        <is>
          <t>HALLANDS LÄN</t>
        </is>
      </c>
      <c r="E4041" t="inlineStr">
        <is>
          <t>LAHOLM</t>
        </is>
      </c>
      <c r="G4041" t="n">
        <v>6.9</v>
      </c>
      <c r="H4041" t="n">
        <v>0</v>
      </c>
      <c r="I4041" t="n">
        <v>0</v>
      </c>
      <c r="J4041" t="n">
        <v>0</v>
      </c>
      <c r="K4041" t="n">
        <v>0</v>
      </c>
      <c r="L4041" t="n">
        <v>0</v>
      </c>
      <c r="M4041" t="n">
        <v>0</v>
      </c>
      <c r="N4041" t="n">
        <v>0</v>
      </c>
      <c r="O4041" t="n">
        <v>0</v>
      </c>
      <c r="P4041" t="n">
        <v>0</v>
      </c>
      <c r="Q4041" t="n">
        <v>0</v>
      </c>
      <c r="R4041" s="2" t="inlineStr"/>
    </row>
    <row r="4042" ht="15" customHeight="1">
      <c r="A4042" t="inlineStr">
        <is>
          <t>A 7244-2024</t>
        </is>
      </c>
      <c r="B4042" s="1" t="n">
        <v>45344</v>
      </c>
      <c r="C4042" s="1" t="n">
        <v>45358</v>
      </c>
      <c r="D4042" t="inlineStr">
        <is>
          <t>HALLANDS LÄN</t>
        </is>
      </c>
      <c r="E4042" t="inlineStr">
        <is>
          <t>HYLTE</t>
        </is>
      </c>
      <c r="G4042" t="n">
        <v>1.2</v>
      </c>
      <c r="H4042" t="n">
        <v>0</v>
      </c>
      <c r="I4042" t="n">
        <v>0</v>
      </c>
      <c r="J4042" t="n">
        <v>0</v>
      </c>
      <c r="K4042" t="n">
        <v>0</v>
      </c>
      <c r="L4042" t="n">
        <v>0</v>
      </c>
      <c r="M4042" t="n">
        <v>0</v>
      </c>
      <c r="N4042" t="n">
        <v>0</v>
      </c>
      <c r="O4042" t="n">
        <v>0</v>
      </c>
      <c r="P4042" t="n">
        <v>0</v>
      </c>
      <c r="Q4042" t="n">
        <v>0</v>
      </c>
      <c r="R4042" s="2" t="inlineStr"/>
    </row>
    <row r="4043" ht="15" customHeight="1">
      <c r="A4043" t="inlineStr">
        <is>
          <t>A 7248-2024</t>
        </is>
      </c>
      <c r="B4043" s="1" t="n">
        <v>45344</v>
      </c>
      <c r="C4043" s="1" t="n">
        <v>45358</v>
      </c>
      <c r="D4043" t="inlineStr">
        <is>
          <t>HALLANDS LÄN</t>
        </is>
      </c>
      <c r="E4043" t="inlineStr">
        <is>
          <t>HYLTE</t>
        </is>
      </c>
      <c r="G4043" t="n">
        <v>0.7</v>
      </c>
      <c r="H4043" t="n">
        <v>0</v>
      </c>
      <c r="I4043" t="n">
        <v>0</v>
      </c>
      <c r="J4043" t="n">
        <v>0</v>
      </c>
      <c r="K4043" t="n">
        <v>0</v>
      </c>
      <c r="L4043" t="n">
        <v>0</v>
      </c>
      <c r="M4043" t="n">
        <v>0</v>
      </c>
      <c r="N4043" t="n">
        <v>0</v>
      </c>
      <c r="O4043" t="n">
        <v>0</v>
      </c>
      <c r="P4043" t="n">
        <v>0</v>
      </c>
      <c r="Q4043" t="n">
        <v>0</v>
      </c>
      <c r="R4043" s="2" t="inlineStr"/>
    </row>
    <row r="4044" ht="15" customHeight="1">
      <c r="A4044" t="inlineStr">
        <is>
          <t>A 7125-2024</t>
        </is>
      </c>
      <c r="B4044" s="1" t="n">
        <v>45344</v>
      </c>
      <c r="C4044" s="1" t="n">
        <v>45358</v>
      </c>
      <c r="D4044" t="inlineStr">
        <is>
          <t>HALLANDS LÄN</t>
        </is>
      </c>
      <c r="E4044" t="inlineStr">
        <is>
          <t>FALKENBERG</t>
        </is>
      </c>
      <c r="G4044" t="n">
        <v>0.7</v>
      </c>
      <c r="H4044" t="n">
        <v>0</v>
      </c>
      <c r="I4044" t="n">
        <v>0</v>
      </c>
      <c r="J4044" t="n">
        <v>0</v>
      </c>
      <c r="K4044" t="n">
        <v>0</v>
      </c>
      <c r="L4044" t="n">
        <v>0</v>
      </c>
      <c r="M4044" t="n">
        <v>0</v>
      </c>
      <c r="N4044" t="n">
        <v>0</v>
      </c>
      <c r="O4044" t="n">
        <v>0</v>
      </c>
      <c r="P4044" t="n">
        <v>0</v>
      </c>
      <c r="Q4044" t="n">
        <v>0</v>
      </c>
      <c r="R4044" s="2" t="inlineStr"/>
    </row>
    <row r="4045" ht="15" customHeight="1">
      <c r="A4045" t="inlineStr">
        <is>
          <t>A 7353-2024</t>
        </is>
      </c>
      <c r="B4045" s="1" t="n">
        <v>45345</v>
      </c>
      <c r="C4045" s="1" t="n">
        <v>45358</v>
      </c>
      <c r="D4045" t="inlineStr">
        <is>
          <t>HALLANDS LÄN</t>
        </is>
      </c>
      <c r="E4045" t="inlineStr">
        <is>
          <t>KUNGSBACKA</t>
        </is>
      </c>
      <c r="G4045" t="n">
        <v>1.5</v>
      </c>
      <c r="H4045" t="n">
        <v>0</v>
      </c>
      <c r="I4045" t="n">
        <v>0</v>
      </c>
      <c r="J4045" t="n">
        <v>0</v>
      </c>
      <c r="K4045" t="n">
        <v>0</v>
      </c>
      <c r="L4045" t="n">
        <v>0</v>
      </c>
      <c r="M4045" t="n">
        <v>0</v>
      </c>
      <c r="N4045" t="n">
        <v>0</v>
      </c>
      <c r="O4045" t="n">
        <v>0</v>
      </c>
      <c r="P4045" t="n">
        <v>0</v>
      </c>
      <c r="Q4045" t="n">
        <v>0</v>
      </c>
      <c r="R4045" s="2" t="inlineStr"/>
    </row>
    <row r="4046" ht="15" customHeight="1">
      <c r="A4046" t="inlineStr">
        <is>
          <t>A 7314-2024</t>
        </is>
      </c>
      <c r="B4046" s="1" t="n">
        <v>45345</v>
      </c>
      <c r="C4046" s="1" t="n">
        <v>45358</v>
      </c>
      <c r="D4046" t="inlineStr">
        <is>
          <t>HALLANDS LÄN</t>
        </is>
      </c>
      <c r="E4046" t="inlineStr">
        <is>
          <t>FALKENBERG</t>
        </is>
      </c>
      <c r="G4046" t="n">
        <v>5</v>
      </c>
      <c r="H4046" t="n">
        <v>0</v>
      </c>
      <c r="I4046" t="n">
        <v>0</v>
      </c>
      <c r="J4046" t="n">
        <v>0</v>
      </c>
      <c r="K4046" t="n">
        <v>0</v>
      </c>
      <c r="L4046" t="n">
        <v>0</v>
      </c>
      <c r="M4046" t="n">
        <v>0</v>
      </c>
      <c r="N4046" t="n">
        <v>0</v>
      </c>
      <c r="O4046" t="n">
        <v>0</v>
      </c>
      <c r="P4046" t="n">
        <v>0</v>
      </c>
      <c r="Q4046" t="n">
        <v>0</v>
      </c>
      <c r="R4046" s="2" t="inlineStr"/>
    </row>
    <row r="4047" ht="15" customHeight="1">
      <c r="A4047" t="inlineStr">
        <is>
          <t>A 7435-2024</t>
        </is>
      </c>
      <c r="B4047" s="1" t="n">
        <v>45345</v>
      </c>
      <c r="C4047" s="1" t="n">
        <v>45358</v>
      </c>
      <c r="D4047" t="inlineStr">
        <is>
          <t>HALLANDS LÄN</t>
        </is>
      </c>
      <c r="E4047" t="inlineStr">
        <is>
          <t>KUNGSBACKA</t>
        </is>
      </c>
      <c r="G4047" t="n">
        <v>2</v>
      </c>
      <c r="H4047" t="n">
        <v>0</v>
      </c>
      <c r="I4047" t="n">
        <v>0</v>
      </c>
      <c r="J4047" t="n">
        <v>0</v>
      </c>
      <c r="K4047" t="n">
        <v>0</v>
      </c>
      <c r="L4047" t="n">
        <v>0</v>
      </c>
      <c r="M4047" t="n">
        <v>0</v>
      </c>
      <c r="N4047" t="n">
        <v>0</v>
      </c>
      <c r="O4047" t="n">
        <v>0</v>
      </c>
      <c r="P4047" t="n">
        <v>0</v>
      </c>
      <c r="Q4047" t="n">
        <v>0</v>
      </c>
      <c r="R4047" s="2" t="inlineStr"/>
    </row>
    <row r="4048" ht="15" customHeight="1">
      <c r="A4048" t="inlineStr">
        <is>
          <t>A 7588-2024</t>
        </is>
      </c>
      <c r="B4048" s="1" t="n">
        <v>45348</v>
      </c>
      <c r="C4048" s="1" t="n">
        <v>45358</v>
      </c>
      <c r="D4048" t="inlineStr">
        <is>
          <t>HALLANDS LÄN</t>
        </is>
      </c>
      <c r="E4048" t="inlineStr">
        <is>
          <t>HYLTE</t>
        </is>
      </c>
      <c r="F4048" t="inlineStr">
        <is>
          <t>Bergvik skog väst AB</t>
        </is>
      </c>
      <c r="G4048" t="n">
        <v>1.6</v>
      </c>
      <c r="H4048" t="n">
        <v>0</v>
      </c>
      <c r="I4048" t="n">
        <v>0</v>
      </c>
      <c r="J4048" t="n">
        <v>0</v>
      </c>
      <c r="K4048" t="n">
        <v>0</v>
      </c>
      <c r="L4048" t="n">
        <v>0</v>
      </c>
      <c r="M4048" t="n">
        <v>0</v>
      </c>
      <c r="N4048" t="n">
        <v>0</v>
      </c>
      <c r="O4048" t="n">
        <v>0</v>
      </c>
      <c r="P4048" t="n">
        <v>0</v>
      </c>
      <c r="Q4048" t="n">
        <v>0</v>
      </c>
      <c r="R4048" s="2" t="inlineStr"/>
    </row>
    <row r="4049" ht="15" customHeight="1">
      <c r="A4049" t="inlineStr">
        <is>
          <t>A 7633-2024</t>
        </is>
      </c>
      <c r="B4049" s="1" t="n">
        <v>45348</v>
      </c>
      <c r="C4049" s="1" t="n">
        <v>45358</v>
      </c>
      <c r="D4049" t="inlineStr">
        <is>
          <t>HALLANDS LÄN</t>
        </is>
      </c>
      <c r="E4049" t="inlineStr">
        <is>
          <t>HALMSTAD</t>
        </is>
      </c>
      <c r="G4049" t="n">
        <v>0.4</v>
      </c>
      <c r="H4049" t="n">
        <v>0</v>
      </c>
      <c r="I4049" t="n">
        <v>0</v>
      </c>
      <c r="J4049" t="n">
        <v>0</v>
      </c>
      <c r="K4049" t="n">
        <v>0</v>
      </c>
      <c r="L4049" t="n">
        <v>0</v>
      </c>
      <c r="M4049" t="n">
        <v>0</v>
      </c>
      <c r="N4049" t="n">
        <v>0</v>
      </c>
      <c r="O4049" t="n">
        <v>0</v>
      </c>
      <c r="P4049" t="n">
        <v>0</v>
      </c>
      <c r="Q4049" t="n">
        <v>0</v>
      </c>
      <c r="R4049" s="2" t="inlineStr"/>
    </row>
    <row r="4050" ht="15" customHeight="1">
      <c r="A4050" t="inlineStr">
        <is>
          <t>A 7626-2024</t>
        </is>
      </c>
      <c r="B4050" s="1" t="n">
        <v>45348</v>
      </c>
      <c r="C4050" s="1" t="n">
        <v>45358</v>
      </c>
      <c r="D4050" t="inlineStr">
        <is>
          <t>HALLANDS LÄN</t>
        </is>
      </c>
      <c r="E4050" t="inlineStr">
        <is>
          <t>HALMSTAD</t>
        </is>
      </c>
      <c r="G4050" t="n">
        <v>1.3</v>
      </c>
      <c r="H4050" t="n">
        <v>0</v>
      </c>
      <c r="I4050" t="n">
        <v>0</v>
      </c>
      <c r="J4050" t="n">
        <v>0</v>
      </c>
      <c r="K4050" t="n">
        <v>0</v>
      </c>
      <c r="L4050" t="n">
        <v>0</v>
      </c>
      <c r="M4050" t="n">
        <v>0</v>
      </c>
      <c r="N4050" t="n">
        <v>0</v>
      </c>
      <c r="O4050" t="n">
        <v>0</v>
      </c>
      <c r="P4050" t="n">
        <v>0</v>
      </c>
      <c r="Q4050" t="n">
        <v>0</v>
      </c>
      <c r="R4050" s="2" t="inlineStr"/>
    </row>
    <row r="4051" ht="15" customHeight="1">
      <c r="A4051" t="inlineStr">
        <is>
          <t>A 7630-2024</t>
        </is>
      </c>
      <c r="B4051" s="1" t="n">
        <v>45348</v>
      </c>
      <c r="C4051" s="1" t="n">
        <v>45358</v>
      </c>
      <c r="D4051" t="inlineStr">
        <is>
          <t>HALLANDS LÄN</t>
        </is>
      </c>
      <c r="E4051" t="inlineStr">
        <is>
          <t>HALMSTAD</t>
        </is>
      </c>
      <c r="G4051" t="n">
        <v>1.2</v>
      </c>
      <c r="H4051" t="n">
        <v>0</v>
      </c>
      <c r="I4051" t="n">
        <v>0</v>
      </c>
      <c r="J4051" t="n">
        <v>0</v>
      </c>
      <c r="K4051" t="n">
        <v>0</v>
      </c>
      <c r="L4051" t="n">
        <v>0</v>
      </c>
      <c r="M4051" t="n">
        <v>0</v>
      </c>
      <c r="N4051" t="n">
        <v>0</v>
      </c>
      <c r="O4051" t="n">
        <v>0</v>
      </c>
      <c r="P4051" t="n">
        <v>0</v>
      </c>
      <c r="Q4051" t="n">
        <v>0</v>
      </c>
      <c r="R4051" s="2" t="inlineStr"/>
    </row>
    <row r="4052" ht="15" customHeight="1">
      <c r="A4052" t="inlineStr">
        <is>
          <t>A 7679-2024</t>
        </is>
      </c>
      <c r="B4052" s="1" t="n">
        <v>45348</v>
      </c>
      <c r="C4052" s="1" t="n">
        <v>45358</v>
      </c>
      <c r="D4052" t="inlineStr">
        <is>
          <t>HALLANDS LÄN</t>
        </is>
      </c>
      <c r="E4052" t="inlineStr">
        <is>
          <t>HYLTE</t>
        </is>
      </c>
      <c r="G4052" t="n">
        <v>0.8</v>
      </c>
      <c r="H4052" t="n">
        <v>0</v>
      </c>
      <c r="I4052" t="n">
        <v>0</v>
      </c>
      <c r="J4052" t="n">
        <v>0</v>
      </c>
      <c r="K4052" t="n">
        <v>0</v>
      </c>
      <c r="L4052" t="n">
        <v>0</v>
      </c>
      <c r="M4052" t="n">
        <v>0</v>
      </c>
      <c r="N4052" t="n">
        <v>0</v>
      </c>
      <c r="O4052" t="n">
        <v>0</v>
      </c>
      <c r="P4052" t="n">
        <v>0</v>
      </c>
      <c r="Q4052" t="n">
        <v>0</v>
      </c>
      <c r="R4052" s="2" t="inlineStr"/>
    </row>
    <row r="4053" ht="15" customHeight="1">
      <c r="A4053" t="inlineStr">
        <is>
          <t>A 7632-2024</t>
        </is>
      </c>
      <c r="B4053" s="1" t="n">
        <v>45348</v>
      </c>
      <c r="C4053" s="1" t="n">
        <v>45358</v>
      </c>
      <c r="D4053" t="inlineStr">
        <is>
          <t>HALLANDS LÄN</t>
        </is>
      </c>
      <c r="E4053" t="inlineStr">
        <is>
          <t>HALMSTAD</t>
        </is>
      </c>
      <c r="G4053" t="n">
        <v>2.5</v>
      </c>
      <c r="H4053" t="n">
        <v>0</v>
      </c>
      <c r="I4053" t="n">
        <v>0</v>
      </c>
      <c r="J4053" t="n">
        <v>0</v>
      </c>
      <c r="K4053" t="n">
        <v>0</v>
      </c>
      <c r="L4053" t="n">
        <v>0</v>
      </c>
      <c r="M4053" t="n">
        <v>0</v>
      </c>
      <c r="N4053" t="n">
        <v>0</v>
      </c>
      <c r="O4053" t="n">
        <v>0</v>
      </c>
      <c r="P4053" t="n">
        <v>0</v>
      </c>
      <c r="Q4053" t="n">
        <v>0</v>
      </c>
      <c r="R4053" s="2" t="inlineStr"/>
    </row>
    <row r="4054" ht="15" customHeight="1">
      <c r="A4054" t="inlineStr">
        <is>
          <t>A 7656-2024</t>
        </is>
      </c>
      <c r="B4054" s="1" t="n">
        <v>45348</v>
      </c>
      <c r="C4054" s="1" t="n">
        <v>45358</v>
      </c>
      <c r="D4054" t="inlineStr">
        <is>
          <t>HALLANDS LÄN</t>
        </is>
      </c>
      <c r="E4054" t="inlineStr">
        <is>
          <t>LAHOLM</t>
        </is>
      </c>
      <c r="G4054" t="n">
        <v>0.6</v>
      </c>
      <c r="H4054" t="n">
        <v>0</v>
      </c>
      <c r="I4054" t="n">
        <v>0</v>
      </c>
      <c r="J4054" t="n">
        <v>0</v>
      </c>
      <c r="K4054" t="n">
        <v>0</v>
      </c>
      <c r="L4054" t="n">
        <v>0</v>
      </c>
      <c r="M4054" t="n">
        <v>0</v>
      </c>
      <c r="N4054" t="n">
        <v>0</v>
      </c>
      <c r="O4054" t="n">
        <v>0</v>
      </c>
      <c r="P4054" t="n">
        <v>0</v>
      </c>
      <c r="Q4054" t="n">
        <v>0</v>
      </c>
      <c r="R4054" s="2" t="inlineStr"/>
    </row>
    <row r="4055" ht="15" customHeight="1">
      <c r="A4055" t="inlineStr">
        <is>
          <t>A 7696-2024</t>
        </is>
      </c>
      <c r="B4055" s="1" t="n">
        <v>45349</v>
      </c>
      <c r="C4055" s="1" t="n">
        <v>45358</v>
      </c>
      <c r="D4055" t="inlineStr">
        <is>
          <t>HALLANDS LÄN</t>
        </is>
      </c>
      <c r="E4055" t="inlineStr">
        <is>
          <t>FALKENBERG</t>
        </is>
      </c>
      <c r="G4055" t="n">
        <v>2.6</v>
      </c>
      <c r="H4055" t="n">
        <v>0</v>
      </c>
      <c r="I4055" t="n">
        <v>0</v>
      </c>
      <c r="J4055" t="n">
        <v>0</v>
      </c>
      <c r="K4055" t="n">
        <v>0</v>
      </c>
      <c r="L4055" t="n">
        <v>0</v>
      </c>
      <c r="M4055" t="n">
        <v>0</v>
      </c>
      <c r="N4055" t="n">
        <v>0</v>
      </c>
      <c r="O4055" t="n">
        <v>0</v>
      </c>
      <c r="P4055" t="n">
        <v>0</v>
      </c>
      <c r="Q4055" t="n">
        <v>0</v>
      </c>
      <c r="R4055" s="2" t="inlineStr"/>
    </row>
    <row r="4056" ht="15" customHeight="1">
      <c r="A4056" t="inlineStr">
        <is>
          <t>A 7741-2024</t>
        </is>
      </c>
      <c r="B4056" s="1" t="n">
        <v>45349</v>
      </c>
      <c r="C4056" s="1" t="n">
        <v>45358</v>
      </c>
      <c r="D4056" t="inlineStr">
        <is>
          <t>HALLANDS LÄN</t>
        </is>
      </c>
      <c r="E4056" t="inlineStr">
        <is>
          <t>LAHOLM</t>
        </is>
      </c>
      <c r="G4056" t="n">
        <v>1.3</v>
      </c>
      <c r="H4056" t="n">
        <v>0</v>
      </c>
      <c r="I4056" t="n">
        <v>0</v>
      </c>
      <c r="J4056" t="n">
        <v>0</v>
      </c>
      <c r="K4056" t="n">
        <v>0</v>
      </c>
      <c r="L4056" t="n">
        <v>0</v>
      </c>
      <c r="M4056" t="n">
        <v>0</v>
      </c>
      <c r="N4056" t="n">
        <v>0</v>
      </c>
      <c r="O4056" t="n">
        <v>0</v>
      </c>
      <c r="P4056" t="n">
        <v>0</v>
      </c>
      <c r="Q4056" t="n">
        <v>0</v>
      </c>
      <c r="R4056" s="2" t="inlineStr"/>
    </row>
    <row r="4057" ht="15" customHeight="1">
      <c r="A4057" t="inlineStr">
        <is>
          <t>A 7695-2024</t>
        </is>
      </c>
      <c r="B4057" s="1" t="n">
        <v>45349</v>
      </c>
      <c r="C4057" s="1" t="n">
        <v>45358</v>
      </c>
      <c r="D4057" t="inlineStr">
        <is>
          <t>HALLANDS LÄN</t>
        </is>
      </c>
      <c r="E4057" t="inlineStr">
        <is>
          <t>VARBERG</t>
        </is>
      </c>
      <c r="G4057" t="n">
        <v>1.8</v>
      </c>
      <c r="H4057" t="n">
        <v>0</v>
      </c>
      <c r="I4057" t="n">
        <v>0</v>
      </c>
      <c r="J4057" t="n">
        <v>0</v>
      </c>
      <c r="K4057" t="n">
        <v>0</v>
      </c>
      <c r="L4057" t="n">
        <v>0</v>
      </c>
      <c r="M4057" t="n">
        <v>0</v>
      </c>
      <c r="N4057" t="n">
        <v>0</v>
      </c>
      <c r="O4057" t="n">
        <v>0</v>
      </c>
      <c r="P4057" t="n">
        <v>0</v>
      </c>
      <c r="Q4057" t="n">
        <v>0</v>
      </c>
      <c r="R4057" s="2" t="inlineStr"/>
    </row>
    <row r="4058" ht="15" customHeight="1">
      <c r="A4058" t="inlineStr">
        <is>
          <t>A 7743-2024</t>
        </is>
      </c>
      <c r="B4058" s="1" t="n">
        <v>45349</v>
      </c>
      <c r="C4058" s="1" t="n">
        <v>45358</v>
      </c>
      <c r="D4058" t="inlineStr">
        <is>
          <t>HALLANDS LÄN</t>
        </is>
      </c>
      <c r="E4058" t="inlineStr">
        <is>
          <t>LAHOLM</t>
        </is>
      </c>
      <c r="G4058" t="n">
        <v>0.9</v>
      </c>
      <c r="H4058" t="n">
        <v>0</v>
      </c>
      <c r="I4058" t="n">
        <v>0</v>
      </c>
      <c r="J4058" t="n">
        <v>0</v>
      </c>
      <c r="K4058" t="n">
        <v>0</v>
      </c>
      <c r="L4058" t="n">
        <v>0</v>
      </c>
      <c r="M4058" t="n">
        <v>0</v>
      </c>
      <c r="N4058" t="n">
        <v>0</v>
      </c>
      <c r="O4058" t="n">
        <v>0</v>
      </c>
      <c r="P4058" t="n">
        <v>0</v>
      </c>
      <c r="Q4058" t="n">
        <v>0</v>
      </c>
      <c r="R4058" s="2" t="inlineStr"/>
    </row>
    <row r="4059" ht="15" customHeight="1">
      <c r="A4059" t="inlineStr">
        <is>
          <t>A 7780-2024</t>
        </is>
      </c>
      <c r="B4059" s="1" t="n">
        <v>45349</v>
      </c>
      <c r="C4059" s="1" t="n">
        <v>45358</v>
      </c>
      <c r="D4059" t="inlineStr">
        <is>
          <t>HALLANDS LÄN</t>
        </is>
      </c>
      <c r="E4059" t="inlineStr">
        <is>
          <t>LAHOLM</t>
        </is>
      </c>
      <c r="G4059" t="n">
        <v>2.5</v>
      </c>
      <c r="H4059" t="n">
        <v>0</v>
      </c>
      <c r="I4059" t="n">
        <v>0</v>
      </c>
      <c r="J4059" t="n">
        <v>0</v>
      </c>
      <c r="K4059" t="n">
        <v>0</v>
      </c>
      <c r="L4059" t="n">
        <v>0</v>
      </c>
      <c r="M4059" t="n">
        <v>0</v>
      </c>
      <c r="N4059" t="n">
        <v>0</v>
      </c>
      <c r="O4059" t="n">
        <v>0</v>
      </c>
      <c r="P4059" t="n">
        <v>0</v>
      </c>
      <c r="Q4059" t="n">
        <v>0</v>
      </c>
      <c r="R4059" s="2" t="inlineStr"/>
    </row>
    <row r="4060" ht="15" customHeight="1">
      <c r="A4060" t="inlineStr">
        <is>
          <t>A 7783-2024</t>
        </is>
      </c>
      <c r="B4060" s="1" t="n">
        <v>45349</v>
      </c>
      <c r="C4060" s="1" t="n">
        <v>45358</v>
      </c>
      <c r="D4060" t="inlineStr">
        <is>
          <t>HALLANDS LÄN</t>
        </is>
      </c>
      <c r="E4060" t="inlineStr">
        <is>
          <t>LAHOLM</t>
        </is>
      </c>
      <c r="G4060" t="n">
        <v>0.8</v>
      </c>
      <c r="H4060" t="n">
        <v>0</v>
      </c>
      <c r="I4060" t="n">
        <v>0</v>
      </c>
      <c r="J4060" t="n">
        <v>0</v>
      </c>
      <c r="K4060" t="n">
        <v>0</v>
      </c>
      <c r="L4060" t="n">
        <v>0</v>
      </c>
      <c r="M4060" t="n">
        <v>0</v>
      </c>
      <c r="N4060" t="n">
        <v>0</v>
      </c>
      <c r="O4060" t="n">
        <v>0</v>
      </c>
      <c r="P4060" t="n">
        <v>0</v>
      </c>
      <c r="Q4060" t="n">
        <v>0</v>
      </c>
      <c r="R4060" s="2" t="inlineStr"/>
    </row>
    <row r="4061" ht="15" customHeight="1">
      <c r="A4061" t="inlineStr">
        <is>
          <t>A 7875-2024</t>
        </is>
      </c>
      <c r="B4061" s="1" t="n">
        <v>45350</v>
      </c>
      <c r="C4061" s="1" t="n">
        <v>45358</v>
      </c>
      <c r="D4061" t="inlineStr">
        <is>
          <t>HALLANDS LÄN</t>
        </is>
      </c>
      <c r="E4061" t="inlineStr">
        <is>
          <t>FALKENBERG</t>
        </is>
      </c>
      <c r="G4061" t="n">
        <v>0.7</v>
      </c>
      <c r="H4061" t="n">
        <v>0</v>
      </c>
      <c r="I4061" t="n">
        <v>0</v>
      </c>
      <c r="J4061" t="n">
        <v>0</v>
      </c>
      <c r="K4061" t="n">
        <v>0</v>
      </c>
      <c r="L4061" t="n">
        <v>0</v>
      </c>
      <c r="M4061" t="n">
        <v>0</v>
      </c>
      <c r="N4061" t="n">
        <v>0</v>
      </c>
      <c r="O4061" t="n">
        <v>0</v>
      </c>
      <c r="P4061" t="n">
        <v>0</v>
      </c>
      <c r="Q4061" t="n">
        <v>0</v>
      </c>
      <c r="R4061" s="2" t="inlineStr"/>
    </row>
    <row r="4062" ht="15" customHeight="1">
      <c r="A4062" t="inlineStr">
        <is>
          <t>A 7879-2024</t>
        </is>
      </c>
      <c r="B4062" s="1" t="n">
        <v>45350</v>
      </c>
      <c r="C4062" s="1" t="n">
        <v>45358</v>
      </c>
      <c r="D4062" t="inlineStr">
        <is>
          <t>HALLANDS LÄN</t>
        </is>
      </c>
      <c r="E4062" t="inlineStr">
        <is>
          <t>FALKENBERG</t>
        </is>
      </c>
      <c r="G4062" t="n">
        <v>1.2</v>
      </c>
      <c r="H4062" t="n">
        <v>0</v>
      </c>
      <c r="I4062" t="n">
        <v>0</v>
      </c>
      <c r="J4062" t="n">
        <v>0</v>
      </c>
      <c r="K4062" t="n">
        <v>0</v>
      </c>
      <c r="L4062" t="n">
        <v>0</v>
      </c>
      <c r="M4062" t="n">
        <v>0</v>
      </c>
      <c r="N4062" t="n">
        <v>0</v>
      </c>
      <c r="O4062" t="n">
        <v>0</v>
      </c>
      <c r="P4062" t="n">
        <v>0</v>
      </c>
      <c r="Q4062" t="n">
        <v>0</v>
      </c>
      <c r="R4062" s="2" t="inlineStr"/>
    </row>
    <row r="4063" ht="15" customHeight="1">
      <c r="A4063" t="inlineStr">
        <is>
          <t>A 7874-2024</t>
        </is>
      </c>
      <c r="B4063" s="1" t="n">
        <v>45350</v>
      </c>
      <c r="C4063" s="1" t="n">
        <v>45358</v>
      </c>
      <c r="D4063" t="inlineStr">
        <is>
          <t>HALLANDS LÄN</t>
        </is>
      </c>
      <c r="E4063" t="inlineStr">
        <is>
          <t>FALKENBERG</t>
        </is>
      </c>
      <c r="G4063" t="n">
        <v>0</v>
      </c>
      <c r="H4063" t="n">
        <v>0</v>
      </c>
      <c r="I4063" t="n">
        <v>0</v>
      </c>
      <c r="J4063" t="n">
        <v>0</v>
      </c>
      <c r="K4063" t="n">
        <v>0</v>
      </c>
      <c r="L4063" t="n">
        <v>0</v>
      </c>
      <c r="M4063" t="n">
        <v>0</v>
      </c>
      <c r="N4063" t="n">
        <v>0</v>
      </c>
      <c r="O4063" t="n">
        <v>0</v>
      </c>
      <c r="P4063" t="n">
        <v>0</v>
      </c>
      <c r="Q4063" t="n">
        <v>0</v>
      </c>
      <c r="R4063" s="2" t="inlineStr"/>
    </row>
    <row r="4064" ht="15" customHeight="1">
      <c r="A4064" t="inlineStr">
        <is>
          <t>A 7878-2024</t>
        </is>
      </c>
      <c r="B4064" s="1" t="n">
        <v>45350</v>
      </c>
      <c r="C4064" s="1" t="n">
        <v>45358</v>
      </c>
      <c r="D4064" t="inlineStr">
        <is>
          <t>HALLANDS LÄN</t>
        </is>
      </c>
      <c r="E4064" t="inlineStr">
        <is>
          <t>FALKENBERG</t>
        </is>
      </c>
      <c r="G4064" t="n">
        <v>1</v>
      </c>
      <c r="H4064" t="n">
        <v>0</v>
      </c>
      <c r="I4064" t="n">
        <v>0</v>
      </c>
      <c r="J4064" t="n">
        <v>0</v>
      </c>
      <c r="K4064" t="n">
        <v>0</v>
      </c>
      <c r="L4064" t="n">
        <v>0</v>
      </c>
      <c r="M4064" t="n">
        <v>0</v>
      </c>
      <c r="N4064" t="n">
        <v>0</v>
      </c>
      <c r="O4064" t="n">
        <v>0</v>
      </c>
      <c r="P4064" t="n">
        <v>0</v>
      </c>
      <c r="Q4064" t="n">
        <v>0</v>
      </c>
      <c r="R4064" s="2" t="inlineStr"/>
    </row>
    <row r="4065" ht="15" customHeight="1">
      <c r="A4065" t="inlineStr">
        <is>
          <t>A 7934-2024</t>
        </is>
      </c>
      <c r="B4065" s="1" t="n">
        <v>45350</v>
      </c>
      <c r="C4065" s="1" t="n">
        <v>45358</v>
      </c>
      <c r="D4065" t="inlineStr">
        <is>
          <t>HALLANDS LÄN</t>
        </is>
      </c>
      <c r="E4065" t="inlineStr">
        <is>
          <t>HYLTE</t>
        </is>
      </c>
      <c r="G4065" t="n">
        <v>2.1</v>
      </c>
      <c r="H4065" t="n">
        <v>0</v>
      </c>
      <c r="I4065" t="n">
        <v>0</v>
      </c>
      <c r="J4065" t="n">
        <v>0</v>
      </c>
      <c r="K4065" t="n">
        <v>0</v>
      </c>
      <c r="L4065" t="n">
        <v>0</v>
      </c>
      <c r="M4065" t="n">
        <v>0</v>
      </c>
      <c r="N4065" t="n">
        <v>0</v>
      </c>
      <c r="O4065" t="n">
        <v>0</v>
      </c>
      <c r="P4065" t="n">
        <v>0</v>
      </c>
      <c r="Q4065" t="n">
        <v>0</v>
      </c>
      <c r="R4065" s="2" t="inlineStr"/>
    </row>
    <row r="4066" ht="15" customHeight="1">
      <c r="A4066" t="inlineStr">
        <is>
          <t>A 7942-2024</t>
        </is>
      </c>
      <c r="B4066" s="1" t="n">
        <v>45350</v>
      </c>
      <c r="C4066" s="1" t="n">
        <v>45358</v>
      </c>
      <c r="D4066" t="inlineStr">
        <is>
          <t>HALLANDS LÄN</t>
        </is>
      </c>
      <c r="E4066" t="inlineStr">
        <is>
          <t>LAHOLM</t>
        </is>
      </c>
      <c r="G4066" t="n">
        <v>1.6</v>
      </c>
      <c r="H4066" t="n">
        <v>0</v>
      </c>
      <c r="I4066" t="n">
        <v>0</v>
      </c>
      <c r="J4066" t="n">
        <v>0</v>
      </c>
      <c r="K4066" t="n">
        <v>0</v>
      </c>
      <c r="L4066" t="n">
        <v>0</v>
      </c>
      <c r="M4066" t="n">
        <v>0</v>
      </c>
      <c r="N4066" t="n">
        <v>0</v>
      </c>
      <c r="O4066" t="n">
        <v>0</v>
      </c>
      <c r="P4066" t="n">
        <v>0</v>
      </c>
      <c r="Q4066" t="n">
        <v>0</v>
      </c>
      <c r="R4066" s="2" t="inlineStr"/>
    </row>
    <row r="4067" ht="15" customHeight="1">
      <c r="A4067" t="inlineStr">
        <is>
          <t>A 7956-2024</t>
        </is>
      </c>
      <c r="B4067" s="1" t="n">
        <v>45350</v>
      </c>
      <c r="C4067" s="1" t="n">
        <v>45358</v>
      </c>
      <c r="D4067" t="inlineStr">
        <is>
          <t>HALLANDS LÄN</t>
        </is>
      </c>
      <c r="E4067" t="inlineStr">
        <is>
          <t>FALKENBERG</t>
        </is>
      </c>
      <c r="G4067" t="n">
        <v>1.4</v>
      </c>
      <c r="H4067" t="n">
        <v>0</v>
      </c>
      <c r="I4067" t="n">
        <v>0</v>
      </c>
      <c r="J4067" t="n">
        <v>0</v>
      </c>
      <c r="K4067" t="n">
        <v>0</v>
      </c>
      <c r="L4067" t="n">
        <v>0</v>
      </c>
      <c r="M4067" t="n">
        <v>0</v>
      </c>
      <c r="N4067" t="n">
        <v>0</v>
      </c>
      <c r="O4067" t="n">
        <v>0</v>
      </c>
      <c r="P4067" t="n">
        <v>0</v>
      </c>
      <c r="Q4067" t="n">
        <v>0</v>
      </c>
      <c r="R4067" s="2" t="inlineStr"/>
    </row>
    <row r="4068" ht="15" customHeight="1">
      <c r="A4068" t="inlineStr">
        <is>
          <t>A 7877-2024</t>
        </is>
      </c>
      <c r="B4068" s="1" t="n">
        <v>45350</v>
      </c>
      <c r="C4068" s="1" t="n">
        <v>45358</v>
      </c>
      <c r="D4068" t="inlineStr">
        <is>
          <t>HALLANDS LÄN</t>
        </is>
      </c>
      <c r="E4068" t="inlineStr">
        <is>
          <t>FALKENBERG</t>
        </is>
      </c>
      <c r="G4068" t="n">
        <v>0.5</v>
      </c>
      <c r="H4068" t="n">
        <v>0</v>
      </c>
      <c r="I4068" t="n">
        <v>0</v>
      </c>
      <c r="J4068" t="n">
        <v>0</v>
      </c>
      <c r="K4068" t="n">
        <v>0</v>
      </c>
      <c r="L4068" t="n">
        <v>0</v>
      </c>
      <c r="M4068" t="n">
        <v>0</v>
      </c>
      <c r="N4068" t="n">
        <v>0</v>
      </c>
      <c r="O4068" t="n">
        <v>0</v>
      </c>
      <c r="P4068" t="n">
        <v>0</v>
      </c>
      <c r="Q4068" t="n">
        <v>0</v>
      </c>
      <c r="R4068" s="2" t="inlineStr"/>
    </row>
    <row r="4069" ht="15" customHeight="1">
      <c r="A4069" t="inlineStr">
        <is>
          <t>A 8101-2024</t>
        </is>
      </c>
      <c r="B4069" s="1" t="n">
        <v>45351</v>
      </c>
      <c r="C4069" s="1" t="n">
        <v>45358</v>
      </c>
      <c r="D4069" t="inlineStr">
        <is>
          <t>HALLANDS LÄN</t>
        </is>
      </c>
      <c r="E4069" t="inlineStr">
        <is>
          <t>HALMSTAD</t>
        </is>
      </c>
      <c r="G4069" t="n">
        <v>1.6</v>
      </c>
      <c r="H4069" t="n">
        <v>0</v>
      </c>
      <c r="I4069" t="n">
        <v>0</v>
      </c>
      <c r="J4069" t="n">
        <v>0</v>
      </c>
      <c r="K4069" t="n">
        <v>0</v>
      </c>
      <c r="L4069" t="n">
        <v>0</v>
      </c>
      <c r="M4069" t="n">
        <v>0</v>
      </c>
      <c r="N4069" t="n">
        <v>0</v>
      </c>
      <c r="O4069" t="n">
        <v>0</v>
      </c>
      <c r="P4069" t="n">
        <v>0</v>
      </c>
      <c r="Q4069" t="n">
        <v>0</v>
      </c>
      <c r="R4069" s="2" t="inlineStr"/>
    </row>
    <row r="4070" ht="15" customHeight="1">
      <c r="A4070" t="inlineStr">
        <is>
          <t>A 8122-2024</t>
        </is>
      </c>
      <c r="B4070" s="1" t="n">
        <v>45351</v>
      </c>
      <c r="C4070" s="1" t="n">
        <v>45358</v>
      </c>
      <c r="D4070" t="inlineStr">
        <is>
          <t>HALLANDS LÄN</t>
        </is>
      </c>
      <c r="E4070" t="inlineStr">
        <is>
          <t>HYLTE</t>
        </is>
      </c>
      <c r="G4070" t="n">
        <v>1.2</v>
      </c>
      <c r="H4070" t="n">
        <v>0</v>
      </c>
      <c r="I4070" t="n">
        <v>0</v>
      </c>
      <c r="J4070" t="n">
        <v>0</v>
      </c>
      <c r="K4070" t="n">
        <v>0</v>
      </c>
      <c r="L4070" t="n">
        <v>0</v>
      </c>
      <c r="M4070" t="n">
        <v>0</v>
      </c>
      <c r="N4070" t="n">
        <v>0</v>
      </c>
      <c r="O4070" t="n">
        <v>0</v>
      </c>
      <c r="P4070" t="n">
        <v>0</v>
      </c>
      <c r="Q4070" t="n">
        <v>0</v>
      </c>
      <c r="R4070" s="2" t="inlineStr"/>
    </row>
    <row r="4071" ht="15" customHeight="1">
      <c r="A4071" t="inlineStr">
        <is>
          <t>A 8140-2024</t>
        </is>
      </c>
      <c r="B4071" s="1" t="n">
        <v>45351</v>
      </c>
      <c r="C4071" s="1" t="n">
        <v>45358</v>
      </c>
      <c r="D4071" t="inlineStr">
        <is>
          <t>HALLANDS LÄN</t>
        </is>
      </c>
      <c r="E4071" t="inlineStr">
        <is>
          <t>HYLTE</t>
        </is>
      </c>
      <c r="G4071" t="n">
        <v>1.1</v>
      </c>
      <c r="H4071" t="n">
        <v>0</v>
      </c>
      <c r="I4071" t="n">
        <v>0</v>
      </c>
      <c r="J4071" t="n">
        <v>0</v>
      </c>
      <c r="K4071" t="n">
        <v>0</v>
      </c>
      <c r="L4071" t="n">
        <v>0</v>
      </c>
      <c r="M4071" t="n">
        <v>0</v>
      </c>
      <c r="N4071" t="n">
        <v>0</v>
      </c>
      <c r="O4071" t="n">
        <v>0</v>
      </c>
      <c r="P4071" t="n">
        <v>0</v>
      </c>
      <c r="Q4071" t="n">
        <v>0</v>
      </c>
      <c r="R4071" s="2" t="inlineStr"/>
    </row>
    <row r="4072" ht="15" customHeight="1">
      <c r="A4072" t="inlineStr">
        <is>
          <t>A 8374-2024</t>
        </is>
      </c>
      <c r="B4072" s="1" t="n">
        <v>45351</v>
      </c>
      <c r="C4072" s="1" t="n">
        <v>45358</v>
      </c>
      <c r="D4072" t="inlineStr">
        <is>
          <t>HALLANDS LÄN</t>
        </is>
      </c>
      <c r="E4072" t="inlineStr">
        <is>
          <t>HYLTE</t>
        </is>
      </c>
      <c r="F4072" t="inlineStr">
        <is>
          <t>Kommuner</t>
        </is>
      </c>
      <c r="G4072" t="n">
        <v>2.4</v>
      </c>
      <c r="H4072" t="n">
        <v>0</v>
      </c>
      <c r="I4072" t="n">
        <v>0</v>
      </c>
      <c r="J4072" t="n">
        <v>0</v>
      </c>
      <c r="K4072" t="n">
        <v>0</v>
      </c>
      <c r="L4072" t="n">
        <v>0</v>
      </c>
      <c r="M4072" t="n">
        <v>0</v>
      </c>
      <c r="N4072" t="n">
        <v>0</v>
      </c>
      <c r="O4072" t="n">
        <v>0</v>
      </c>
      <c r="P4072" t="n">
        <v>0</v>
      </c>
      <c r="Q4072" t="n">
        <v>0</v>
      </c>
      <c r="R4072" s="2" t="inlineStr"/>
    </row>
    <row r="4073" ht="15" customHeight="1">
      <c r="A4073" t="inlineStr">
        <is>
          <t>A 8058-2024</t>
        </is>
      </c>
      <c r="B4073" s="1" t="n">
        <v>45351</v>
      </c>
      <c r="C4073" s="1" t="n">
        <v>45358</v>
      </c>
      <c r="D4073" t="inlineStr">
        <is>
          <t>HALLANDS LÄN</t>
        </is>
      </c>
      <c r="E4073" t="inlineStr">
        <is>
          <t>FALKENBERG</t>
        </is>
      </c>
      <c r="G4073" t="n">
        <v>3.8</v>
      </c>
      <c r="H4073" t="n">
        <v>0</v>
      </c>
      <c r="I4073" t="n">
        <v>0</v>
      </c>
      <c r="J4073" t="n">
        <v>0</v>
      </c>
      <c r="K4073" t="n">
        <v>0</v>
      </c>
      <c r="L4073" t="n">
        <v>0</v>
      </c>
      <c r="M4073" t="n">
        <v>0</v>
      </c>
      <c r="N4073" t="n">
        <v>0</v>
      </c>
      <c r="O4073" t="n">
        <v>0</v>
      </c>
      <c r="P4073" t="n">
        <v>0</v>
      </c>
      <c r="Q4073" t="n">
        <v>0</v>
      </c>
      <c r="R4073" s="2" t="inlineStr"/>
    </row>
    <row r="4074" ht="15" customHeight="1">
      <c r="A4074" t="inlineStr">
        <is>
          <t>A 8128-2024</t>
        </is>
      </c>
      <c r="B4074" s="1" t="n">
        <v>45351</v>
      </c>
      <c r="C4074" s="1" t="n">
        <v>45358</v>
      </c>
      <c r="D4074" t="inlineStr">
        <is>
          <t>HALLANDS LÄN</t>
        </is>
      </c>
      <c r="E4074" t="inlineStr">
        <is>
          <t>HYLTE</t>
        </is>
      </c>
      <c r="G4074" t="n">
        <v>0.6</v>
      </c>
      <c r="H4074" t="n">
        <v>0</v>
      </c>
      <c r="I4074" t="n">
        <v>0</v>
      </c>
      <c r="J4074" t="n">
        <v>0</v>
      </c>
      <c r="K4074" t="n">
        <v>0</v>
      </c>
      <c r="L4074" t="n">
        <v>0</v>
      </c>
      <c r="M4074" t="n">
        <v>0</v>
      </c>
      <c r="N4074" t="n">
        <v>0</v>
      </c>
      <c r="O4074" t="n">
        <v>0</v>
      </c>
      <c r="P4074" t="n">
        <v>0</v>
      </c>
      <c r="Q4074" t="n">
        <v>0</v>
      </c>
      <c r="R4074" s="2" t="inlineStr"/>
    </row>
    <row r="4075" ht="15" customHeight="1">
      <c r="A4075" t="inlineStr">
        <is>
          <t>A 8135-2024</t>
        </is>
      </c>
      <c r="B4075" s="1" t="n">
        <v>45351</v>
      </c>
      <c r="C4075" s="1" t="n">
        <v>45358</v>
      </c>
      <c r="D4075" t="inlineStr">
        <is>
          <t>HALLANDS LÄN</t>
        </is>
      </c>
      <c r="E4075" t="inlineStr">
        <is>
          <t>HYLTE</t>
        </is>
      </c>
      <c r="G4075" t="n">
        <v>1.4</v>
      </c>
      <c r="H4075" t="n">
        <v>0</v>
      </c>
      <c r="I4075" t="n">
        <v>0</v>
      </c>
      <c r="J4075" t="n">
        <v>0</v>
      </c>
      <c r="K4075" t="n">
        <v>0</v>
      </c>
      <c r="L4075" t="n">
        <v>0</v>
      </c>
      <c r="M4075" t="n">
        <v>0</v>
      </c>
      <c r="N4075" t="n">
        <v>0</v>
      </c>
      <c r="O4075" t="n">
        <v>0</v>
      </c>
      <c r="P4075" t="n">
        <v>0</v>
      </c>
      <c r="Q4075" t="n">
        <v>0</v>
      </c>
      <c r="R4075" s="2" t="inlineStr"/>
    </row>
    <row r="4076" ht="15" customHeight="1">
      <c r="A4076" t="inlineStr">
        <is>
          <t>A 8249-2024</t>
        </is>
      </c>
      <c r="B4076" s="1" t="n">
        <v>45352</v>
      </c>
      <c r="C4076" s="1" t="n">
        <v>45358</v>
      </c>
      <c r="D4076" t="inlineStr">
        <is>
          <t>HALLANDS LÄN</t>
        </is>
      </c>
      <c r="E4076" t="inlineStr">
        <is>
          <t>VARBERG</t>
        </is>
      </c>
      <c r="G4076" t="n">
        <v>1.2</v>
      </c>
      <c r="H4076" t="n">
        <v>0</v>
      </c>
      <c r="I4076" t="n">
        <v>0</v>
      </c>
      <c r="J4076" t="n">
        <v>0</v>
      </c>
      <c r="K4076" t="n">
        <v>0</v>
      </c>
      <c r="L4076" t="n">
        <v>0</v>
      </c>
      <c r="M4076" t="n">
        <v>0</v>
      </c>
      <c r="N4076" t="n">
        <v>0</v>
      </c>
      <c r="O4076" t="n">
        <v>0</v>
      </c>
      <c r="P4076" t="n">
        <v>0</v>
      </c>
      <c r="Q4076" t="n">
        <v>0</v>
      </c>
      <c r="R4076" s="2" t="inlineStr"/>
    </row>
    <row r="4077" ht="15" customHeight="1">
      <c r="A4077" t="inlineStr">
        <is>
          <t>A 8254-2024</t>
        </is>
      </c>
      <c r="B4077" s="1" t="n">
        <v>45352</v>
      </c>
      <c r="C4077" s="1" t="n">
        <v>45358</v>
      </c>
      <c r="D4077" t="inlineStr">
        <is>
          <t>HALLANDS LÄN</t>
        </is>
      </c>
      <c r="E4077" t="inlineStr">
        <is>
          <t>VARBERG</t>
        </is>
      </c>
      <c r="G4077" t="n">
        <v>0.5</v>
      </c>
      <c r="H4077" t="n">
        <v>0</v>
      </c>
      <c r="I4077" t="n">
        <v>0</v>
      </c>
      <c r="J4077" t="n">
        <v>0</v>
      </c>
      <c r="K4077" t="n">
        <v>0</v>
      </c>
      <c r="L4077" t="n">
        <v>0</v>
      </c>
      <c r="M4077" t="n">
        <v>0</v>
      </c>
      <c r="N4077" t="n">
        <v>0</v>
      </c>
      <c r="O4077" t="n">
        <v>0</v>
      </c>
      <c r="P4077" t="n">
        <v>0</v>
      </c>
      <c r="Q4077" t="n">
        <v>0</v>
      </c>
      <c r="R4077" s="2" t="inlineStr"/>
    </row>
    <row r="4078" ht="15" customHeight="1">
      <c r="A4078" t="inlineStr">
        <is>
          <t>A 8274-2024</t>
        </is>
      </c>
      <c r="B4078" s="1" t="n">
        <v>45352</v>
      </c>
      <c r="C4078" s="1" t="n">
        <v>45358</v>
      </c>
      <c r="D4078" t="inlineStr">
        <is>
          <t>HALLANDS LÄN</t>
        </is>
      </c>
      <c r="E4078" t="inlineStr">
        <is>
          <t>LAHOLM</t>
        </is>
      </c>
      <c r="G4078" t="n">
        <v>1</v>
      </c>
      <c r="H4078" t="n">
        <v>0</v>
      </c>
      <c r="I4078" t="n">
        <v>0</v>
      </c>
      <c r="J4078" t="n">
        <v>0</v>
      </c>
      <c r="K4078" t="n">
        <v>0</v>
      </c>
      <c r="L4078" t="n">
        <v>0</v>
      </c>
      <c r="M4078" t="n">
        <v>0</v>
      </c>
      <c r="N4078" t="n">
        <v>0</v>
      </c>
      <c r="O4078" t="n">
        <v>0</v>
      </c>
      <c r="P4078" t="n">
        <v>0</v>
      </c>
      <c r="Q4078" t="n">
        <v>0</v>
      </c>
      <c r="R4078" s="2" t="inlineStr"/>
    </row>
    <row r="4079" ht="15" customHeight="1">
      <c r="A4079" t="inlineStr">
        <is>
          <t>A 8305-2024</t>
        </is>
      </c>
      <c r="B4079" s="1" t="n">
        <v>45352</v>
      </c>
      <c r="C4079" s="1" t="n">
        <v>45358</v>
      </c>
      <c r="D4079" t="inlineStr">
        <is>
          <t>HALLANDS LÄN</t>
        </is>
      </c>
      <c r="E4079" t="inlineStr">
        <is>
          <t>HYLTE</t>
        </is>
      </c>
      <c r="G4079" t="n">
        <v>0.7</v>
      </c>
      <c r="H4079" t="n">
        <v>0</v>
      </c>
      <c r="I4079" t="n">
        <v>0</v>
      </c>
      <c r="J4079" t="n">
        <v>0</v>
      </c>
      <c r="K4079" t="n">
        <v>0</v>
      </c>
      <c r="L4079" t="n">
        <v>0</v>
      </c>
      <c r="M4079" t="n">
        <v>0</v>
      </c>
      <c r="N4079" t="n">
        <v>0</v>
      </c>
      <c r="O4079" t="n">
        <v>0</v>
      </c>
      <c r="P4079" t="n">
        <v>0</v>
      </c>
      <c r="Q4079" t="n">
        <v>0</v>
      </c>
      <c r="R4079" s="2" t="inlineStr"/>
    </row>
    <row r="4080" ht="15" customHeight="1">
      <c r="A4080" t="inlineStr">
        <is>
          <t>A 8318-2024</t>
        </is>
      </c>
      <c r="B4080" s="1" t="n">
        <v>45352</v>
      </c>
      <c r="C4080" s="1" t="n">
        <v>45358</v>
      </c>
      <c r="D4080" t="inlineStr">
        <is>
          <t>HALLANDS LÄN</t>
        </is>
      </c>
      <c r="E4080" t="inlineStr">
        <is>
          <t>HYLTE</t>
        </is>
      </c>
      <c r="G4080" t="n">
        <v>0.6</v>
      </c>
      <c r="H4080" t="n">
        <v>0</v>
      </c>
      <c r="I4080" t="n">
        <v>0</v>
      </c>
      <c r="J4080" t="n">
        <v>0</v>
      </c>
      <c r="K4080" t="n">
        <v>0</v>
      </c>
      <c r="L4080" t="n">
        <v>0</v>
      </c>
      <c r="M4080" t="n">
        <v>0</v>
      </c>
      <c r="N4080" t="n">
        <v>0</v>
      </c>
      <c r="O4080" t="n">
        <v>0</v>
      </c>
      <c r="P4080" t="n">
        <v>0</v>
      </c>
      <c r="Q4080" t="n">
        <v>0</v>
      </c>
      <c r="R4080" s="2" t="inlineStr"/>
    </row>
    <row r="4081" ht="15" customHeight="1">
      <c r="A4081" t="inlineStr">
        <is>
          <t>A 8353-2024</t>
        </is>
      </c>
      <c r="B4081" s="1" t="n">
        <v>45352</v>
      </c>
      <c r="C4081" s="1" t="n">
        <v>45358</v>
      </c>
      <c r="D4081" t="inlineStr">
        <is>
          <t>HALLANDS LÄN</t>
        </is>
      </c>
      <c r="E4081" t="inlineStr">
        <is>
          <t>HYLTE</t>
        </is>
      </c>
      <c r="G4081" t="n">
        <v>2.1</v>
      </c>
      <c r="H4081" t="n">
        <v>0</v>
      </c>
      <c r="I4081" t="n">
        <v>0</v>
      </c>
      <c r="J4081" t="n">
        <v>0</v>
      </c>
      <c r="K4081" t="n">
        <v>0</v>
      </c>
      <c r="L4081" t="n">
        <v>0</v>
      </c>
      <c r="M4081" t="n">
        <v>0</v>
      </c>
      <c r="N4081" t="n">
        <v>0</v>
      </c>
      <c r="O4081" t="n">
        <v>0</v>
      </c>
      <c r="P4081" t="n">
        <v>0</v>
      </c>
      <c r="Q4081" t="n">
        <v>0</v>
      </c>
      <c r="R4081" s="2" t="inlineStr"/>
    </row>
    <row r="4082" ht="15" customHeight="1">
      <c r="A4082" t="inlineStr">
        <is>
          <t>A 8287-2024</t>
        </is>
      </c>
      <c r="B4082" s="1" t="n">
        <v>45352</v>
      </c>
      <c r="C4082" s="1" t="n">
        <v>45358</v>
      </c>
      <c r="D4082" t="inlineStr">
        <is>
          <t>HALLANDS LÄN</t>
        </is>
      </c>
      <c r="E4082" t="inlineStr">
        <is>
          <t>HYLTE</t>
        </is>
      </c>
      <c r="G4082" t="n">
        <v>0.5</v>
      </c>
      <c r="H4082" t="n">
        <v>0</v>
      </c>
      <c r="I4082" t="n">
        <v>0</v>
      </c>
      <c r="J4082" t="n">
        <v>0</v>
      </c>
      <c r="K4082" t="n">
        <v>0</v>
      </c>
      <c r="L4082" t="n">
        <v>0</v>
      </c>
      <c r="M4082" t="n">
        <v>0</v>
      </c>
      <c r="N4082" t="n">
        <v>0</v>
      </c>
      <c r="O4082" t="n">
        <v>0</v>
      </c>
      <c r="P4082" t="n">
        <v>0</v>
      </c>
      <c r="Q4082" t="n">
        <v>0</v>
      </c>
      <c r="R4082" s="2" t="inlineStr"/>
    </row>
    <row r="4083" ht="15" customHeight="1">
      <c r="A4083" t="inlineStr">
        <is>
          <t>A 8301-2024</t>
        </is>
      </c>
      <c r="B4083" s="1" t="n">
        <v>45352</v>
      </c>
      <c r="C4083" s="1" t="n">
        <v>45358</v>
      </c>
      <c r="D4083" t="inlineStr">
        <is>
          <t>HALLANDS LÄN</t>
        </is>
      </c>
      <c r="E4083" t="inlineStr">
        <is>
          <t>HYLTE</t>
        </is>
      </c>
      <c r="G4083" t="n">
        <v>1.3</v>
      </c>
      <c r="H4083" t="n">
        <v>0</v>
      </c>
      <c r="I4083" t="n">
        <v>0</v>
      </c>
      <c r="J4083" t="n">
        <v>0</v>
      </c>
      <c r="K4083" t="n">
        <v>0</v>
      </c>
      <c r="L4083" t="n">
        <v>0</v>
      </c>
      <c r="M4083" t="n">
        <v>0</v>
      </c>
      <c r="N4083" t="n">
        <v>0</v>
      </c>
      <c r="O4083" t="n">
        <v>0</v>
      </c>
      <c r="P4083" t="n">
        <v>0</v>
      </c>
      <c r="Q4083" t="n">
        <v>0</v>
      </c>
      <c r="R4083" s="2" t="inlineStr"/>
    </row>
    <row r="4084" ht="15" customHeight="1">
      <c r="A4084" t="inlineStr">
        <is>
          <t>A 8393-2024</t>
        </is>
      </c>
      <c r="B4084" s="1" t="n">
        <v>45352</v>
      </c>
      <c r="C4084" s="1" t="n">
        <v>45358</v>
      </c>
      <c r="D4084" t="inlineStr">
        <is>
          <t>HALLANDS LÄN</t>
        </is>
      </c>
      <c r="E4084" t="inlineStr">
        <is>
          <t>FALKENBERG</t>
        </is>
      </c>
      <c r="G4084" t="n">
        <v>1.3</v>
      </c>
      <c r="H4084" t="n">
        <v>0</v>
      </c>
      <c r="I4084" t="n">
        <v>0</v>
      </c>
      <c r="J4084" t="n">
        <v>0</v>
      </c>
      <c r="K4084" t="n">
        <v>0</v>
      </c>
      <c r="L4084" t="n">
        <v>0</v>
      </c>
      <c r="M4084" t="n">
        <v>0</v>
      </c>
      <c r="N4084" t="n">
        <v>0</v>
      </c>
      <c r="O4084" t="n">
        <v>0</v>
      </c>
      <c r="P4084" t="n">
        <v>0</v>
      </c>
      <c r="Q4084" t="n">
        <v>0</v>
      </c>
      <c r="R4084" s="2" t="inlineStr"/>
    </row>
    <row r="4085" ht="15" customHeight="1">
      <c r="A4085" t="inlineStr">
        <is>
          <t>A 8293-2024</t>
        </is>
      </c>
      <c r="B4085" s="1" t="n">
        <v>45352</v>
      </c>
      <c r="C4085" s="1" t="n">
        <v>45358</v>
      </c>
      <c r="D4085" t="inlineStr">
        <is>
          <t>HALLANDS LÄN</t>
        </is>
      </c>
      <c r="E4085" t="inlineStr">
        <is>
          <t>HYLTE</t>
        </is>
      </c>
      <c r="G4085" t="n">
        <v>0.7</v>
      </c>
      <c r="H4085" t="n">
        <v>0</v>
      </c>
      <c r="I4085" t="n">
        <v>0</v>
      </c>
      <c r="J4085" t="n">
        <v>0</v>
      </c>
      <c r="K4085" t="n">
        <v>0</v>
      </c>
      <c r="L4085" t="n">
        <v>0</v>
      </c>
      <c r="M4085" t="n">
        <v>0</v>
      </c>
      <c r="N4085" t="n">
        <v>0</v>
      </c>
      <c r="O4085" t="n">
        <v>0</v>
      </c>
      <c r="P4085" t="n">
        <v>0</v>
      </c>
      <c r="Q4085" t="n">
        <v>0</v>
      </c>
      <c r="R4085" s="2" t="inlineStr"/>
    </row>
    <row r="4086" ht="15" customHeight="1">
      <c r="A4086" t="inlineStr">
        <is>
          <t>A 8298-2024</t>
        </is>
      </c>
      <c r="B4086" s="1" t="n">
        <v>45352</v>
      </c>
      <c r="C4086" s="1" t="n">
        <v>45358</v>
      </c>
      <c r="D4086" t="inlineStr">
        <is>
          <t>HALLANDS LÄN</t>
        </is>
      </c>
      <c r="E4086" t="inlineStr">
        <is>
          <t>HYLTE</t>
        </is>
      </c>
      <c r="G4086" t="n">
        <v>4.6</v>
      </c>
      <c r="H4086" t="n">
        <v>0</v>
      </c>
      <c r="I4086" t="n">
        <v>0</v>
      </c>
      <c r="J4086" t="n">
        <v>0</v>
      </c>
      <c r="K4086" t="n">
        <v>0</v>
      </c>
      <c r="L4086" t="n">
        <v>0</v>
      </c>
      <c r="M4086" t="n">
        <v>0</v>
      </c>
      <c r="N4086" t="n">
        <v>0</v>
      </c>
      <c r="O4086" t="n">
        <v>0</v>
      </c>
      <c r="P4086" t="n">
        <v>0</v>
      </c>
      <c r="Q4086" t="n">
        <v>0</v>
      </c>
      <c r="R4086" s="2" t="inlineStr"/>
    </row>
    <row r="4087" ht="15" customHeight="1">
      <c r="A4087" t="inlineStr">
        <is>
          <t>A 8351-2024</t>
        </is>
      </c>
      <c r="B4087" s="1" t="n">
        <v>45352</v>
      </c>
      <c r="C4087" s="1" t="n">
        <v>45358</v>
      </c>
      <c r="D4087" t="inlineStr">
        <is>
          <t>HALLANDS LÄN</t>
        </is>
      </c>
      <c r="E4087" t="inlineStr">
        <is>
          <t>HYLTE</t>
        </is>
      </c>
      <c r="G4087" t="n">
        <v>1.7</v>
      </c>
      <c r="H4087" t="n">
        <v>0</v>
      </c>
      <c r="I4087" t="n">
        <v>0</v>
      </c>
      <c r="J4087" t="n">
        <v>0</v>
      </c>
      <c r="K4087" t="n">
        <v>0</v>
      </c>
      <c r="L4087" t="n">
        <v>0</v>
      </c>
      <c r="M4087" t="n">
        <v>0</v>
      </c>
      <c r="N4087" t="n">
        <v>0</v>
      </c>
      <c r="O4087" t="n">
        <v>0</v>
      </c>
      <c r="P4087" t="n">
        <v>0</v>
      </c>
      <c r="Q4087" t="n">
        <v>0</v>
      </c>
      <c r="R4087" s="2" t="inlineStr"/>
    </row>
    <row r="4088" ht="15" customHeight="1">
      <c r="A4088" t="inlineStr">
        <is>
          <t>A 8391-2024</t>
        </is>
      </c>
      <c r="B4088" s="1" t="n">
        <v>45352</v>
      </c>
      <c r="C4088" s="1" t="n">
        <v>45358</v>
      </c>
      <c r="D4088" t="inlineStr">
        <is>
          <t>HALLANDS LÄN</t>
        </is>
      </c>
      <c r="E4088" t="inlineStr">
        <is>
          <t>FALKENBERG</t>
        </is>
      </c>
      <c r="G4088" t="n">
        <v>7.7</v>
      </c>
      <c r="H4088" t="n">
        <v>0</v>
      </c>
      <c r="I4088" t="n">
        <v>0</v>
      </c>
      <c r="J4088" t="n">
        <v>0</v>
      </c>
      <c r="K4088" t="n">
        <v>0</v>
      </c>
      <c r="L4088" t="n">
        <v>0</v>
      </c>
      <c r="M4088" t="n">
        <v>0</v>
      </c>
      <c r="N4088" t="n">
        <v>0</v>
      </c>
      <c r="O4088" t="n">
        <v>0</v>
      </c>
      <c r="P4088" t="n">
        <v>0</v>
      </c>
      <c r="Q4088" t="n">
        <v>0</v>
      </c>
      <c r="R4088" s="2" t="inlineStr"/>
    </row>
    <row r="4089" ht="15" customHeight="1">
      <c r="A4089" t="inlineStr">
        <is>
          <t>A 8484-2024</t>
        </is>
      </c>
      <c r="B4089" s="1" t="n">
        <v>45355</v>
      </c>
      <c r="C4089" s="1" t="n">
        <v>45358</v>
      </c>
      <c r="D4089" t="inlineStr">
        <is>
          <t>HALLANDS LÄN</t>
        </is>
      </c>
      <c r="E4089" t="inlineStr">
        <is>
          <t>FALKENBERG</t>
        </is>
      </c>
      <c r="G4089" t="n">
        <v>1.1</v>
      </c>
      <c r="H4089" t="n">
        <v>0</v>
      </c>
      <c r="I4089" t="n">
        <v>0</v>
      </c>
      <c r="J4089" t="n">
        <v>0</v>
      </c>
      <c r="K4089" t="n">
        <v>0</v>
      </c>
      <c r="L4089" t="n">
        <v>0</v>
      </c>
      <c r="M4089" t="n">
        <v>0</v>
      </c>
      <c r="N4089" t="n">
        <v>0</v>
      </c>
      <c r="O4089" t="n">
        <v>0</v>
      </c>
      <c r="P4089" t="n">
        <v>0</v>
      </c>
      <c r="Q4089" t="n">
        <v>0</v>
      </c>
      <c r="R4089" s="2" t="inlineStr"/>
    </row>
    <row r="4090" ht="15" customHeight="1">
      <c r="A4090" t="inlineStr">
        <is>
          <t>A 8483-2024</t>
        </is>
      </c>
      <c r="B4090" s="1" t="n">
        <v>45355</v>
      </c>
      <c r="C4090" s="1" t="n">
        <v>45358</v>
      </c>
      <c r="D4090" t="inlineStr">
        <is>
          <t>HALLANDS LÄN</t>
        </is>
      </c>
      <c r="E4090" t="inlineStr">
        <is>
          <t>FALKENBERG</t>
        </is>
      </c>
      <c r="G4090" t="n">
        <v>2.7</v>
      </c>
      <c r="H4090" t="n">
        <v>0</v>
      </c>
      <c r="I4090" t="n">
        <v>0</v>
      </c>
      <c r="J4090" t="n">
        <v>0</v>
      </c>
      <c r="K4090" t="n">
        <v>0</v>
      </c>
      <c r="L4090" t="n">
        <v>0</v>
      </c>
      <c r="M4090" t="n">
        <v>0</v>
      </c>
      <c r="N4090" t="n">
        <v>0</v>
      </c>
      <c r="O4090" t="n">
        <v>0</v>
      </c>
      <c r="P4090" t="n">
        <v>0</v>
      </c>
      <c r="Q4090" t="n">
        <v>0</v>
      </c>
      <c r="R4090" s="2" t="inlineStr"/>
    </row>
    <row r="4091" ht="15" customHeight="1">
      <c r="A4091" t="inlineStr">
        <is>
          <t>A 8516-2024</t>
        </is>
      </c>
      <c r="B4091" s="1" t="n">
        <v>45355</v>
      </c>
      <c r="C4091" s="1" t="n">
        <v>45358</v>
      </c>
      <c r="D4091" t="inlineStr">
        <is>
          <t>HALLANDS LÄN</t>
        </is>
      </c>
      <c r="E4091" t="inlineStr">
        <is>
          <t>FALKENBERG</t>
        </is>
      </c>
      <c r="G4091" t="n">
        <v>1.2</v>
      </c>
      <c r="H4091" t="n">
        <v>0</v>
      </c>
      <c r="I4091" t="n">
        <v>0</v>
      </c>
      <c r="J4091" t="n">
        <v>0</v>
      </c>
      <c r="K4091" t="n">
        <v>0</v>
      </c>
      <c r="L4091" t="n">
        <v>0</v>
      </c>
      <c r="M4091" t="n">
        <v>0</v>
      </c>
      <c r="N4091" t="n">
        <v>0</v>
      </c>
      <c r="O4091" t="n">
        <v>0</v>
      </c>
      <c r="P4091" t="n">
        <v>0</v>
      </c>
      <c r="Q4091" t="n">
        <v>0</v>
      </c>
      <c r="R4091" s="2" t="inlineStr"/>
    </row>
    <row r="4092" ht="15" customHeight="1">
      <c r="A4092" t="inlineStr">
        <is>
          <t>A 8605-2024</t>
        </is>
      </c>
      <c r="B4092" s="1" t="n">
        <v>45355</v>
      </c>
      <c r="C4092" s="1" t="n">
        <v>45358</v>
      </c>
      <c r="D4092" t="inlineStr">
        <is>
          <t>HALLANDS LÄN</t>
        </is>
      </c>
      <c r="E4092" t="inlineStr">
        <is>
          <t>LAHOLM</t>
        </is>
      </c>
      <c r="G4092" t="n">
        <v>3.9</v>
      </c>
      <c r="H4092" t="n">
        <v>0</v>
      </c>
      <c r="I4092" t="n">
        <v>0</v>
      </c>
      <c r="J4092" t="n">
        <v>0</v>
      </c>
      <c r="K4092" t="n">
        <v>0</v>
      </c>
      <c r="L4092" t="n">
        <v>0</v>
      </c>
      <c r="M4092" t="n">
        <v>0</v>
      </c>
      <c r="N4092" t="n">
        <v>0</v>
      </c>
      <c r="O4092" t="n">
        <v>0</v>
      </c>
      <c r="P4092" t="n">
        <v>0</v>
      </c>
      <c r="Q4092" t="n">
        <v>0</v>
      </c>
      <c r="R4092" s="2" t="inlineStr"/>
    </row>
    <row r="4093" ht="15" customHeight="1">
      <c r="A4093" t="inlineStr">
        <is>
          <t>A 8709-2024</t>
        </is>
      </c>
      <c r="B4093" s="1" t="n">
        <v>45356</v>
      </c>
      <c r="C4093" s="1" t="n">
        <v>45358</v>
      </c>
      <c r="D4093" t="inlineStr">
        <is>
          <t>HALLANDS LÄN</t>
        </is>
      </c>
      <c r="E4093" t="inlineStr">
        <is>
          <t>HALMSTAD</t>
        </is>
      </c>
      <c r="G4093" t="n">
        <v>3.7</v>
      </c>
      <c r="H4093" t="n">
        <v>0</v>
      </c>
      <c r="I4093" t="n">
        <v>0</v>
      </c>
      <c r="J4093" t="n">
        <v>0</v>
      </c>
      <c r="K4093" t="n">
        <v>0</v>
      </c>
      <c r="L4093" t="n">
        <v>0</v>
      </c>
      <c r="M4093" t="n">
        <v>0</v>
      </c>
      <c r="N4093" t="n">
        <v>0</v>
      </c>
      <c r="O4093" t="n">
        <v>0</v>
      </c>
      <c r="P4093" t="n">
        <v>0</v>
      </c>
      <c r="Q4093" t="n">
        <v>0</v>
      </c>
      <c r="R4093" s="2" t="inlineStr"/>
    </row>
    <row r="4094" ht="15" customHeight="1">
      <c r="A4094" t="inlineStr">
        <is>
          <t>A 8680-2024</t>
        </is>
      </c>
      <c r="B4094" s="1" t="n">
        <v>45356</v>
      </c>
      <c r="C4094" s="1" t="n">
        <v>45358</v>
      </c>
      <c r="D4094" t="inlineStr">
        <is>
          <t>HALLANDS LÄN</t>
        </is>
      </c>
      <c r="E4094" t="inlineStr">
        <is>
          <t>VARBERG</t>
        </is>
      </c>
      <c r="G4094" t="n">
        <v>0.7</v>
      </c>
      <c r="H4094" t="n">
        <v>0</v>
      </c>
      <c r="I4094" t="n">
        <v>0</v>
      </c>
      <c r="J4094" t="n">
        <v>0</v>
      </c>
      <c r="K4094" t="n">
        <v>0</v>
      </c>
      <c r="L4094" t="n">
        <v>0</v>
      </c>
      <c r="M4094" t="n">
        <v>0</v>
      </c>
      <c r="N4094" t="n">
        <v>0</v>
      </c>
      <c r="O4094" t="n">
        <v>0</v>
      </c>
      <c r="P4094" t="n">
        <v>0</v>
      </c>
      <c r="Q4094" t="n">
        <v>0</v>
      </c>
      <c r="R4094" s="2" t="inlineStr"/>
    </row>
    <row r="4095" ht="15" customHeight="1">
      <c r="A4095" t="inlineStr">
        <is>
          <t>A 8705-2024</t>
        </is>
      </c>
      <c r="B4095" s="1" t="n">
        <v>45356</v>
      </c>
      <c r="C4095" s="1" t="n">
        <v>45358</v>
      </c>
      <c r="D4095" t="inlineStr">
        <is>
          <t>HALLANDS LÄN</t>
        </is>
      </c>
      <c r="E4095" t="inlineStr">
        <is>
          <t>HALMSTAD</t>
        </is>
      </c>
      <c r="G4095" t="n">
        <v>0.7</v>
      </c>
      <c r="H4095" t="n">
        <v>0</v>
      </c>
      <c r="I4095" t="n">
        <v>0</v>
      </c>
      <c r="J4095" t="n">
        <v>0</v>
      </c>
      <c r="K4095" t="n">
        <v>0</v>
      </c>
      <c r="L4095" t="n">
        <v>0</v>
      </c>
      <c r="M4095" t="n">
        <v>0</v>
      </c>
      <c r="N4095" t="n">
        <v>0</v>
      </c>
      <c r="O4095" t="n">
        <v>0</v>
      </c>
      <c r="P4095" t="n">
        <v>0</v>
      </c>
      <c r="Q4095" t="n">
        <v>0</v>
      </c>
      <c r="R4095" s="2" t="inlineStr"/>
    </row>
    <row r="4096" ht="15" customHeight="1">
      <c r="A4096" t="inlineStr">
        <is>
          <t>A 8789-2024</t>
        </is>
      </c>
      <c r="B4096" s="1" t="n">
        <v>45356</v>
      </c>
      <c r="C4096" s="1" t="n">
        <v>45358</v>
      </c>
      <c r="D4096" t="inlineStr">
        <is>
          <t>HALLANDS LÄN</t>
        </is>
      </c>
      <c r="E4096" t="inlineStr">
        <is>
          <t>KUNGSBACKA</t>
        </is>
      </c>
      <c r="G4096" t="n">
        <v>1</v>
      </c>
      <c r="H4096" t="n">
        <v>0</v>
      </c>
      <c r="I4096" t="n">
        <v>0</v>
      </c>
      <c r="J4096" t="n">
        <v>0</v>
      </c>
      <c r="K4096" t="n">
        <v>0</v>
      </c>
      <c r="L4096" t="n">
        <v>0</v>
      </c>
      <c r="M4096" t="n">
        <v>0</v>
      </c>
      <c r="N4096" t="n">
        <v>0</v>
      </c>
      <c r="O4096" t="n">
        <v>0</v>
      </c>
      <c r="P4096" t="n">
        <v>0</v>
      </c>
      <c r="Q4096" t="n">
        <v>0</v>
      </c>
      <c r="R4096" s="2" t="inlineStr"/>
    </row>
    <row r="4097" ht="15" customHeight="1">
      <c r="A4097" t="inlineStr">
        <is>
          <t>A 8676-2024</t>
        </is>
      </c>
      <c r="B4097" s="1" t="n">
        <v>45356</v>
      </c>
      <c r="C4097" s="1" t="n">
        <v>45358</v>
      </c>
      <c r="D4097" t="inlineStr">
        <is>
          <t>HALLANDS LÄN</t>
        </is>
      </c>
      <c r="E4097" t="inlineStr">
        <is>
          <t>VARBERG</t>
        </is>
      </c>
      <c r="G4097" t="n">
        <v>0.8</v>
      </c>
      <c r="H4097" t="n">
        <v>0</v>
      </c>
      <c r="I4097" t="n">
        <v>0</v>
      </c>
      <c r="J4097" t="n">
        <v>0</v>
      </c>
      <c r="K4097" t="n">
        <v>0</v>
      </c>
      <c r="L4097" t="n">
        <v>0</v>
      </c>
      <c r="M4097" t="n">
        <v>0</v>
      </c>
      <c r="N4097" t="n">
        <v>0</v>
      </c>
      <c r="O4097" t="n">
        <v>0</v>
      </c>
      <c r="P4097" t="n">
        <v>0</v>
      </c>
      <c r="Q4097" t="n">
        <v>0</v>
      </c>
      <c r="R4097" s="2" t="inlineStr"/>
    </row>
    <row r="4098" ht="15" customHeight="1">
      <c r="A4098" t="inlineStr">
        <is>
          <t>A 8894-2024</t>
        </is>
      </c>
      <c r="B4098" s="1" t="n">
        <v>45357</v>
      </c>
      <c r="C4098" s="1" t="n">
        <v>45358</v>
      </c>
      <c r="D4098" t="inlineStr">
        <is>
          <t>HALLANDS LÄN</t>
        </is>
      </c>
      <c r="E4098" t="inlineStr">
        <is>
          <t>LAHOLM</t>
        </is>
      </c>
      <c r="G4098" t="n">
        <v>0.8</v>
      </c>
      <c r="H4098" t="n">
        <v>0</v>
      </c>
      <c r="I4098" t="n">
        <v>0</v>
      </c>
      <c r="J4098" t="n">
        <v>0</v>
      </c>
      <c r="K4098" t="n">
        <v>0</v>
      </c>
      <c r="L4098" t="n">
        <v>0</v>
      </c>
      <c r="M4098" t="n">
        <v>0</v>
      </c>
      <c r="N4098" t="n">
        <v>0</v>
      </c>
      <c r="O4098" t="n">
        <v>0</v>
      </c>
      <c r="P4098" t="n">
        <v>0</v>
      </c>
      <c r="Q4098" t="n">
        <v>0</v>
      </c>
      <c r="R4098" s="2" t="inlineStr"/>
    </row>
    <row r="4099" ht="15" customHeight="1">
      <c r="A4099" t="inlineStr">
        <is>
          <t>A 8900-2024</t>
        </is>
      </c>
      <c r="B4099" s="1" t="n">
        <v>45357</v>
      </c>
      <c r="C4099" s="1" t="n">
        <v>45358</v>
      </c>
      <c r="D4099" t="inlineStr">
        <is>
          <t>HALLANDS LÄN</t>
        </is>
      </c>
      <c r="E4099" t="inlineStr">
        <is>
          <t>FALKENBERG</t>
        </is>
      </c>
      <c r="G4099" t="n">
        <v>2.2</v>
      </c>
      <c r="H4099" t="n">
        <v>0</v>
      </c>
      <c r="I4099" t="n">
        <v>0</v>
      </c>
      <c r="J4099" t="n">
        <v>0</v>
      </c>
      <c r="K4099" t="n">
        <v>0</v>
      </c>
      <c r="L4099" t="n">
        <v>0</v>
      </c>
      <c r="M4099" t="n">
        <v>0</v>
      </c>
      <c r="N4099" t="n">
        <v>0</v>
      </c>
      <c r="O4099" t="n">
        <v>0</v>
      </c>
      <c r="P4099" t="n">
        <v>0</v>
      </c>
      <c r="Q4099" t="n">
        <v>0</v>
      </c>
      <c r="R4099" s="2" t="inlineStr"/>
    </row>
    <row r="4100" ht="15" customHeight="1">
      <c r="A4100" t="inlineStr">
        <is>
          <t>A 8916-2024</t>
        </is>
      </c>
      <c r="B4100" s="1" t="n">
        <v>45357</v>
      </c>
      <c r="C4100" s="1" t="n">
        <v>45358</v>
      </c>
      <c r="D4100" t="inlineStr">
        <is>
          <t>HALLANDS LÄN</t>
        </is>
      </c>
      <c r="E4100" t="inlineStr">
        <is>
          <t>HYLTE</t>
        </is>
      </c>
      <c r="G4100" t="n">
        <v>0.9</v>
      </c>
      <c r="H4100" t="n">
        <v>0</v>
      </c>
      <c r="I4100" t="n">
        <v>0</v>
      </c>
      <c r="J4100" t="n">
        <v>0</v>
      </c>
      <c r="K4100" t="n">
        <v>0</v>
      </c>
      <c r="L4100" t="n">
        <v>0</v>
      </c>
      <c r="M4100" t="n">
        <v>0</v>
      </c>
      <c r="N4100" t="n">
        <v>0</v>
      </c>
      <c r="O4100" t="n">
        <v>0</v>
      </c>
      <c r="P4100" t="n">
        <v>0</v>
      </c>
      <c r="Q4100" t="n">
        <v>0</v>
      </c>
      <c r="R4100" s="2" t="inlineStr"/>
    </row>
    <row r="4101" ht="15" customHeight="1">
      <c r="A4101" t="inlineStr">
        <is>
          <t>A 8892-2024</t>
        </is>
      </c>
      <c r="B4101" s="1" t="n">
        <v>45357</v>
      </c>
      <c r="C4101" s="1" t="n">
        <v>45358</v>
      </c>
      <c r="D4101" t="inlineStr">
        <is>
          <t>HALLANDS LÄN</t>
        </is>
      </c>
      <c r="E4101" t="inlineStr">
        <is>
          <t>FALKENBERG</t>
        </is>
      </c>
      <c r="G4101" t="n">
        <v>5.1</v>
      </c>
      <c r="H4101" t="n">
        <v>0</v>
      </c>
      <c r="I4101" t="n">
        <v>0</v>
      </c>
      <c r="J4101" t="n">
        <v>0</v>
      </c>
      <c r="K4101" t="n">
        <v>0</v>
      </c>
      <c r="L4101" t="n">
        <v>0</v>
      </c>
      <c r="M4101" t="n">
        <v>0</v>
      </c>
      <c r="N4101" t="n">
        <v>0</v>
      </c>
      <c r="O4101" t="n">
        <v>0</v>
      </c>
      <c r="P4101" t="n">
        <v>0</v>
      </c>
      <c r="Q4101" t="n">
        <v>0</v>
      </c>
      <c r="R4101" s="2" t="inlineStr"/>
    </row>
    <row r="4102" ht="15" customHeight="1">
      <c r="A4102" t="inlineStr">
        <is>
          <t>A 8897-2024</t>
        </is>
      </c>
      <c r="B4102" s="1" t="n">
        <v>45357</v>
      </c>
      <c r="C4102" s="1" t="n">
        <v>45358</v>
      </c>
      <c r="D4102" t="inlineStr">
        <is>
          <t>HALLANDS LÄN</t>
        </is>
      </c>
      <c r="E4102" t="inlineStr">
        <is>
          <t>VARBERG</t>
        </is>
      </c>
      <c r="G4102" t="n">
        <v>1.9</v>
      </c>
      <c r="H4102" t="n">
        <v>0</v>
      </c>
      <c r="I4102" t="n">
        <v>0</v>
      </c>
      <c r="J4102" t="n">
        <v>0</v>
      </c>
      <c r="K4102" t="n">
        <v>0</v>
      </c>
      <c r="L4102" t="n">
        <v>0</v>
      </c>
      <c r="M4102" t="n">
        <v>0</v>
      </c>
      <c r="N4102" t="n">
        <v>0</v>
      </c>
      <c r="O4102" t="n">
        <v>0</v>
      </c>
      <c r="P4102" t="n">
        <v>0</v>
      </c>
      <c r="Q4102" t="n">
        <v>0</v>
      </c>
      <c r="R4102" s="2" t="inlineStr"/>
    </row>
    <row r="4103" ht="15" customHeight="1">
      <c r="A4103" t="inlineStr">
        <is>
          <t>A 8908-2024</t>
        </is>
      </c>
      <c r="B4103" s="1" t="n">
        <v>45357</v>
      </c>
      <c r="C4103" s="1" t="n">
        <v>45358</v>
      </c>
      <c r="D4103" t="inlineStr">
        <is>
          <t>HALLANDS LÄN</t>
        </is>
      </c>
      <c r="E4103" t="inlineStr">
        <is>
          <t>FALKENBERG</t>
        </is>
      </c>
      <c r="G4103" t="n">
        <v>0.8</v>
      </c>
      <c r="H4103" t="n">
        <v>0</v>
      </c>
      <c r="I4103" t="n">
        <v>0</v>
      </c>
      <c r="J4103" t="n">
        <v>0</v>
      </c>
      <c r="K4103" t="n">
        <v>0</v>
      </c>
      <c r="L4103" t="n">
        <v>0</v>
      </c>
      <c r="M4103" t="n">
        <v>0</v>
      </c>
      <c r="N4103" t="n">
        <v>0</v>
      </c>
      <c r="O4103" t="n">
        <v>0</v>
      </c>
      <c r="P4103" t="n">
        <v>0</v>
      </c>
      <c r="Q4103" t="n">
        <v>0</v>
      </c>
      <c r="R4103" s="2" t="inlineStr"/>
    </row>
    <row r="4104" ht="15" customHeight="1">
      <c r="A4104" t="inlineStr">
        <is>
          <t>A 8891-2024</t>
        </is>
      </c>
      <c r="B4104" s="1" t="n">
        <v>45357</v>
      </c>
      <c r="C4104" s="1" t="n">
        <v>45358</v>
      </c>
      <c r="D4104" t="inlineStr">
        <is>
          <t>HALLANDS LÄN</t>
        </is>
      </c>
      <c r="E4104" t="inlineStr">
        <is>
          <t>LAHOLM</t>
        </is>
      </c>
      <c r="G4104" t="n">
        <v>4.2</v>
      </c>
      <c r="H4104" t="n">
        <v>0</v>
      </c>
      <c r="I4104" t="n">
        <v>0</v>
      </c>
      <c r="J4104" t="n">
        <v>0</v>
      </c>
      <c r="K4104" t="n">
        <v>0</v>
      </c>
      <c r="L4104" t="n">
        <v>0</v>
      </c>
      <c r="M4104" t="n">
        <v>0</v>
      </c>
      <c r="N4104" t="n">
        <v>0</v>
      </c>
      <c r="O4104" t="n">
        <v>0</v>
      </c>
      <c r="P4104" t="n">
        <v>0</v>
      </c>
      <c r="Q4104" t="n">
        <v>0</v>
      </c>
      <c r="R4104" s="2" t="inlineStr"/>
    </row>
    <row r="4105" ht="15" customHeight="1">
      <c r="A4105" t="inlineStr">
        <is>
          <t>A 8912-2024</t>
        </is>
      </c>
      <c r="B4105" s="1" t="n">
        <v>45357</v>
      </c>
      <c r="C4105" s="1" t="n">
        <v>45358</v>
      </c>
      <c r="D4105" t="inlineStr">
        <is>
          <t>HALLANDS LÄN</t>
        </is>
      </c>
      <c r="E4105" t="inlineStr">
        <is>
          <t>HYLTE</t>
        </is>
      </c>
      <c r="G4105" t="n">
        <v>4.5</v>
      </c>
      <c r="H4105" t="n">
        <v>0</v>
      </c>
      <c r="I4105" t="n">
        <v>0</v>
      </c>
      <c r="J4105" t="n">
        <v>0</v>
      </c>
      <c r="K4105" t="n">
        <v>0</v>
      </c>
      <c r="L4105" t="n">
        <v>0</v>
      </c>
      <c r="M4105" t="n">
        <v>0</v>
      </c>
      <c r="N4105" t="n">
        <v>0</v>
      </c>
      <c r="O4105" t="n">
        <v>0</v>
      </c>
      <c r="P4105" t="n">
        <v>0</v>
      </c>
      <c r="Q4105" t="n">
        <v>0</v>
      </c>
      <c r="R4105" s="2" t="inlineStr"/>
    </row>
    <row r="4106" ht="15" customHeight="1">
      <c r="A4106" t="inlineStr">
        <is>
          <t>A 9060-2024</t>
        </is>
      </c>
      <c r="B4106" s="1" t="n">
        <v>45357</v>
      </c>
      <c r="C4106" s="1" t="n">
        <v>45358</v>
      </c>
      <c r="D4106" t="inlineStr">
        <is>
          <t>HALLANDS LÄN</t>
        </is>
      </c>
      <c r="E4106" t="inlineStr">
        <is>
          <t>HYLTE</t>
        </is>
      </c>
      <c r="G4106" t="n">
        <v>4.3</v>
      </c>
      <c r="H4106" t="n">
        <v>0</v>
      </c>
      <c r="I4106" t="n">
        <v>0</v>
      </c>
      <c r="J4106" t="n">
        <v>0</v>
      </c>
      <c r="K4106" t="n">
        <v>0</v>
      </c>
      <c r="L4106" t="n">
        <v>0</v>
      </c>
      <c r="M4106" t="n">
        <v>0</v>
      </c>
      <c r="N4106" t="n">
        <v>0</v>
      </c>
      <c r="O4106" t="n">
        <v>0</v>
      </c>
      <c r="P4106" t="n">
        <v>0</v>
      </c>
      <c r="Q4106" t="n">
        <v>0</v>
      </c>
      <c r="R4106" s="2" t="inlineStr"/>
    </row>
    <row r="4107" ht="15" customHeight="1">
      <c r="A4107" t="inlineStr">
        <is>
          <t>A 9092-2024</t>
        </is>
      </c>
      <c r="B4107" s="1" t="n">
        <v>45357</v>
      </c>
      <c r="C4107" s="1" t="n">
        <v>45358</v>
      </c>
      <c r="D4107" t="inlineStr">
        <is>
          <t>HALLANDS LÄN</t>
        </is>
      </c>
      <c r="E4107" t="inlineStr">
        <is>
          <t>HALMSTAD</t>
        </is>
      </c>
      <c r="G4107" t="n">
        <v>0.4</v>
      </c>
      <c r="H4107" t="n">
        <v>0</v>
      </c>
      <c r="I4107" t="n">
        <v>0</v>
      </c>
      <c r="J4107" t="n">
        <v>0</v>
      </c>
      <c r="K4107" t="n">
        <v>0</v>
      </c>
      <c r="L4107" t="n">
        <v>0</v>
      </c>
      <c r="M4107" t="n">
        <v>0</v>
      </c>
      <c r="N4107" t="n">
        <v>0</v>
      </c>
      <c r="O4107" t="n">
        <v>0</v>
      </c>
      <c r="P4107" t="n">
        <v>0</v>
      </c>
      <c r="Q4107" t="n">
        <v>0</v>
      </c>
      <c r="R4107" s="2" t="inlineStr"/>
    </row>
    <row r="4108" ht="15" customHeight="1">
      <c r="A4108" t="inlineStr">
        <is>
          <t>A 9096-2024</t>
        </is>
      </c>
      <c r="B4108" s="1" t="n">
        <v>45357</v>
      </c>
      <c r="C4108" s="1" t="n">
        <v>45358</v>
      </c>
      <c r="D4108" t="inlineStr">
        <is>
          <t>HALLANDS LÄN</t>
        </is>
      </c>
      <c r="E4108" t="inlineStr">
        <is>
          <t>HALMSTAD</t>
        </is>
      </c>
      <c r="G4108" t="n">
        <v>0.6</v>
      </c>
      <c r="H4108" t="n">
        <v>0</v>
      </c>
      <c r="I4108" t="n">
        <v>0</v>
      </c>
      <c r="J4108" t="n">
        <v>0</v>
      </c>
      <c r="K4108" t="n">
        <v>0</v>
      </c>
      <c r="L4108" t="n">
        <v>0</v>
      </c>
      <c r="M4108" t="n">
        <v>0</v>
      </c>
      <c r="N4108" t="n">
        <v>0</v>
      </c>
      <c r="O4108" t="n">
        <v>0</v>
      </c>
      <c r="P4108" t="n">
        <v>0</v>
      </c>
      <c r="Q4108" t="n">
        <v>0</v>
      </c>
      <c r="R4108" s="2" t="inlineStr"/>
    </row>
    <row r="4109" ht="15" customHeight="1">
      <c r="A4109" t="inlineStr">
        <is>
          <t>A 9098-2024</t>
        </is>
      </c>
      <c r="B4109" s="1" t="n">
        <v>45357</v>
      </c>
      <c r="C4109" s="1" t="n">
        <v>45358</v>
      </c>
      <c r="D4109" t="inlineStr">
        <is>
          <t>HALLANDS LÄN</t>
        </is>
      </c>
      <c r="E4109" t="inlineStr">
        <is>
          <t>HALMSTAD</t>
        </is>
      </c>
      <c r="G4109" t="n">
        <v>1.1</v>
      </c>
      <c r="H4109" t="n">
        <v>0</v>
      </c>
      <c r="I4109" t="n">
        <v>0</v>
      </c>
      <c r="J4109" t="n">
        <v>0</v>
      </c>
      <c r="K4109" t="n">
        <v>0</v>
      </c>
      <c r="L4109" t="n">
        <v>0</v>
      </c>
      <c r="M4109" t="n">
        <v>0</v>
      </c>
      <c r="N4109" t="n">
        <v>0</v>
      </c>
      <c r="O4109" t="n">
        <v>0</v>
      </c>
      <c r="P4109" t="n">
        <v>0</v>
      </c>
      <c r="Q4109" t="n">
        <v>0</v>
      </c>
      <c r="R4109" s="2" t="inlineStr"/>
    </row>
    <row r="4110" ht="15" customHeight="1">
      <c r="A4110" t="inlineStr">
        <is>
          <t>A 9031-2024</t>
        </is>
      </c>
      <c r="B4110" s="1" t="n">
        <v>45357</v>
      </c>
      <c r="C4110" s="1" t="n">
        <v>45358</v>
      </c>
      <c r="D4110" t="inlineStr">
        <is>
          <t>HALLANDS LÄN</t>
        </is>
      </c>
      <c r="E4110" t="inlineStr">
        <is>
          <t>LAHOLM</t>
        </is>
      </c>
      <c r="G4110" t="n">
        <v>4.4</v>
      </c>
      <c r="H4110" t="n">
        <v>0</v>
      </c>
      <c r="I4110" t="n">
        <v>0</v>
      </c>
      <c r="J4110" t="n">
        <v>0</v>
      </c>
      <c r="K4110" t="n">
        <v>0</v>
      </c>
      <c r="L4110" t="n">
        <v>0</v>
      </c>
      <c r="M4110" t="n">
        <v>0</v>
      </c>
      <c r="N4110" t="n">
        <v>0</v>
      </c>
      <c r="O4110" t="n">
        <v>0</v>
      </c>
      <c r="P4110" t="n">
        <v>0</v>
      </c>
      <c r="Q4110" t="n">
        <v>0</v>
      </c>
      <c r="R4110" s="2" t="inlineStr"/>
    </row>
    <row r="4111" ht="15" customHeight="1">
      <c r="A4111" t="inlineStr">
        <is>
          <t>A 9038-2024</t>
        </is>
      </c>
      <c r="B4111" s="1" t="n">
        <v>45357</v>
      </c>
      <c r="C4111" s="1" t="n">
        <v>45358</v>
      </c>
      <c r="D4111" t="inlineStr">
        <is>
          <t>HALLANDS LÄN</t>
        </is>
      </c>
      <c r="E4111" t="inlineStr">
        <is>
          <t>FALKENBERG</t>
        </is>
      </c>
      <c r="G4111" t="n">
        <v>1.9</v>
      </c>
      <c r="H4111" t="n">
        <v>0</v>
      </c>
      <c r="I4111" t="n">
        <v>0</v>
      </c>
      <c r="J4111" t="n">
        <v>0</v>
      </c>
      <c r="K4111" t="n">
        <v>0</v>
      </c>
      <c r="L4111" t="n">
        <v>0</v>
      </c>
      <c r="M4111" t="n">
        <v>0</v>
      </c>
      <c r="N4111" t="n">
        <v>0</v>
      </c>
      <c r="O4111" t="n">
        <v>0</v>
      </c>
      <c r="P4111" t="n">
        <v>0</v>
      </c>
      <c r="Q4111" t="n">
        <v>0</v>
      </c>
      <c r="R4111" s="2" t="inlineStr"/>
    </row>
    <row r="4112">
      <c r="A4112" t="inlineStr">
        <is>
          <t>A 9097-2024</t>
        </is>
      </c>
      <c r="B4112" s="1" t="n">
        <v>45357</v>
      </c>
      <c r="C4112" s="1" t="n">
        <v>45358</v>
      </c>
      <c r="D4112" t="inlineStr">
        <is>
          <t>HALLANDS LÄN</t>
        </is>
      </c>
      <c r="E4112" t="inlineStr">
        <is>
          <t>HALMSTAD</t>
        </is>
      </c>
      <c r="G4112" t="n">
        <v>1.4</v>
      </c>
      <c r="H4112" t="n">
        <v>0</v>
      </c>
      <c r="I4112" t="n">
        <v>0</v>
      </c>
      <c r="J4112" t="n">
        <v>0</v>
      </c>
      <c r="K4112" t="n">
        <v>0</v>
      </c>
      <c r="L4112" t="n">
        <v>0</v>
      </c>
      <c r="M4112" t="n">
        <v>0</v>
      </c>
      <c r="N4112" t="n">
        <v>0</v>
      </c>
      <c r="O4112" t="n">
        <v>0</v>
      </c>
      <c r="P4112" t="n">
        <v>0</v>
      </c>
      <c r="Q4112" t="n">
        <v>0</v>
      </c>
      <c r="R411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2024-03-07T13:21:41Z</dcterms:created>
  <dcterms:modified xmlns:dcterms="http://purl.org/dc/terms/" xmlns:xsi="http://www.w3.org/2001/XMLSchema-instance" xsi:type="dcterms:W3CDTF">2024-03-07T13:21:44Z</dcterms:modified>
</cp:coreProperties>
</file>