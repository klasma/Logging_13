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45757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45757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45757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45757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45757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45757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45757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45757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45757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45757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45757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45757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45757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45757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45757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45757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45757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45757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45757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45757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45757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45757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45757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45757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45757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45757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45757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45757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45757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45757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58682-2020</t>
        </is>
      </c>
      <c r="B55" s="1" t="n">
        <v>44146</v>
      </c>
      <c r="C55" s="1" t="n">
        <v>45757</v>
      </c>
      <c r="D55" t="inlineStr">
        <is>
          <t>HALLANDS LÄN</t>
        </is>
      </c>
      <c r="E55" t="inlineStr">
        <is>
          <t>FALKENBERG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HYPERLINK("https://klasma.github.io/Logging_1382/artfynd/A 58682-2020 artfynd.xlsx", "A 58682-2020")</f>
        <v/>
      </c>
      <c r="T55">
        <f>HYPERLINK("https://klasma.github.io/Logging_1382/kartor/A 58682-2020 karta.png", "A 58682-2020")</f>
        <v/>
      </c>
      <c r="V55">
        <f>HYPERLINK("https://klasma.github.io/Logging_1382/klagomål/A 58682-2020 FSC-klagomål.docx", "A 58682-2020")</f>
        <v/>
      </c>
      <c r="W55">
        <f>HYPERLINK("https://klasma.github.io/Logging_1382/klagomålsmail/A 58682-2020 FSC-klagomål mail.docx", "A 58682-2020")</f>
        <v/>
      </c>
      <c r="X55">
        <f>HYPERLINK("https://klasma.github.io/Logging_1382/tillsyn/A 58682-2020 tillsynsbegäran.docx", "A 58682-2020")</f>
        <v/>
      </c>
      <c r="Y55">
        <f>HYPERLINK("https://klasma.github.io/Logging_1382/tillsynsmail/A 58682-2020 tillsynsbegäran mail.docx", "A 58682-2020")</f>
        <v/>
      </c>
    </row>
    <row r="56" ht="15" customHeight="1">
      <c r="A56" t="inlineStr">
        <is>
          <t>A 62200-2020</t>
        </is>
      </c>
      <c r="B56" s="1" t="n">
        <v>44159</v>
      </c>
      <c r="C56" s="1" t="n">
        <v>45757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Jättesvampmal</t>
        </is>
      </c>
      <c r="S56">
        <f>HYPERLINK("https://klasma.github.io/Logging_1382/artfynd/A 62200-2020 artfynd.xlsx", "A 62200-2020")</f>
        <v/>
      </c>
      <c r="T56">
        <f>HYPERLINK("https://klasma.github.io/Logging_1382/kartor/A 62200-2020 karta.png", "A 62200-2020")</f>
        <v/>
      </c>
      <c r="V56">
        <f>HYPERLINK("https://klasma.github.io/Logging_1382/klagomål/A 62200-2020 FSC-klagomål.docx", "A 62200-2020")</f>
        <v/>
      </c>
      <c r="W56">
        <f>HYPERLINK("https://klasma.github.io/Logging_1382/klagomålsmail/A 62200-2020 FSC-klagomål mail.docx", "A 62200-2020")</f>
        <v/>
      </c>
      <c r="X56">
        <f>HYPERLINK("https://klasma.github.io/Logging_1382/tillsyn/A 62200-2020 tillsynsbegäran.docx", "A 62200-2020")</f>
        <v/>
      </c>
      <c r="Y56">
        <f>HYPERLINK("https://klasma.github.io/Logging_1382/tillsynsmail/A 62200-2020 tillsynsbegäran mail.docx", "A 62200-2020")</f>
        <v/>
      </c>
    </row>
    <row r="57" ht="15" customHeight="1">
      <c r="A57" t="inlineStr">
        <is>
          <t>A 68882-2020</t>
        </is>
      </c>
      <c r="B57" s="1" t="n">
        <v>44187</v>
      </c>
      <c r="C57" s="1" t="n">
        <v>45757</v>
      </c>
      <c r="D57" t="inlineStr">
        <is>
          <t>HALLANDS LÄN</t>
        </is>
      </c>
      <c r="E57" t="inlineStr">
        <is>
          <t>VARBERG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HYPERLINK("https://klasma.github.io/Logging_1383/artfynd/A 68882-2020 artfynd.xlsx", "A 68882-2020")</f>
        <v/>
      </c>
      <c r="T57">
        <f>HYPERLINK("https://klasma.github.io/Logging_1383/kartor/A 68882-2020 karta.png", "A 68882-2020")</f>
        <v/>
      </c>
      <c r="V57">
        <f>HYPERLINK("https://klasma.github.io/Logging_1383/klagomål/A 68882-2020 FSC-klagomål.docx", "A 68882-2020")</f>
        <v/>
      </c>
      <c r="W57">
        <f>HYPERLINK("https://klasma.github.io/Logging_1383/klagomålsmail/A 68882-2020 FSC-klagomål mail.docx", "A 68882-2020")</f>
        <v/>
      </c>
      <c r="X57">
        <f>HYPERLINK("https://klasma.github.io/Logging_1383/tillsyn/A 68882-2020 tillsynsbegäran.docx", "A 68882-2020")</f>
        <v/>
      </c>
      <c r="Y57">
        <f>HYPERLINK("https://klasma.github.io/Logging_1383/tillsynsmail/A 68882-2020 tillsynsbegäran mail.docx", "A 68882-2020")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45757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4831-2021</t>
        </is>
      </c>
      <c r="B59" s="1" t="n">
        <v>44225</v>
      </c>
      <c r="C59" s="1" t="n">
        <v>45757</v>
      </c>
      <c r="D59" t="inlineStr">
        <is>
          <t>HALLANDS LÄN</t>
        </is>
      </c>
      <c r="E59" t="inlineStr">
        <is>
          <t>KUNGSBACKA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HYPERLINK("https://klasma.github.io/Logging_1384/artfynd/A 4831-2021 artfynd.xlsx", "A 4831-2021")</f>
        <v/>
      </c>
      <c r="T59">
        <f>HYPERLINK("https://klasma.github.io/Logging_1384/kartor/A 4831-2021 karta.png", "A 4831-2021")</f>
        <v/>
      </c>
      <c r="V59">
        <f>HYPERLINK("https://klasma.github.io/Logging_1384/klagomål/A 4831-2021 FSC-klagomål.docx", "A 4831-2021")</f>
        <v/>
      </c>
      <c r="W59">
        <f>HYPERLINK("https://klasma.github.io/Logging_1384/klagomålsmail/A 4831-2021 FSC-klagomål mail.docx", "A 4831-2021")</f>
        <v/>
      </c>
      <c r="X59">
        <f>HYPERLINK("https://klasma.github.io/Logging_1384/tillsyn/A 4831-2021 tillsynsbegäran.docx", "A 4831-2021")</f>
        <v/>
      </c>
      <c r="Y59">
        <f>HYPERLINK("https://klasma.github.io/Logging_1384/tillsynsmail/A 4831-2021 tillsynsbegäran mail.docx", "A 4831-2021")</f>
        <v/>
      </c>
    </row>
    <row r="60" ht="15" customHeight="1">
      <c r="A60" t="inlineStr">
        <is>
          <t>A 9371-2021</t>
        </is>
      </c>
      <c r="B60" s="1" t="n">
        <v>44250</v>
      </c>
      <c r="C60" s="1" t="n">
        <v>45757</v>
      </c>
      <c r="D60" t="inlineStr">
        <is>
          <t>HALLANDS LÄN</t>
        </is>
      </c>
      <c r="E60" t="inlineStr">
        <is>
          <t>VARBERG</t>
        </is>
      </c>
      <c r="G60" t="n">
        <v>18.9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HYPERLINK("https://klasma.github.io/Logging_1383/artfynd/A 9371-2021 artfynd.xlsx", "A 9371-2021")</f>
        <v/>
      </c>
      <c r="T60">
        <f>HYPERLINK("https://klasma.github.io/Logging_1383/kartor/A 9371-2021 karta.png", "A 9371-2021")</f>
        <v/>
      </c>
      <c r="V60">
        <f>HYPERLINK("https://klasma.github.io/Logging_1383/klagomål/A 9371-2021 FSC-klagomål.docx", "A 9371-2021")</f>
        <v/>
      </c>
      <c r="W60">
        <f>HYPERLINK("https://klasma.github.io/Logging_1383/klagomålsmail/A 9371-2021 FSC-klagomål mail.docx", "A 9371-2021")</f>
        <v/>
      </c>
      <c r="X60">
        <f>HYPERLINK("https://klasma.github.io/Logging_1383/tillsyn/A 9371-2021 tillsynsbegäran.docx", "A 9371-2021")</f>
        <v/>
      </c>
      <c r="Y60">
        <f>HYPERLINK("https://klasma.github.io/Logging_1383/tillsynsmail/A 9371-2021 tillsynsbegäran mail.docx", "A 9371-2021")</f>
        <v/>
      </c>
      <c r="Z60">
        <f>HYPERLINK("https://klasma.github.io/Logging_1383/fåglar/A 9371-2021 prioriterade fågelarter.docx", "A 9371-2021")</f>
        <v/>
      </c>
    </row>
    <row r="61" ht="15" customHeight="1">
      <c r="A61" t="inlineStr">
        <is>
          <t>A 17350-2021</t>
        </is>
      </c>
      <c r="B61" s="1" t="n">
        <v>44298</v>
      </c>
      <c r="C61" s="1" t="n">
        <v>45757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23166-2021</t>
        </is>
      </c>
      <c r="B62" s="1" t="n">
        <v>44332</v>
      </c>
      <c r="C62" s="1" t="n">
        <v>45757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30534-2021</t>
        </is>
      </c>
      <c r="B63" s="1" t="n">
        <v>44364</v>
      </c>
      <c r="C63" s="1" t="n">
        <v>45757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Myskbock</t>
        </is>
      </c>
      <c r="S63">
        <f>HYPERLINK("https://klasma.github.io/Logging_1383/artfynd/A 30534-2021 artfynd.xlsx", "A 30534-2021")</f>
        <v/>
      </c>
      <c r="T63">
        <f>HYPERLINK("https://klasma.github.io/Logging_1383/kartor/A 30534-2021 karta.png", "A 30534-2021")</f>
        <v/>
      </c>
      <c r="V63">
        <f>HYPERLINK("https://klasma.github.io/Logging_1383/klagomål/A 30534-2021 FSC-klagomål.docx", "A 30534-2021")</f>
        <v/>
      </c>
      <c r="W63">
        <f>HYPERLINK("https://klasma.github.io/Logging_1383/klagomålsmail/A 30534-2021 FSC-klagomål mail.docx", "A 30534-2021")</f>
        <v/>
      </c>
      <c r="X63">
        <f>HYPERLINK("https://klasma.github.io/Logging_1383/tillsyn/A 30534-2021 tillsynsbegäran.docx", "A 30534-2021")</f>
        <v/>
      </c>
      <c r="Y63">
        <f>HYPERLINK("https://klasma.github.io/Logging_1383/tillsynsmail/A 30534-2021 tillsynsbegäran mail.docx", "A 30534-2021")</f>
        <v/>
      </c>
    </row>
    <row r="64" ht="15" customHeight="1">
      <c r="A64" t="inlineStr">
        <is>
          <t>A 35502-2021</t>
        </is>
      </c>
      <c r="B64" s="1" t="n">
        <v>44385</v>
      </c>
      <c r="C64" s="1" t="n">
        <v>45757</v>
      </c>
      <c r="D64" t="inlineStr">
        <is>
          <t>HALLANDS LÄN</t>
        </is>
      </c>
      <c r="E64" t="inlineStr">
        <is>
          <t>HALMSTAD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1</v>
      </c>
      <c r="P64" t="n">
        <v>0</v>
      </c>
      <c r="Q64" t="n">
        <v>1</v>
      </c>
      <c r="R64" s="2" t="inlineStr">
        <is>
          <t>Praktgrusmossa</t>
        </is>
      </c>
      <c r="S64">
        <f>HYPERLINK("https://klasma.github.io/Logging_1380/artfynd/A 35502-2021 artfynd.xlsx", "A 35502-2021")</f>
        <v/>
      </c>
      <c r="T64">
        <f>HYPERLINK("https://klasma.github.io/Logging_1380/kartor/A 35502-2021 karta.png", "A 35502-2021")</f>
        <v/>
      </c>
      <c r="V64">
        <f>HYPERLINK("https://klasma.github.io/Logging_1380/klagomål/A 35502-2021 FSC-klagomål.docx", "A 35502-2021")</f>
        <v/>
      </c>
      <c r="W64">
        <f>HYPERLINK("https://klasma.github.io/Logging_1380/klagomålsmail/A 35502-2021 FSC-klagomål mail.docx", "A 35502-2021")</f>
        <v/>
      </c>
      <c r="X64">
        <f>HYPERLINK("https://klasma.github.io/Logging_1380/tillsyn/A 35502-2021 tillsynsbegäran.docx", "A 35502-2021")</f>
        <v/>
      </c>
      <c r="Y64">
        <f>HYPERLINK("https://klasma.github.io/Logging_1380/tillsynsmail/A 35502-2021 tillsynsbegäran mail.docx", "A 35502-2021")</f>
        <v/>
      </c>
    </row>
    <row r="65" ht="15" customHeight="1">
      <c r="A65" t="inlineStr">
        <is>
          <t>A 44540-2021</t>
        </is>
      </c>
      <c r="B65" s="1" t="n">
        <v>44435</v>
      </c>
      <c r="C65" s="1" t="n">
        <v>45757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HYPERLINK("https://klasma.github.io/Logging_1382/artfynd/A 44540-2021 artfynd.xlsx", "A 44540-2021")</f>
        <v/>
      </c>
      <c r="T65">
        <f>HYPERLINK("https://klasma.github.io/Logging_1382/kartor/A 44540-2021 karta.png", "A 44540-2021")</f>
        <v/>
      </c>
      <c r="V65">
        <f>HYPERLINK("https://klasma.github.io/Logging_1382/klagomål/A 44540-2021 FSC-klagomål.docx", "A 44540-2021")</f>
        <v/>
      </c>
      <c r="W65">
        <f>HYPERLINK("https://klasma.github.io/Logging_1382/klagomålsmail/A 44540-2021 FSC-klagomål mail.docx", "A 44540-2021")</f>
        <v/>
      </c>
      <c r="X65">
        <f>HYPERLINK("https://klasma.github.io/Logging_1382/tillsyn/A 44540-2021 tillsynsbegäran.docx", "A 44540-2021")</f>
        <v/>
      </c>
      <c r="Y65">
        <f>HYPERLINK("https://klasma.github.io/Logging_1382/tillsynsmail/A 44540-2021 tillsynsbegäran mail.docx", "A 44540-2021")</f>
        <v/>
      </c>
    </row>
    <row r="66" ht="15" customHeight="1">
      <c r="A66" t="inlineStr">
        <is>
          <t>A 50645-2021</t>
        </is>
      </c>
      <c r="B66" s="1" t="n">
        <v>44459</v>
      </c>
      <c r="C66" s="1" t="n">
        <v>45757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HYPERLINK("https://klasma.github.io/Logging_1381/artfynd/A 50645-2021 artfynd.xlsx", "A 50645-2021")</f>
        <v/>
      </c>
      <c r="T66">
        <f>HYPERLINK("https://klasma.github.io/Logging_1381/kartor/A 50645-2021 karta.png", "A 50645-2021")</f>
        <v/>
      </c>
      <c r="V66">
        <f>HYPERLINK("https://klasma.github.io/Logging_1381/klagomål/A 50645-2021 FSC-klagomål.docx", "A 50645-2021")</f>
        <v/>
      </c>
      <c r="W66">
        <f>HYPERLINK("https://klasma.github.io/Logging_1381/klagomålsmail/A 50645-2021 FSC-klagomål mail.docx", "A 50645-2021")</f>
        <v/>
      </c>
      <c r="X66">
        <f>HYPERLINK("https://klasma.github.io/Logging_1381/tillsyn/A 50645-2021 tillsynsbegäran.docx", "A 50645-2021")</f>
        <v/>
      </c>
      <c r="Y66">
        <f>HYPERLINK("https://klasma.github.io/Logging_1381/tillsynsmail/A 50645-2021 tillsynsbegäran mail.docx", "A 50645-2021")</f>
        <v/>
      </c>
    </row>
    <row r="67" ht="15" customHeight="1">
      <c r="A67" t="inlineStr">
        <is>
          <t>A 50998-2021</t>
        </is>
      </c>
      <c r="B67" s="1" t="n">
        <v>44460</v>
      </c>
      <c r="C67" s="1" t="n">
        <v>45757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HYPERLINK("https://klasma.github.io/Logging_1382/artfynd/A 50998-2021 artfynd.xlsx", "A 50998-2021")</f>
        <v/>
      </c>
      <c r="T67">
        <f>HYPERLINK("https://klasma.github.io/Logging_1382/kartor/A 50998-2021 karta.png", "A 50998-2021")</f>
        <v/>
      </c>
      <c r="V67">
        <f>HYPERLINK("https://klasma.github.io/Logging_1382/klagomål/A 50998-2021 FSC-klagomål.docx", "A 50998-2021")</f>
        <v/>
      </c>
      <c r="W67">
        <f>HYPERLINK("https://klasma.github.io/Logging_1382/klagomålsmail/A 50998-2021 FSC-klagomål mail.docx", "A 50998-2021")</f>
        <v/>
      </c>
      <c r="X67">
        <f>HYPERLINK("https://klasma.github.io/Logging_1382/tillsyn/A 50998-2021 tillsynsbegäran.docx", "A 50998-2021")</f>
        <v/>
      </c>
      <c r="Y67">
        <f>HYPERLINK("https://klasma.github.io/Logging_1382/tillsynsmail/A 50998-2021 tillsynsbegäran mail.docx", "A 50998-2021")</f>
        <v/>
      </c>
    </row>
    <row r="68" ht="15" customHeight="1">
      <c r="A68" t="inlineStr">
        <is>
          <t>A 53915-2021</t>
        </is>
      </c>
      <c r="B68" s="1" t="n">
        <v>44469</v>
      </c>
      <c r="C68" s="1" t="n">
        <v>45757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HYPERLINK("https://klasma.github.io/Logging_1383/artfynd/A 53915-2021 artfynd.xlsx", "A 53915-2021")</f>
        <v/>
      </c>
      <c r="T68">
        <f>HYPERLINK("https://klasma.github.io/Logging_1383/kartor/A 53915-2021 karta.png", "A 53915-2021")</f>
        <v/>
      </c>
      <c r="V68">
        <f>HYPERLINK("https://klasma.github.io/Logging_1383/klagomål/A 53915-2021 FSC-klagomål.docx", "A 53915-2021")</f>
        <v/>
      </c>
      <c r="W68">
        <f>HYPERLINK("https://klasma.github.io/Logging_1383/klagomålsmail/A 53915-2021 FSC-klagomål mail.docx", "A 53915-2021")</f>
        <v/>
      </c>
      <c r="X68">
        <f>HYPERLINK("https://klasma.github.io/Logging_1383/tillsyn/A 53915-2021 tillsynsbegäran.docx", "A 53915-2021")</f>
        <v/>
      </c>
      <c r="Y68">
        <f>HYPERLINK("https://klasma.github.io/Logging_1383/tillsynsmail/A 53915-2021 tillsynsbegäran mail.docx", "A 53915-2021")</f>
        <v/>
      </c>
      <c r="Z68">
        <f>HYPERLINK("https://klasma.github.io/Logging_1383/fåglar/A 53915-2021 prioriterade fågelarter.docx", "A 53915-2021")</f>
        <v/>
      </c>
    </row>
    <row r="69" ht="15" customHeight="1">
      <c r="A69" t="inlineStr">
        <is>
          <t>A 66137-2021</t>
        </is>
      </c>
      <c r="B69" s="1" t="n">
        <v>44517</v>
      </c>
      <c r="C69" s="1" t="n">
        <v>45757</v>
      </c>
      <c r="D69" t="inlineStr">
        <is>
          <t>HALLANDS LÄN</t>
        </is>
      </c>
      <c r="E69" t="inlineStr">
        <is>
          <t>FALKENBERG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HYPERLINK("https://klasma.github.io/Logging_1382/artfynd/A 66137-2021 artfynd.xlsx", "A 66137-2021")</f>
        <v/>
      </c>
      <c r="T69">
        <f>HYPERLINK("https://klasma.github.io/Logging_1382/kartor/A 66137-2021 karta.png", "A 66137-2021")</f>
        <v/>
      </c>
      <c r="V69">
        <f>HYPERLINK("https://klasma.github.io/Logging_1382/klagomål/A 66137-2021 FSC-klagomål.docx", "A 66137-2021")</f>
        <v/>
      </c>
      <c r="W69">
        <f>HYPERLINK("https://klasma.github.io/Logging_1382/klagomålsmail/A 66137-2021 FSC-klagomål mail.docx", "A 66137-2021")</f>
        <v/>
      </c>
      <c r="X69">
        <f>HYPERLINK("https://klasma.github.io/Logging_1382/tillsyn/A 66137-2021 tillsynsbegäran.docx", "A 66137-2021")</f>
        <v/>
      </c>
      <c r="Y69">
        <f>HYPERLINK("https://klasma.github.io/Logging_1382/tillsynsmail/A 66137-2021 tillsynsbegäran mail.docx", "A 66137-2021")</f>
        <v/>
      </c>
    </row>
    <row r="70" ht="15" customHeight="1">
      <c r="A70" t="inlineStr">
        <is>
          <t>A 70738-2021</t>
        </is>
      </c>
      <c r="B70" s="1" t="n">
        <v>44537</v>
      </c>
      <c r="C70" s="1" t="n">
        <v>45757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70738-2021 artfynd.xlsx", "A 70738-2021")</f>
        <v/>
      </c>
      <c r="T70">
        <f>HYPERLINK("https://klasma.github.io/Logging_1380/kartor/A 70738-2021 karta.png", "A 70738-2021")</f>
        <v/>
      </c>
      <c r="V70">
        <f>HYPERLINK("https://klasma.github.io/Logging_1380/klagomål/A 70738-2021 FSC-klagomål.docx", "A 70738-2021")</f>
        <v/>
      </c>
      <c r="W70">
        <f>HYPERLINK("https://klasma.github.io/Logging_1380/klagomålsmail/A 70738-2021 FSC-klagomål mail.docx", "A 70738-2021")</f>
        <v/>
      </c>
      <c r="X70">
        <f>HYPERLINK("https://klasma.github.io/Logging_1380/tillsyn/A 70738-2021 tillsynsbegäran.docx", "A 70738-2021")</f>
        <v/>
      </c>
      <c r="Y70">
        <f>HYPERLINK("https://klasma.github.io/Logging_1380/tillsynsmail/A 70738-2021 tillsynsbegäran mail.docx", "A 70738-2021")</f>
        <v/>
      </c>
    </row>
    <row r="71" ht="15" customHeight="1">
      <c r="A71" t="inlineStr">
        <is>
          <t>A 70769-2021</t>
        </is>
      </c>
      <c r="B71" s="1" t="n">
        <v>44537</v>
      </c>
      <c r="C71" s="1" t="n">
        <v>45757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HYPERLINK("https://klasma.github.io/Logging_1380/artfynd/A 70769-2021 artfynd.xlsx", "A 70769-2021")</f>
        <v/>
      </c>
      <c r="T71">
        <f>HYPERLINK("https://klasma.github.io/Logging_1380/kartor/A 70769-2021 karta.png", "A 70769-2021")</f>
        <v/>
      </c>
      <c r="V71">
        <f>HYPERLINK("https://klasma.github.io/Logging_1380/klagomål/A 70769-2021 FSC-klagomål.docx", "A 70769-2021")</f>
        <v/>
      </c>
      <c r="W71">
        <f>HYPERLINK("https://klasma.github.io/Logging_1380/klagomålsmail/A 70769-2021 FSC-klagomål mail.docx", "A 70769-2021")</f>
        <v/>
      </c>
      <c r="X71">
        <f>HYPERLINK("https://klasma.github.io/Logging_1380/tillsyn/A 70769-2021 tillsynsbegäran.docx", "A 70769-2021")</f>
        <v/>
      </c>
      <c r="Y71">
        <f>HYPERLINK("https://klasma.github.io/Logging_1380/tillsynsmail/A 70769-2021 tillsynsbegäran mail.docx", "A 70769-2021")</f>
        <v/>
      </c>
    </row>
    <row r="72" ht="15" customHeight="1">
      <c r="A72" t="inlineStr">
        <is>
          <t>A 6626-2022</t>
        </is>
      </c>
      <c r="B72" s="1" t="n">
        <v>44601</v>
      </c>
      <c r="C72" s="1" t="n">
        <v>45757</v>
      </c>
      <c r="D72" t="inlineStr">
        <is>
          <t>HALLANDS LÄN</t>
        </is>
      </c>
      <c r="E72" t="inlineStr">
        <is>
          <t>HYLTE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HYPERLINK("https://klasma.github.io/Logging_1315/artfynd/A 6626-2022 artfynd.xlsx", "A 6626-2022")</f>
        <v/>
      </c>
      <c r="T72">
        <f>HYPERLINK("https://klasma.github.io/Logging_1315/kartor/A 6626-2022 karta.png", "A 6626-2022")</f>
        <v/>
      </c>
      <c r="V72">
        <f>HYPERLINK("https://klasma.github.io/Logging_1315/klagomål/A 6626-2022 FSC-klagomål.docx", "A 6626-2022")</f>
        <v/>
      </c>
      <c r="W72">
        <f>HYPERLINK("https://klasma.github.io/Logging_1315/klagomålsmail/A 6626-2022 FSC-klagomål mail.docx", "A 6626-2022")</f>
        <v/>
      </c>
      <c r="X72">
        <f>HYPERLINK("https://klasma.github.io/Logging_1315/tillsyn/A 6626-2022 tillsynsbegäran.docx", "A 6626-2022")</f>
        <v/>
      </c>
      <c r="Y72">
        <f>HYPERLINK("https://klasma.github.io/Logging_1315/tillsynsmail/A 6626-2022 tillsynsbegäran mail.docx", "A 6626-2022")</f>
        <v/>
      </c>
    </row>
    <row r="73" ht="15" customHeight="1">
      <c r="A73" t="inlineStr">
        <is>
          <t>A 8071-2022</t>
        </is>
      </c>
      <c r="B73" s="1" t="n">
        <v>44609</v>
      </c>
      <c r="C73" s="1" t="n">
        <v>45757</v>
      </c>
      <c r="D73" t="inlineStr">
        <is>
          <t>HALLANDS LÄN</t>
        </is>
      </c>
      <c r="E73" t="inlineStr">
        <is>
          <t>HALMSTAD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8071-2022 artfynd.xlsx", "A 8071-2022")</f>
        <v/>
      </c>
      <c r="T73">
        <f>HYPERLINK("https://klasma.github.io/Logging_1380/kartor/A 8071-2022 karta.png", "A 8071-2022")</f>
        <v/>
      </c>
      <c r="V73">
        <f>HYPERLINK("https://klasma.github.io/Logging_1380/klagomål/A 8071-2022 FSC-klagomål.docx", "A 8071-2022")</f>
        <v/>
      </c>
      <c r="W73">
        <f>HYPERLINK("https://klasma.github.io/Logging_1380/klagomålsmail/A 8071-2022 FSC-klagomål mail.docx", "A 8071-2022")</f>
        <v/>
      </c>
      <c r="X73">
        <f>HYPERLINK("https://klasma.github.io/Logging_1380/tillsyn/A 8071-2022 tillsynsbegäran.docx", "A 8071-2022")</f>
        <v/>
      </c>
      <c r="Y73">
        <f>HYPERLINK("https://klasma.github.io/Logging_1380/tillsynsmail/A 8071-2022 tillsynsbegäran mail.docx", "A 8071-2022")</f>
        <v/>
      </c>
    </row>
    <row r="74" ht="15" customHeight="1">
      <c r="A74" t="inlineStr">
        <is>
          <t>A 10567-2022</t>
        </is>
      </c>
      <c r="B74" s="1" t="n">
        <v>44624</v>
      </c>
      <c r="C74" s="1" t="n">
        <v>45757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HYPERLINK("https://klasma.github.io/Logging_1381/artfynd/A 10567-2022 artfynd.xlsx", "A 10567-2022")</f>
        <v/>
      </c>
      <c r="T74">
        <f>HYPERLINK("https://klasma.github.io/Logging_1381/kartor/A 10567-2022 karta.png", "A 10567-2022")</f>
        <v/>
      </c>
      <c r="V74">
        <f>HYPERLINK("https://klasma.github.io/Logging_1381/klagomål/A 10567-2022 FSC-klagomål.docx", "A 10567-2022")</f>
        <v/>
      </c>
      <c r="W74">
        <f>HYPERLINK("https://klasma.github.io/Logging_1381/klagomålsmail/A 10567-2022 FSC-klagomål mail.docx", "A 10567-2022")</f>
        <v/>
      </c>
      <c r="X74">
        <f>HYPERLINK("https://klasma.github.io/Logging_1381/tillsyn/A 10567-2022 tillsynsbegäran.docx", "A 10567-2022")</f>
        <v/>
      </c>
      <c r="Y74">
        <f>HYPERLINK("https://klasma.github.io/Logging_1381/tillsynsmail/A 10567-2022 tillsynsbegäran mail.docx", "A 10567-2022")</f>
        <v/>
      </c>
    </row>
    <row r="75" ht="15" customHeight="1">
      <c r="A75" t="inlineStr">
        <is>
          <t>A 13434-2022</t>
        </is>
      </c>
      <c r="B75" s="1" t="n">
        <v>44645</v>
      </c>
      <c r="C75" s="1" t="n">
        <v>45757</v>
      </c>
      <c r="D75" t="inlineStr">
        <is>
          <t>HALLANDS LÄN</t>
        </is>
      </c>
      <c r="E75" t="inlineStr">
        <is>
          <t>KUNGSBACKA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HYPERLINK("https://klasma.github.io/Logging_1384/artfynd/A 13434-2022 artfynd.xlsx", "A 13434-2022")</f>
        <v/>
      </c>
      <c r="T75">
        <f>HYPERLINK("https://klasma.github.io/Logging_1384/kartor/A 13434-2022 karta.png", "A 13434-2022")</f>
        <v/>
      </c>
      <c r="V75">
        <f>HYPERLINK("https://klasma.github.io/Logging_1384/klagomål/A 13434-2022 FSC-klagomål.docx", "A 13434-2022")</f>
        <v/>
      </c>
      <c r="W75">
        <f>HYPERLINK("https://klasma.github.io/Logging_1384/klagomålsmail/A 13434-2022 FSC-klagomål mail.docx", "A 13434-2022")</f>
        <v/>
      </c>
      <c r="X75">
        <f>HYPERLINK("https://klasma.github.io/Logging_1384/tillsyn/A 13434-2022 tillsynsbegäran.docx", "A 13434-2022")</f>
        <v/>
      </c>
      <c r="Y75">
        <f>HYPERLINK("https://klasma.github.io/Logging_1384/tillsynsmail/A 13434-2022 tillsynsbegäran mail.docx", "A 13434-2022")</f>
        <v/>
      </c>
    </row>
    <row r="76" ht="15" customHeight="1">
      <c r="A76" t="inlineStr">
        <is>
          <t>A 22842-2022</t>
        </is>
      </c>
      <c r="B76" s="1" t="n">
        <v>44715</v>
      </c>
      <c r="C76" s="1" t="n">
        <v>45757</v>
      </c>
      <c r="D76" t="inlineStr">
        <is>
          <t>HALLANDS LÄN</t>
        </is>
      </c>
      <c r="E76" t="inlineStr">
        <is>
          <t>HALMSTAD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22842-2022 artfynd.xlsx", "A 22842-2022")</f>
        <v/>
      </c>
      <c r="T76">
        <f>HYPERLINK("https://klasma.github.io/Logging_1380/kartor/A 22842-2022 karta.png", "A 22842-2022")</f>
        <v/>
      </c>
      <c r="V76">
        <f>HYPERLINK("https://klasma.github.io/Logging_1380/klagomål/A 22842-2022 FSC-klagomål.docx", "A 22842-2022")</f>
        <v/>
      </c>
      <c r="W76">
        <f>HYPERLINK("https://klasma.github.io/Logging_1380/klagomålsmail/A 22842-2022 FSC-klagomål mail.docx", "A 22842-2022")</f>
        <v/>
      </c>
      <c r="X76">
        <f>HYPERLINK("https://klasma.github.io/Logging_1380/tillsyn/A 22842-2022 tillsynsbegäran.docx", "A 22842-2022")</f>
        <v/>
      </c>
      <c r="Y76">
        <f>HYPERLINK("https://klasma.github.io/Logging_1380/tillsynsmail/A 22842-2022 tillsynsbegäran mail.docx", "A 22842-2022")</f>
        <v/>
      </c>
      <c r="Z76">
        <f>HYPERLINK("https://klasma.github.io/Logging_1380/fåglar/A 22842-2022 prioriterade fågelarter.docx", "A 22842-2022")</f>
        <v/>
      </c>
    </row>
    <row r="77" ht="15" customHeight="1">
      <c r="A77" t="inlineStr">
        <is>
          <t>A 24399-2022</t>
        </is>
      </c>
      <c r="B77" s="1" t="n">
        <v>44726</v>
      </c>
      <c r="C77" s="1" t="n">
        <v>45757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24399-2022 artfynd.xlsx", "A 24399-2022")</f>
        <v/>
      </c>
      <c r="T77">
        <f>HYPERLINK("https://klasma.github.io/Logging_1381/kartor/A 24399-2022 karta.png", "A 24399-2022")</f>
        <v/>
      </c>
      <c r="V77">
        <f>HYPERLINK("https://klasma.github.io/Logging_1381/klagomål/A 24399-2022 FSC-klagomål.docx", "A 24399-2022")</f>
        <v/>
      </c>
      <c r="W77">
        <f>HYPERLINK("https://klasma.github.io/Logging_1381/klagomålsmail/A 24399-2022 FSC-klagomål mail.docx", "A 24399-2022")</f>
        <v/>
      </c>
      <c r="X77">
        <f>HYPERLINK("https://klasma.github.io/Logging_1381/tillsyn/A 24399-2022 tillsynsbegäran.docx", "A 24399-2022")</f>
        <v/>
      </c>
      <c r="Y77">
        <f>HYPERLINK("https://klasma.github.io/Logging_1381/tillsynsmail/A 24399-2022 tillsynsbegäran mail.docx", "A 24399-2022")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45757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45757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44937-2022</t>
        </is>
      </c>
      <c r="B80" s="1" t="n">
        <v>44840</v>
      </c>
      <c r="C80" s="1" t="n">
        <v>45757</v>
      </c>
      <c r="D80" t="inlineStr">
        <is>
          <t>HALLANDS LÄN</t>
        </is>
      </c>
      <c r="E80" t="inlineStr">
        <is>
          <t>HALMSTAD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Granbräken</t>
        </is>
      </c>
      <c r="S80">
        <f>HYPERLINK("https://klasma.github.io/Logging_1380/artfynd/A 44937-2022 artfynd.xlsx", "A 44937-2022")</f>
        <v/>
      </c>
      <c r="T80">
        <f>HYPERLINK("https://klasma.github.io/Logging_1380/kartor/A 44937-2022 karta.png", "A 44937-2022")</f>
        <v/>
      </c>
      <c r="V80">
        <f>HYPERLINK("https://klasma.github.io/Logging_1380/klagomål/A 44937-2022 FSC-klagomål.docx", "A 44937-2022")</f>
        <v/>
      </c>
      <c r="W80">
        <f>HYPERLINK("https://klasma.github.io/Logging_1380/klagomålsmail/A 44937-2022 FSC-klagomål mail.docx", "A 44937-2022")</f>
        <v/>
      </c>
      <c r="X80">
        <f>HYPERLINK("https://klasma.github.io/Logging_1380/tillsyn/A 44937-2022 tillsynsbegäran.docx", "A 44937-2022")</f>
        <v/>
      </c>
      <c r="Y80">
        <f>HYPERLINK("https://klasma.github.io/Logging_1380/tillsynsmail/A 44937-2022 tillsynsbegäran mail.docx", "A 44937-2022")</f>
        <v/>
      </c>
    </row>
    <row r="81" ht="15" customHeight="1">
      <c r="A81" t="inlineStr">
        <is>
          <t>A 49551-2022</t>
        </is>
      </c>
      <c r="B81" s="1" t="n">
        <v>44862</v>
      </c>
      <c r="C81" s="1" t="n">
        <v>45757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Guldlockmossa</t>
        </is>
      </c>
      <c r="S81">
        <f>HYPERLINK("https://klasma.github.io/Logging_1383/artfynd/A 49551-2022 artfynd.xlsx", "A 49551-2022")</f>
        <v/>
      </c>
      <c r="T81">
        <f>HYPERLINK("https://klasma.github.io/Logging_1383/kartor/A 49551-2022 karta.png", "A 49551-2022")</f>
        <v/>
      </c>
      <c r="V81">
        <f>HYPERLINK("https://klasma.github.io/Logging_1383/klagomål/A 49551-2022 FSC-klagomål.docx", "A 49551-2022")</f>
        <v/>
      </c>
      <c r="W81">
        <f>HYPERLINK("https://klasma.github.io/Logging_1383/klagomålsmail/A 49551-2022 FSC-klagomål mail.docx", "A 49551-2022")</f>
        <v/>
      </c>
      <c r="X81">
        <f>HYPERLINK("https://klasma.github.io/Logging_1383/tillsyn/A 49551-2022 tillsynsbegäran.docx", "A 49551-2022")</f>
        <v/>
      </c>
      <c r="Y81">
        <f>HYPERLINK("https://klasma.github.io/Logging_1383/tillsynsmail/A 49551-2022 tillsynsbegäran mail.docx", "A 49551-2022")</f>
        <v/>
      </c>
    </row>
    <row r="82" ht="15" customHeight="1">
      <c r="A82" t="inlineStr">
        <is>
          <t>A 52318-2022</t>
        </is>
      </c>
      <c r="B82" s="1" t="n">
        <v>44873</v>
      </c>
      <c r="C82" s="1" t="n">
        <v>45757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HYPERLINK("https://klasma.github.io/Logging_1384/artfynd/A 52318-2022 artfynd.xlsx", "A 52318-2022")</f>
        <v/>
      </c>
      <c r="T82">
        <f>HYPERLINK("https://klasma.github.io/Logging_1384/kartor/A 52318-2022 karta.png", "A 52318-2022")</f>
        <v/>
      </c>
      <c r="V82">
        <f>HYPERLINK("https://klasma.github.io/Logging_1384/klagomål/A 52318-2022 FSC-klagomål.docx", "A 52318-2022")</f>
        <v/>
      </c>
      <c r="W82">
        <f>HYPERLINK("https://klasma.github.io/Logging_1384/klagomålsmail/A 52318-2022 FSC-klagomål mail.docx", "A 52318-2022")</f>
        <v/>
      </c>
      <c r="X82">
        <f>HYPERLINK("https://klasma.github.io/Logging_1384/tillsyn/A 52318-2022 tillsynsbegäran.docx", "A 52318-2022")</f>
        <v/>
      </c>
      <c r="Y82">
        <f>HYPERLINK("https://klasma.github.io/Logging_1384/tillsynsmail/A 52318-2022 tillsynsbegäran mail.docx", "A 52318-2022")</f>
        <v/>
      </c>
    </row>
    <row r="83" ht="15" customHeight="1">
      <c r="A83" t="inlineStr">
        <is>
          <t>A 53584-2022</t>
        </is>
      </c>
      <c r="B83" s="1" t="n">
        <v>44879</v>
      </c>
      <c r="C83" s="1" t="n">
        <v>45757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57564-2022</t>
        </is>
      </c>
      <c r="B84" s="1" t="n">
        <v>44896</v>
      </c>
      <c r="C84" s="1" t="n">
        <v>45757</v>
      </c>
      <c r="D84" t="inlineStr">
        <is>
          <t>HALLANDS LÄN</t>
        </is>
      </c>
      <c r="E84" t="inlineStr">
        <is>
          <t>VARBERG</t>
        </is>
      </c>
      <c r="G84" t="n">
        <v>3.1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HYPERLINK("https://klasma.github.io/Logging_1383/artfynd/A 57564-2022 artfynd.xlsx", "A 57564-2022")</f>
        <v/>
      </c>
      <c r="T84">
        <f>HYPERLINK("https://klasma.github.io/Logging_1383/kartor/A 57564-2022 karta.png", "A 57564-2022")</f>
        <v/>
      </c>
      <c r="V84">
        <f>HYPERLINK("https://klasma.github.io/Logging_1383/klagomål/A 57564-2022 FSC-klagomål.docx", "A 57564-2022")</f>
        <v/>
      </c>
      <c r="W84">
        <f>HYPERLINK("https://klasma.github.io/Logging_1383/klagomålsmail/A 57564-2022 FSC-klagomål mail.docx", "A 57564-2022")</f>
        <v/>
      </c>
      <c r="X84">
        <f>HYPERLINK("https://klasma.github.io/Logging_1383/tillsyn/A 57564-2022 tillsynsbegäran.docx", "A 57564-2022")</f>
        <v/>
      </c>
      <c r="Y84">
        <f>HYPERLINK("https://klasma.github.io/Logging_1383/tillsynsmail/A 57564-2022 tillsynsbegäran mail.docx", "A 57564-2022")</f>
        <v/>
      </c>
      <c r="Z84">
        <f>HYPERLINK("https://klasma.github.io/Logging_1383/fåglar/A 57564-2022 prioriterade fågelarter.docx", "A 57564-2022")</f>
        <v/>
      </c>
    </row>
    <row r="85" ht="15" customHeight="1">
      <c r="A85" t="inlineStr">
        <is>
          <t>A 3062-2023</t>
        </is>
      </c>
      <c r="B85" s="1" t="n">
        <v>44946</v>
      </c>
      <c r="C85" s="1" t="n">
        <v>45757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HYPERLINK("https://klasma.github.io/Logging_1382/artfynd/A 3062-2023 artfynd.xlsx", "A 3062-2023")</f>
        <v/>
      </c>
      <c r="T85">
        <f>HYPERLINK("https://klasma.github.io/Logging_1382/kartor/A 3062-2023 karta.png", "A 3062-2023")</f>
        <v/>
      </c>
      <c r="V85">
        <f>HYPERLINK("https://klasma.github.io/Logging_1382/klagomål/A 3062-2023 FSC-klagomål.docx", "A 3062-2023")</f>
        <v/>
      </c>
      <c r="W85">
        <f>HYPERLINK("https://klasma.github.io/Logging_1382/klagomålsmail/A 3062-2023 FSC-klagomål mail.docx", "A 3062-2023")</f>
        <v/>
      </c>
      <c r="X85">
        <f>HYPERLINK("https://klasma.github.io/Logging_1382/tillsyn/A 3062-2023 tillsynsbegäran.docx", "A 3062-2023")</f>
        <v/>
      </c>
      <c r="Y85">
        <f>HYPERLINK("https://klasma.github.io/Logging_1382/tillsynsmail/A 3062-2023 tillsynsbegäran mail.docx", "A 3062-2023")</f>
        <v/>
      </c>
    </row>
    <row r="86" ht="15" customHeight="1">
      <c r="A86" t="inlineStr">
        <is>
          <t>A 9006-2023</t>
        </is>
      </c>
      <c r="B86" s="1" t="n">
        <v>44979</v>
      </c>
      <c r="C86" s="1" t="n">
        <v>45757</v>
      </c>
      <c r="D86" t="inlineStr">
        <is>
          <t>HALLANDS LÄN</t>
        </is>
      </c>
      <c r="E86" t="inlineStr">
        <is>
          <t>KUNGSBACKA</t>
        </is>
      </c>
      <c r="G86" t="n">
        <v>13.5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Hedjohannesört</t>
        </is>
      </c>
      <c r="S86">
        <f>HYPERLINK("https://klasma.github.io/Logging_1384/artfynd/A 9006-2023 artfynd.xlsx", "A 9006-2023")</f>
        <v/>
      </c>
      <c r="T86">
        <f>HYPERLINK("https://klasma.github.io/Logging_1384/kartor/A 9006-2023 karta.png", "A 9006-2023")</f>
        <v/>
      </c>
      <c r="V86">
        <f>HYPERLINK("https://klasma.github.io/Logging_1384/klagomål/A 9006-2023 FSC-klagomål.docx", "A 9006-2023")</f>
        <v/>
      </c>
      <c r="W86">
        <f>HYPERLINK("https://klasma.github.io/Logging_1384/klagomålsmail/A 9006-2023 FSC-klagomål mail.docx", "A 9006-2023")</f>
        <v/>
      </c>
      <c r="X86">
        <f>HYPERLINK("https://klasma.github.io/Logging_1384/tillsyn/A 9006-2023 tillsynsbegäran.docx", "A 9006-2023")</f>
        <v/>
      </c>
      <c r="Y86">
        <f>HYPERLINK("https://klasma.github.io/Logging_1384/tillsynsmail/A 9006-2023 tillsynsbegäran mail.docx", "A 9006-2023")</f>
        <v/>
      </c>
    </row>
    <row r="87" ht="15" customHeight="1">
      <c r="A87" t="inlineStr">
        <is>
          <t>A 12185-2023</t>
        </is>
      </c>
      <c r="B87" s="1" t="n">
        <v>44998</v>
      </c>
      <c r="C87" s="1" t="n">
        <v>45757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HYPERLINK("https://klasma.github.io/Logging_1380/artfynd/A 12185-2023 artfynd.xlsx", "A 12185-2023")</f>
        <v/>
      </c>
      <c r="T87">
        <f>HYPERLINK("https://klasma.github.io/Logging_1380/kartor/A 12185-2023 karta.png", "A 12185-2023")</f>
        <v/>
      </c>
      <c r="V87">
        <f>HYPERLINK("https://klasma.github.io/Logging_1380/klagomål/A 12185-2023 FSC-klagomål.docx", "A 12185-2023")</f>
        <v/>
      </c>
      <c r="W87">
        <f>HYPERLINK("https://klasma.github.io/Logging_1380/klagomålsmail/A 12185-2023 FSC-klagomål mail.docx", "A 12185-2023")</f>
        <v/>
      </c>
      <c r="X87">
        <f>HYPERLINK("https://klasma.github.io/Logging_1380/tillsyn/A 12185-2023 tillsynsbegäran.docx", "A 12185-2023")</f>
        <v/>
      </c>
      <c r="Y87">
        <f>HYPERLINK("https://klasma.github.io/Logging_1380/tillsynsmail/A 12185-2023 tillsynsbegäran mail.docx", "A 12185-2023")</f>
        <v/>
      </c>
    </row>
    <row r="88" ht="15" customHeight="1">
      <c r="A88" t="inlineStr">
        <is>
          <t>A 23050-2023</t>
        </is>
      </c>
      <c r="B88" s="1" t="n">
        <v>45075</v>
      </c>
      <c r="C88" s="1" t="n">
        <v>45757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23050-2023 artfynd.xlsx", "A 23050-2023")</f>
        <v/>
      </c>
      <c r="T88">
        <f>HYPERLINK("https://klasma.github.io/Logging_1383/kartor/A 23050-2023 karta.png", "A 23050-2023")</f>
        <v/>
      </c>
      <c r="V88">
        <f>HYPERLINK("https://klasma.github.io/Logging_1383/klagomål/A 23050-2023 FSC-klagomål.docx", "A 23050-2023")</f>
        <v/>
      </c>
      <c r="W88">
        <f>HYPERLINK("https://klasma.github.io/Logging_1383/klagomålsmail/A 23050-2023 FSC-klagomål mail.docx", "A 23050-2023")</f>
        <v/>
      </c>
      <c r="X88">
        <f>HYPERLINK("https://klasma.github.io/Logging_1383/tillsyn/A 23050-2023 tillsynsbegäran.docx", "A 23050-2023")</f>
        <v/>
      </c>
      <c r="Y88">
        <f>HYPERLINK("https://klasma.github.io/Logging_1383/tillsynsmail/A 23050-2023 tillsynsbegäran mail.docx", "A 23050-2023")</f>
        <v/>
      </c>
    </row>
    <row r="89" ht="15" customHeight="1">
      <c r="A89" t="inlineStr">
        <is>
          <t>A 28111-2023</t>
        </is>
      </c>
      <c r="B89" s="1" t="n">
        <v>45099</v>
      </c>
      <c r="C89" s="1" t="n">
        <v>45757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Pärluggla</t>
        </is>
      </c>
      <c r="S89">
        <f>HYPERLINK("https://klasma.github.io/Logging_1315/artfynd/A 28111-2023 artfynd.xlsx", "A 28111-2023")</f>
        <v/>
      </c>
      <c r="T89">
        <f>HYPERLINK("https://klasma.github.io/Logging_1315/kartor/A 28111-2023 karta.png", "A 28111-2023")</f>
        <v/>
      </c>
      <c r="V89">
        <f>HYPERLINK("https://klasma.github.io/Logging_1315/klagomål/A 28111-2023 FSC-klagomål.docx", "A 28111-2023")</f>
        <v/>
      </c>
      <c r="W89">
        <f>HYPERLINK("https://klasma.github.io/Logging_1315/klagomålsmail/A 28111-2023 FSC-klagomål mail.docx", "A 28111-2023")</f>
        <v/>
      </c>
      <c r="X89">
        <f>HYPERLINK("https://klasma.github.io/Logging_1315/tillsyn/A 28111-2023 tillsynsbegäran.docx", "A 28111-2023")</f>
        <v/>
      </c>
      <c r="Y89">
        <f>HYPERLINK("https://klasma.github.io/Logging_1315/tillsynsmail/A 28111-2023 tillsynsbegäran mail.docx", "A 28111-2023")</f>
        <v/>
      </c>
      <c r="Z89">
        <f>HYPERLINK("https://klasma.github.io/Logging_1315/fåglar/A 28111-2023 prioriterade fågelarter.docx", "A 28111-2023")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45757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33757-2023</t>
        </is>
      </c>
      <c r="B91" s="1" t="n">
        <v>45120</v>
      </c>
      <c r="C91" s="1" t="n">
        <v>45757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33757-2023 artfynd.xlsx", "A 33757-2023")</f>
        <v/>
      </c>
      <c r="T91">
        <f>HYPERLINK("https://klasma.github.io/Logging_1380/kartor/A 33757-2023 karta.png", "A 33757-2023")</f>
        <v/>
      </c>
      <c r="V91">
        <f>HYPERLINK("https://klasma.github.io/Logging_1380/klagomål/A 33757-2023 FSC-klagomål.docx", "A 33757-2023")</f>
        <v/>
      </c>
      <c r="W91">
        <f>HYPERLINK("https://klasma.github.io/Logging_1380/klagomålsmail/A 33757-2023 FSC-klagomål mail.docx", "A 33757-2023")</f>
        <v/>
      </c>
      <c r="X91">
        <f>HYPERLINK("https://klasma.github.io/Logging_1380/tillsyn/A 33757-2023 tillsynsbegäran.docx", "A 33757-2023")</f>
        <v/>
      </c>
      <c r="Y91">
        <f>HYPERLINK("https://klasma.github.io/Logging_1380/tillsynsmail/A 33757-2023 tillsynsbegäran mail.docx", "A 33757-2023")</f>
        <v/>
      </c>
    </row>
    <row r="92" ht="15" customHeight="1">
      <c r="A92" t="inlineStr">
        <is>
          <t>A 34831-2023</t>
        </is>
      </c>
      <c r="B92" s="1" t="n">
        <v>45141</v>
      </c>
      <c r="C92" s="1" t="n">
        <v>45757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34831-2023 artfynd.xlsx", "A 34831-2023")</f>
        <v/>
      </c>
      <c r="T92">
        <f>HYPERLINK("https://klasma.github.io/Logging_1383/kartor/A 34831-2023 karta.png", "A 34831-2023")</f>
        <v/>
      </c>
      <c r="V92">
        <f>HYPERLINK("https://klasma.github.io/Logging_1383/klagomål/A 34831-2023 FSC-klagomål.docx", "A 34831-2023")</f>
        <v/>
      </c>
      <c r="W92">
        <f>HYPERLINK("https://klasma.github.io/Logging_1383/klagomålsmail/A 34831-2023 FSC-klagomål mail.docx", "A 34831-2023")</f>
        <v/>
      </c>
      <c r="X92">
        <f>HYPERLINK("https://klasma.github.io/Logging_1383/tillsyn/A 34831-2023 tillsynsbegäran.docx", "A 34831-2023")</f>
        <v/>
      </c>
      <c r="Y92">
        <f>HYPERLINK("https://klasma.github.io/Logging_1383/tillsynsmail/A 34831-2023 tillsynsbegäran mail.docx", "A 34831-2023")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45757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35453-2023</t>
        </is>
      </c>
      <c r="B94" s="1" t="n">
        <v>45146</v>
      </c>
      <c r="C94" s="1" t="n">
        <v>45757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45757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40523-2023</t>
        </is>
      </c>
      <c r="B96" s="1" t="n">
        <v>45168</v>
      </c>
      <c r="C96" s="1" t="n">
        <v>45757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40523-2023 artfynd.xlsx", "A 40523-2023")</f>
        <v/>
      </c>
      <c r="T96">
        <f>HYPERLINK("https://klasma.github.io/Logging_1380/kartor/A 40523-2023 karta.png", "A 40523-2023")</f>
        <v/>
      </c>
      <c r="V96">
        <f>HYPERLINK("https://klasma.github.io/Logging_1380/klagomål/A 40523-2023 FSC-klagomål.docx", "A 40523-2023")</f>
        <v/>
      </c>
      <c r="W96">
        <f>HYPERLINK("https://klasma.github.io/Logging_1380/klagomålsmail/A 40523-2023 FSC-klagomål mail.docx", "A 40523-2023")</f>
        <v/>
      </c>
      <c r="X96">
        <f>HYPERLINK("https://klasma.github.io/Logging_1380/tillsyn/A 40523-2023 tillsynsbegäran.docx", "A 40523-2023")</f>
        <v/>
      </c>
      <c r="Y96">
        <f>HYPERLINK("https://klasma.github.io/Logging_1380/tillsynsmail/A 40523-2023 tillsynsbegäran mail.docx", "A 40523-2023")</f>
        <v/>
      </c>
      <c r="Z96">
        <f>HYPERLINK("https://klasma.github.io/Logging_1380/fåglar/A 40523-2023 prioriterade fågelarter.docx", "A 40523-2023")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45757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45757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42311-2023</t>
        </is>
      </c>
      <c r="B99" s="1" t="n">
        <v>45175</v>
      </c>
      <c r="C99" s="1" t="n">
        <v>45757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42311-2023 artfynd.xlsx", "A 42311-2023")</f>
        <v/>
      </c>
      <c r="T99">
        <f>HYPERLINK("https://klasma.github.io/Logging_1380/kartor/A 42311-2023 karta.png", "A 42311-2023")</f>
        <v/>
      </c>
      <c r="V99">
        <f>HYPERLINK("https://klasma.github.io/Logging_1380/klagomål/A 42311-2023 FSC-klagomål.docx", "A 42311-2023")</f>
        <v/>
      </c>
      <c r="W99">
        <f>HYPERLINK("https://klasma.github.io/Logging_1380/klagomålsmail/A 42311-2023 FSC-klagomål mail.docx", "A 42311-2023")</f>
        <v/>
      </c>
      <c r="X99">
        <f>HYPERLINK("https://klasma.github.io/Logging_1380/tillsyn/A 42311-2023 tillsynsbegäran.docx", "A 42311-2023")</f>
        <v/>
      </c>
      <c r="Y99">
        <f>HYPERLINK("https://klasma.github.io/Logging_1380/tillsynsmail/A 42311-2023 tillsynsbegäran mail.docx", "A 42311-2023")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45757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47773-2023</t>
        </is>
      </c>
      <c r="B101" s="1" t="n">
        <v>45203</v>
      </c>
      <c r="C101" s="1" t="n">
        <v>45757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HYPERLINK("https://klasma.github.io/Logging_1380/artfynd/A 47773-2023 artfynd.xlsx", "A 47773-2023")</f>
        <v/>
      </c>
      <c r="T101">
        <f>HYPERLINK("https://klasma.github.io/Logging_1380/kartor/A 47773-2023 karta.png", "A 47773-2023")</f>
        <v/>
      </c>
      <c r="V101">
        <f>HYPERLINK("https://klasma.github.io/Logging_1380/klagomål/A 47773-2023 FSC-klagomål.docx", "A 47773-2023")</f>
        <v/>
      </c>
      <c r="W101">
        <f>HYPERLINK("https://klasma.github.io/Logging_1380/klagomålsmail/A 47773-2023 FSC-klagomål mail.docx", "A 47773-2023")</f>
        <v/>
      </c>
      <c r="X101">
        <f>HYPERLINK("https://klasma.github.io/Logging_1380/tillsyn/A 47773-2023 tillsynsbegäran.docx", "A 47773-2023")</f>
        <v/>
      </c>
      <c r="Y101">
        <f>HYPERLINK("https://klasma.github.io/Logging_1380/tillsynsmail/A 47773-2023 tillsynsbegäran mail.docx", "A 47773-2023")</f>
        <v/>
      </c>
    </row>
    <row r="102" ht="15" customHeight="1">
      <c r="A102" t="inlineStr">
        <is>
          <t>A 47997-2023</t>
        </is>
      </c>
      <c r="B102" s="1" t="n">
        <v>45204</v>
      </c>
      <c r="C102" s="1" t="n">
        <v>45757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47997-2023 artfynd.xlsx", "A 47997-2023")</f>
        <v/>
      </c>
      <c r="T102">
        <f>HYPERLINK("https://klasma.github.io/Logging_1380/kartor/A 47997-2023 karta.png", "A 47997-2023")</f>
        <v/>
      </c>
      <c r="V102">
        <f>HYPERLINK("https://klasma.github.io/Logging_1380/klagomål/A 47997-2023 FSC-klagomål.docx", "A 47997-2023")</f>
        <v/>
      </c>
      <c r="W102">
        <f>HYPERLINK("https://klasma.github.io/Logging_1380/klagomålsmail/A 47997-2023 FSC-klagomål mail.docx", "A 47997-2023")</f>
        <v/>
      </c>
      <c r="X102">
        <f>HYPERLINK("https://klasma.github.io/Logging_1380/tillsyn/A 47997-2023 tillsynsbegäran.docx", "A 47997-2023")</f>
        <v/>
      </c>
      <c r="Y102">
        <f>HYPERLINK("https://klasma.github.io/Logging_1380/tillsynsmail/A 47997-2023 tillsynsbegäran mail.docx", "A 47997-2023")</f>
        <v/>
      </c>
    </row>
    <row r="103" ht="15" customHeight="1">
      <c r="A103" t="inlineStr">
        <is>
          <t>A 48281-2023</t>
        </is>
      </c>
      <c r="B103" s="1" t="n">
        <v>45205</v>
      </c>
      <c r="C103" s="1" t="n">
        <v>45757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HYPERLINK("https://klasma.github.io/Logging_1381/artfynd/A 48281-2023 artfynd.xlsx", "A 48281-2023")</f>
        <v/>
      </c>
      <c r="T103">
        <f>HYPERLINK("https://klasma.github.io/Logging_1381/kartor/A 48281-2023 karta.png", "A 48281-2023")</f>
        <v/>
      </c>
      <c r="V103">
        <f>HYPERLINK("https://klasma.github.io/Logging_1381/klagomål/A 48281-2023 FSC-klagomål.docx", "A 48281-2023")</f>
        <v/>
      </c>
      <c r="W103">
        <f>HYPERLINK("https://klasma.github.io/Logging_1381/klagomålsmail/A 48281-2023 FSC-klagomål mail.docx", "A 48281-2023")</f>
        <v/>
      </c>
      <c r="X103">
        <f>HYPERLINK("https://klasma.github.io/Logging_1381/tillsyn/A 48281-2023 tillsynsbegäran.docx", "A 48281-2023")</f>
        <v/>
      </c>
      <c r="Y103">
        <f>HYPERLINK("https://klasma.github.io/Logging_1381/tillsynsmail/A 48281-2023 tillsynsbegäran mail.docx", "A 48281-2023")</f>
        <v/>
      </c>
    </row>
    <row r="104" ht="15" customHeight="1">
      <c r="A104" t="inlineStr">
        <is>
          <t>A 55580-2023</t>
        </is>
      </c>
      <c r="B104" s="1" t="n">
        <v>45238</v>
      </c>
      <c r="C104" s="1" t="n">
        <v>45757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Hårginst</t>
        </is>
      </c>
      <c r="S104">
        <f>HYPERLINK("https://klasma.github.io/Logging_1380/artfynd/A 55580-2023 artfynd.xlsx", "A 55580-2023")</f>
        <v/>
      </c>
      <c r="T104">
        <f>HYPERLINK("https://klasma.github.io/Logging_1380/kartor/A 55580-2023 karta.png", "A 55580-2023")</f>
        <v/>
      </c>
      <c r="V104">
        <f>HYPERLINK("https://klasma.github.io/Logging_1380/klagomål/A 55580-2023 FSC-klagomål.docx", "A 55580-2023")</f>
        <v/>
      </c>
      <c r="W104">
        <f>HYPERLINK("https://klasma.github.io/Logging_1380/klagomålsmail/A 55580-2023 FSC-klagomål mail.docx", "A 55580-2023")</f>
        <v/>
      </c>
      <c r="X104">
        <f>HYPERLINK("https://klasma.github.io/Logging_1380/tillsyn/A 55580-2023 tillsynsbegäran.docx", "A 55580-2023")</f>
        <v/>
      </c>
      <c r="Y104">
        <f>HYPERLINK("https://klasma.github.io/Logging_1380/tillsynsmail/A 55580-2023 tillsynsbegäran mail.docx", "A 55580-2023")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45757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45757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58664-2023</t>
        </is>
      </c>
      <c r="B107" s="1" t="n">
        <v>45251</v>
      </c>
      <c r="C107" s="1" t="n">
        <v>45757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58664-2023 artfynd.xlsx", "A 58664-2023")</f>
        <v/>
      </c>
      <c r="T107">
        <f>HYPERLINK("https://klasma.github.io/Logging_1382/kartor/A 58664-2023 karta.png", "A 58664-2023")</f>
        <v/>
      </c>
      <c r="V107">
        <f>HYPERLINK("https://klasma.github.io/Logging_1382/klagomål/A 58664-2023 FSC-klagomål.docx", "A 58664-2023")</f>
        <v/>
      </c>
      <c r="W107">
        <f>HYPERLINK("https://klasma.github.io/Logging_1382/klagomålsmail/A 58664-2023 FSC-klagomål mail.docx", "A 58664-2023")</f>
        <v/>
      </c>
      <c r="X107">
        <f>HYPERLINK("https://klasma.github.io/Logging_1382/tillsyn/A 58664-2023 tillsynsbegäran.docx", "A 58664-2023")</f>
        <v/>
      </c>
      <c r="Y107">
        <f>HYPERLINK("https://klasma.github.io/Logging_1382/tillsynsmail/A 58664-2023 tillsynsbegäran mail.docx", "A 58664-2023")</f>
        <v/>
      </c>
    </row>
    <row r="108" ht="15" customHeight="1">
      <c r="A108" t="inlineStr">
        <is>
          <t>A 60387-2023</t>
        </is>
      </c>
      <c r="B108" s="1" t="n">
        <v>45259</v>
      </c>
      <c r="C108" s="1" t="n">
        <v>45757</v>
      </c>
      <c r="D108" t="inlineStr">
        <is>
          <t>HALLANDS LÄN</t>
        </is>
      </c>
      <c r="E108" t="inlineStr">
        <is>
          <t>HALMSTAD</t>
        </is>
      </c>
      <c r="G108" t="n">
        <v>3.9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HYPERLINK("https://klasma.github.io/Logging_1380/artfynd/A 60387-2023 artfynd.xlsx", "A 60387-2023")</f>
        <v/>
      </c>
      <c r="T108">
        <f>HYPERLINK("https://klasma.github.io/Logging_1380/kartor/A 60387-2023 karta.png", "A 60387-2023")</f>
        <v/>
      </c>
      <c r="V108">
        <f>HYPERLINK("https://klasma.github.io/Logging_1380/klagomål/A 60387-2023 FSC-klagomål.docx", "A 60387-2023")</f>
        <v/>
      </c>
      <c r="W108">
        <f>HYPERLINK("https://klasma.github.io/Logging_1380/klagomålsmail/A 60387-2023 FSC-klagomål mail.docx", "A 60387-2023")</f>
        <v/>
      </c>
      <c r="X108">
        <f>HYPERLINK("https://klasma.github.io/Logging_1380/tillsyn/A 60387-2023 tillsynsbegäran.docx", "A 60387-2023")</f>
        <v/>
      </c>
      <c r="Y108">
        <f>HYPERLINK("https://klasma.github.io/Logging_1380/tillsynsmail/A 60387-2023 tillsynsbegäran mail.docx", "A 60387-2023")</f>
        <v/>
      </c>
      <c r="Z108">
        <f>HYPERLINK("https://klasma.github.io/Logging_1380/fåglar/A 60387-2023 prioriterade fågelarter.docx", "A 60387-2023")</f>
        <v/>
      </c>
    </row>
    <row r="109" ht="15" customHeight="1">
      <c r="A109" t="inlineStr">
        <is>
          <t>A 61519-2023</t>
        </is>
      </c>
      <c r="B109" s="1" t="n">
        <v>45265</v>
      </c>
      <c r="C109" s="1" t="n">
        <v>45757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15.9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61519-2023 artfynd.xlsx", "A 61519-2023")</f>
        <v/>
      </c>
      <c r="T109">
        <f>HYPERLINK("https://klasma.github.io/Logging_1381/kartor/A 61519-2023 karta.png", "A 61519-2023")</f>
        <v/>
      </c>
      <c r="V109">
        <f>HYPERLINK("https://klasma.github.io/Logging_1381/klagomål/A 61519-2023 FSC-klagomål.docx", "A 61519-2023")</f>
        <v/>
      </c>
      <c r="W109">
        <f>HYPERLINK("https://klasma.github.io/Logging_1381/klagomålsmail/A 61519-2023 FSC-klagomål mail.docx", "A 61519-2023")</f>
        <v/>
      </c>
      <c r="X109">
        <f>HYPERLINK("https://klasma.github.io/Logging_1381/tillsyn/A 61519-2023 tillsynsbegäran.docx", "A 61519-2023")</f>
        <v/>
      </c>
      <c r="Y109">
        <f>HYPERLINK("https://klasma.github.io/Logging_1381/tillsynsmail/A 61519-2023 tillsynsbegäran mail.docx", "A 61519-2023")</f>
        <v/>
      </c>
      <c r="Z109">
        <f>HYPERLINK("https://klasma.github.io/Logging_1381/fåglar/A 61519-2023 prioriterade fågelarter.docx", "A 61519-2023")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45757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2988-2024</t>
        </is>
      </c>
      <c r="B111" s="1" t="n">
        <v>45315</v>
      </c>
      <c r="C111" s="1" t="n">
        <v>45757</v>
      </c>
      <c r="D111" t="inlineStr">
        <is>
          <t>HALLANDS LÄN</t>
        </is>
      </c>
      <c r="E111" t="inlineStr">
        <is>
          <t>KUNGSBACKA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2988-2024 artfynd.xlsx", "A 2988-2024")</f>
        <v/>
      </c>
      <c r="T111">
        <f>HYPERLINK("https://klasma.github.io/Logging_1384/kartor/A 2988-2024 karta.png", "A 2988-2024")</f>
        <v/>
      </c>
      <c r="V111">
        <f>HYPERLINK("https://klasma.github.io/Logging_1384/klagomål/A 2988-2024 FSC-klagomål.docx", "A 2988-2024")</f>
        <v/>
      </c>
      <c r="W111">
        <f>HYPERLINK("https://klasma.github.io/Logging_1384/klagomålsmail/A 2988-2024 FSC-klagomål mail.docx", "A 2988-2024")</f>
        <v/>
      </c>
      <c r="X111">
        <f>HYPERLINK("https://klasma.github.io/Logging_1384/tillsyn/A 2988-2024 tillsynsbegäran.docx", "A 2988-2024")</f>
        <v/>
      </c>
      <c r="Y111">
        <f>HYPERLINK("https://klasma.github.io/Logging_1384/tillsynsmail/A 2988-2024 tillsynsbegäran mail.docx", "A 2988-2024")</f>
        <v/>
      </c>
    </row>
    <row r="112" ht="15" customHeight="1">
      <c r="A112" t="inlineStr">
        <is>
          <t>A 2994-2024</t>
        </is>
      </c>
      <c r="B112" s="1" t="n">
        <v>45315</v>
      </c>
      <c r="C112" s="1" t="n">
        <v>45757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HYPERLINK("https://klasma.github.io/Logging_1380/artfynd/A 2994-2024 artfynd.xlsx", "A 2994-2024")</f>
        <v/>
      </c>
      <c r="T112">
        <f>HYPERLINK("https://klasma.github.io/Logging_1380/kartor/A 2994-2024 karta.png", "A 2994-2024")</f>
        <v/>
      </c>
      <c r="V112">
        <f>HYPERLINK("https://klasma.github.io/Logging_1380/klagomål/A 2994-2024 FSC-klagomål.docx", "A 2994-2024")</f>
        <v/>
      </c>
      <c r="W112">
        <f>HYPERLINK("https://klasma.github.io/Logging_1380/klagomålsmail/A 2994-2024 FSC-klagomål mail.docx", "A 2994-2024")</f>
        <v/>
      </c>
      <c r="X112">
        <f>HYPERLINK("https://klasma.github.io/Logging_1380/tillsyn/A 2994-2024 tillsynsbegäran.docx", "A 2994-2024")</f>
        <v/>
      </c>
      <c r="Y112">
        <f>HYPERLINK("https://klasma.github.io/Logging_1380/tillsynsmail/A 2994-2024 tillsynsbegäran mail.docx", "A 2994-2024")</f>
        <v/>
      </c>
    </row>
    <row r="113" ht="15" customHeight="1">
      <c r="A113" t="inlineStr">
        <is>
          <t>A 3369-2024</t>
        </is>
      </c>
      <c r="B113" s="1" t="n">
        <v>45317</v>
      </c>
      <c r="C113" s="1" t="n">
        <v>45757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Brödmärgsticka</t>
        </is>
      </c>
      <c r="S113">
        <f>HYPERLINK("https://klasma.github.io/Logging_1383/artfynd/A 3369-2024 artfynd.xlsx", "A 3369-2024")</f>
        <v/>
      </c>
      <c r="T113">
        <f>HYPERLINK("https://klasma.github.io/Logging_1383/kartor/A 3369-2024 karta.png", "A 3369-2024")</f>
        <v/>
      </c>
      <c r="V113">
        <f>HYPERLINK("https://klasma.github.io/Logging_1383/klagomål/A 3369-2024 FSC-klagomål.docx", "A 3369-2024")</f>
        <v/>
      </c>
      <c r="W113">
        <f>HYPERLINK("https://klasma.github.io/Logging_1383/klagomålsmail/A 3369-2024 FSC-klagomål mail.docx", "A 3369-2024")</f>
        <v/>
      </c>
      <c r="X113">
        <f>HYPERLINK("https://klasma.github.io/Logging_1383/tillsyn/A 3369-2024 tillsynsbegäran.docx", "A 3369-2024")</f>
        <v/>
      </c>
      <c r="Y113">
        <f>HYPERLINK("https://klasma.github.io/Logging_1383/tillsynsmail/A 3369-2024 tillsynsbegäran mail.docx", "A 3369-2024")</f>
        <v/>
      </c>
    </row>
    <row r="114" ht="15" customHeight="1">
      <c r="A114" t="inlineStr">
        <is>
          <t>A 7006-2024</t>
        </is>
      </c>
      <c r="B114" s="1" t="n">
        <v>45343</v>
      </c>
      <c r="C114" s="1" t="n">
        <v>45757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45757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9999-2024</t>
        </is>
      </c>
      <c r="B116" s="1" t="n">
        <v>45363</v>
      </c>
      <c r="C116" s="1" t="n">
        <v>45757</v>
      </c>
      <c r="D116" t="inlineStr">
        <is>
          <t>HALLANDS LÄN</t>
        </is>
      </c>
      <c r="E116" t="inlineStr">
        <is>
          <t>FALKENBERG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Åkerfibbla</t>
        </is>
      </c>
      <c r="S116">
        <f>HYPERLINK("https://klasma.github.io/Logging_1382/artfynd/A 9999-2024 artfynd.xlsx", "A 9999-2024")</f>
        <v/>
      </c>
      <c r="T116">
        <f>HYPERLINK("https://klasma.github.io/Logging_1382/kartor/A 9999-2024 karta.png", "A 9999-2024")</f>
        <v/>
      </c>
      <c r="V116">
        <f>HYPERLINK("https://klasma.github.io/Logging_1382/klagomål/A 9999-2024 FSC-klagomål.docx", "A 9999-2024")</f>
        <v/>
      </c>
      <c r="W116">
        <f>HYPERLINK("https://klasma.github.io/Logging_1382/klagomålsmail/A 9999-2024 FSC-klagomål mail.docx", "A 9999-2024")</f>
        <v/>
      </c>
      <c r="X116">
        <f>HYPERLINK("https://klasma.github.io/Logging_1382/tillsyn/A 9999-2024 tillsynsbegäran.docx", "A 9999-2024")</f>
        <v/>
      </c>
      <c r="Y116">
        <f>HYPERLINK("https://klasma.github.io/Logging_1382/tillsynsmail/A 9999-2024 tillsynsbegäran mail.docx", "A 9999-2024")</f>
        <v/>
      </c>
    </row>
    <row r="117" ht="15" customHeight="1">
      <c r="A117" t="inlineStr">
        <is>
          <t>A 10229-2024</t>
        </is>
      </c>
      <c r="B117" s="1" t="n">
        <v>45365</v>
      </c>
      <c r="C117" s="1" t="n">
        <v>45757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Trind spretmossa</t>
        </is>
      </c>
      <c r="S117">
        <f>HYPERLINK("https://klasma.github.io/Logging_1380/artfynd/A 10229-2024 artfynd.xlsx", "A 10229-2024")</f>
        <v/>
      </c>
      <c r="T117">
        <f>HYPERLINK("https://klasma.github.io/Logging_1380/kartor/A 10229-2024 karta.png", "A 10229-2024")</f>
        <v/>
      </c>
      <c r="V117">
        <f>HYPERLINK("https://klasma.github.io/Logging_1380/klagomål/A 10229-2024 FSC-klagomål.docx", "A 10229-2024")</f>
        <v/>
      </c>
      <c r="W117">
        <f>HYPERLINK("https://klasma.github.io/Logging_1380/klagomålsmail/A 10229-2024 FSC-klagomål mail.docx", "A 10229-2024")</f>
        <v/>
      </c>
      <c r="X117">
        <f>HYPERLINK("https://klasma.github.io/Logging_1380/tillsyn/A 10229-2024 tillsynsbegäran.docx", "A 10229-2024")</f>
        <v/>
      </c>
      <c r="Y117">
        <f>HYPERLINK("https://klasma.github.io/Logging_1380/tillsynsmail/A 10229-2024 tillsynsbegäran mail.docx", "A 10229-2024")</f>
        <v/>
      </c>
    </row>
    <row r="118" ht="15" customHeight="1">
      <c r="A118" t="inlineStr">
        <is>
          <t>A 21622-2024</t>
        </is>
      </c>
      <c r="B118" s="1" t="n">
        <v>45442</v>
      </c>
      <c r="C118" s="1" t="n">
        <v>45757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21622-2024 artfynd.xlsx", "A 21622-2024")</f>
        <v/>
      </c>
      <c r="T118">
        <f>HYPERLINK("https://klasma.github.io/Logging_1380/kartor/A 21622-2024 karta.png", "A 21622-2024")</f>
        <v/>
      </c>
      <c r="V118">
        <f>HYPERLINK("https://klasma.github.io/Logging_1380/klagomål/A 21622-2024 FSC-klagomål.docx", "A 21622-2024")</f>
        <v/>
      </c>
      <c r="W118">
        <f>HYPERLINK("https://klasma.github.io/Logging_1380/klagomålsmail/A 21622-2024 FSC-klagomål mail.docx", "A 21622-2024")</f>
        <v/>
      </c>
      <c r="X118">
        <f>HYPERLINK("https://klasma.github.io/Logging_1380/tillsyn/A 21622-2024 tillsynsbegäran.docx", "A 21622-2024")</f>
        <v/>
      </c>
      <c r="Y118">
        <f>HYPERLINK("https://klasma.github.io/Logging_1380/tillsynsmail/A 21622-2024 tillsynsbegäran mail.docx", "A 21622-2024")</f>
        <v/>
      </c>
    </row>
    <row r="119" ht="15" customHeight="1">
      <c r="A119" t="inlineStr">
        <is>
          <t>A 24055-2024</t>
        </is>
      </c>
      <c r="B119" s="1" t="n">
        <v>45456</v>
      </c>
      <c r="C119" s="1" t="n">
        <v>45757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24055-2024 artfynd.xlsx", "A 24055-2024")</f>
        <v/>
      </c>
      <c r="T119">
        <f>HYPERLINK("https://klasma.github.io/Logging_1382/kartor/A 24055-2024 karta.png", "A 24055-2024")</f>
        <v/>
      </c>
      <c r="V119">
        <f>HYPERLINK("https://klasma.github.io/Logging_1382/klagomål/A 24055-2024 FSC-klagomål.docx", "A 24055-2024")</f>
        <v/>
      </c>
      <c r="W119">
        <f>HYPERLINK("https://klasma.github.io/Logging_1382/klagomålsmail/A 24055-2024 FSC-klagomål mail.docx", "A 24055-2024")</f>
        <v/>
      </c>
      <c r="X119">
        <f>HYPERLINK("https://klasma.github.io/Logging_1382/tillsyn/A 24055-2024 tillsynsbegäran.docx", "A 24055-2024")</f>
        <v/>
      </c>
      <c r="Y119">
        <f>HYPERLINK("https://klasma.github.io/Logging_1382/tillsynsmail/A 24055-2024 tillsynsbegäran mail.docx", "A 24055-2024")</f>
        <v/>
      </c>
    </row>
    <row r="120" ht="15" customHeight="1">
      <c r="A120" t="inlineStr">
        <is>
          <t>A 34740-2024</t>
        </is>
      </c>
      <c r="B120" s="1" t="n">
        <v>45526</v>
      </c>
      <c r="C120" s="1" t="n">
        <v>45757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34740-2024 artfynd.xlsx", "A 34740-2024")</f>
        <v/>
      </c>
      <c r="T120">
        <f>HYPERLINK("https://klasma.github.io/Logging_1384/kartor/A 34740-2024 karta.png", "A 34740-2024")</f>
        <v/>
      </c>
      <c r="V120">
        <f>HYPERLINK("https://klasma.github.io/Logging_1384/klagomål/A 34740-2024 FSC-klagomål.docx", "A 34740-2024")</f>
        <v/>
      </c>
      <c r="W120">
        <f>HYPERLINK("https://klasma.github.io/Logging_1384/klagomålsmail/A 34740-2024 FSC-klagomål mail.docx", "A 34740-2024")</f>
        <v/>
      </c>
      <c r="X120">
        <f>HYPERLINK("https://klasma.github.io/Logging_1384/tillsyn/A 34740-2024 tillsynsbegäran.docx", "A 34740-2024")</f>
        <v/>
      </c>
      <c r="Y120">
        <f>HYPERLINK("https://klasma.github.io/Logging_1384/tillsynsmail/A 34740-2024 tillsynsbegäran mail.docx", "A 34740-2024")</f>
        <v/>
      </c>
    </row>
    <row r="121" ht="15" customHeight="1">
      <c r="A121" t="inlineStr">
        <is>
          <t>A 34772-2024</t>
        </is>
      </c>
      <c r="B121" s="1" t="n">
        <v>45526</v>
      </c>
      <c r="C121" s="1" t="n">
        <v>45757</v>
      </c>
      <c r="D121" t="inlineStr">
        <is>
          <t>HALLANDS LÄN</t>
        </is>
      </c>
      <c r="E121" t="inlineStr">
        <is>
          <t>KUNGSBACKA</t>
        </is>
      </c>
      <c r="G121" t="n">
        <v>13.2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HYPERLINK("https://klasma.github.io/Logging_1384/artfynd/A 34772-2024 artfynd.xlsx", "A 34772-2024")</f>
        <v/>
      </c>
      <c r="T121">
        <f>HYPERLINK("https://klasma.github.io/Logging_1384/kartor/A 34772-2024 karta.png", "A 34772-2024")</f>
        <v/>
      </c>
      <c r="V121">
        <f>HYPERLINK("https://klasma.github.io/Logging_1384/klagomål/A 34772-2024 FSC-klagomål.docx", "A 34772-2024")</f>
        <v/>
      </c>
      <c r="W121">
        <f>HYPERLINK("https://klasma.github.io/Logging_1384/klagomålsmail/A 34772-2024 FSC-klagomål mail.docx", "A 34772-2024")</f>
        <v/>
      </c>
      <c r="X121">
        <f>HYPERLINK("https://klasma.github.io/Logging_1384/tillsyn/A 34772-2024 tillsynsbegäran.docx", "A 34772-2024")</f>
        <v/>
      </c>
      <c r="Y121">
        <f>HYPERLINK("https://klasma.github.io/Logging_1384/tillsynsmail/A 34772-2024 tillsynsbegäran mail.docx", "A 34772-2024")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45757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38642-2024</t>
        </is>
      </c>
      <c r="B123" s="1" t="n">
        <v>45546</v>
      </c>
      <c r="C123" s="1" t="n">
        <v>45757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Åkergroda</t>
        </is>
      </c>
      <c r="S123">
        <f>HYPERLINK("https://klasma.github.io/Logging_1383/artfynd/A 38642-2024 artfynd.xlsx", "A 38642-2024")</f>
        <v/>
      </c>
      <c r="T123">
        <f>HYPERLINK("https://klasma.github.io/Logging_1383/kartor/A 38642-2024 karta.png", "A 38642-2024")</f>
        <v/>
      </c>
      <c r="V123">
        <f>HYPERLINK("https://klasma.github.io/Logging_1383/klagomål/A 38642-2024 FSC-klagomål.docx", "A 38642-2024")</f>
        <v/>
      </c>
      <c r="W123">
        <f>HYPERLINK("https://klasma.github.io/Logging_1383/klagomålsmail/A 38642-2024 FSC-klagomål mail.docx", "A 38642-2024")</f>
        <v/>
      </c>
      <c r="X123">
        <f>HYPERLINK("https://klasma.github.io/Logging_1383/tillsyn/A 38642-2024 tillsynsbegäran.docx", "A 38642-2024")</f>
        <v/>
      </c>
      <c r="Y123">
        <f>HYPERLINK("https://klasma.github.io/Logging_1383/tillsynsmail/A 38642-2024 tillsynsbegäran mail.docx", "A 38642-2024")</f>
        <v/>
      </c>
    </row>
    <row r="124" ht="15" customHeight="1">
      <c r="A124" t="inlineStr">
        <is>
          <t>A 42732-2024</t>
        </is>
      </c>
      <c r="B124" s="1" t="n">
        <v>45566</v>
      </c>
      <c r="C124" s="1" t="n">
        <v>45757</v>
      </c>
      <c r="D124" t="inlineStr">
        <is>
          <t>HALLANDS LÄN</t>
        </is>
      </c>
      <c r="E124" t="inlineStr">
        <is>
          <t>HALMSTAD</t>
        </is>
      </c>
      <c r="G124" t="n">
        <v>13.9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42732-2024 artfynd.xlsx", "A 42732-2024")</f>
        <v/>
      </c>
      <c r="T124">
        <f>HYPERLINK("https://klasma.github.io/Logging_1380/kartor/A 42732-2024 karta.png", "A 42732-2024")</f>
        <v/>
      </c>
      <c r="V124">
        <f>HYPERLINK("https://klasma.github.io/Logging_1380/klagomål/A 42732-2024 FSC-klagomål.docx", "A 42732-2024")</f>
        <v/>
      </c>
      <c r="W124">
        <f>HYPERLINK("https://klasma.github.io/Logging_1380/klagomålsmail/A 42732-2024 FSC-klagomål mail.docx", "A 42732-2024")</f>
        <v/>
      </c>
      <c r="X124">
        <f>HYPERLINK("https://klasma.github.io/Logging_1380/tillsyn/A 42732-2024 tillsynsbegäran.docx", "A 42732-2024")</f>
        <v/>
      </c>
      <c r="Y124">
        <f>HYPERLINK("https://klasma.github.io/Logging_1380/tillsynsmail/A 42732-2024 tillsynsbegäran mail.docx", "A 42732-2024")</f>
        <v/>
      </c>
    </row>
    <row r="125" ht="15" customHeight="1">
      <c r="A125" t="inlineStr">
        <is>
          <t>A 46562-2024</t>
        </is>
      </c>
      <c r="B125" s="1" t="n">
        <v>45582</v>
      </c>
      <c r="C125" s="1" t="n">
        <v>45757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HYPERLINK("https://klasma.github.io/Logging_1381/artfynd/A 46562-2024 artfynd.xlsx", "A 46562-2024")</f>
        <v/>
      </c>
      <c r="T125">
        <f>HYPERLINK("https://klasma.github.io/Logging_1381/kartor/A 46562-2024 karta.png", "A 46562-2024")</f>
        <v/>
      </c>
      <c r="V125">
        <f>HYPERLINK("https://klasma.github.io/Logging_1381/klagomål/A 46562-2024 FSC-klagomål.docx", "A 46562-2024")</f>
        <v/>
      </c>
      <c r="W125">
        <f>HYPERLINK("https://klasma.github.io/Logging_1381/klagomålsmail/A 46562-2024 FSC-klagomål mail.docx", "A 46562-2024")</f>
        <v/>
      </c>
      <c r="X125">
        <f>HYPERLINK("https://klasma.github.io/Logging_1381/tillsyn/A 46562-2024 tillsynsbegäran.docx", "A 46562-2024")</f>
        <v/>
      </c>
      <c r="Y125">
        <f>HYPERLINK("https://klasma.github.io/Logging_1381/tillsynsmail/A 46562-2024 tillsynsbegäran mail.docx", "A 46562-2024")</f>
        <v/>
      </c>
    </row>
    <row r="126" ht="15" customHeight="1">
      <c r="A126" t="inlineStr">
        <is>
          <t>A 50273-2024</t>
        </is>
      </c>
      <c r="B126" s="1" t="n">
        <v>45600</v>
      </c>
      <c r="C126" s="1" t="n">
        <v>45757</v>
      </c>
      <c r="D126" t="inlineStr">
        <is>
          <t>HALLANDS LÄN</t>
        </is>
      </c>
      <c r="E126" t="inlineStr">
        <is>
          <t>FALKENBERG</t>
        </is>
      </c>
      <c r="G126" t="n">
        <v>2.7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50273-2024 artfynd.xlsx", "A 50273-2024")</f>
        <v/>
      </c>
      <c r="T126">
        <f>HYPERLINK("https://klasma.github.io/Logging_1382/kartor/A 50273-2024 karta.png", "A 50273-2024")</f>
        <v/>
      </c>
      <c r="V126">
        <f>HYPERLINK("https://klasma.github.io/Logging_1382/klagomål/A 50273-2024 FSC-klagomål.docx", "A 50273-2024")</f>
        <v/>
      </c>
      <c r="W126">
        <f>HYPERLINK("https://klasma.github.io/Logging_1382/klagomålsmail/A 50273-2024 FSC-klagomål mail.docx", "A 50273-2024")</f>
        <v/>
      </c>
      <c r="X126">
        <f>HYPERLINK("https://klasma.github.io/Logging_1382/tillsyn/A 50273-2024 tillsynsbegäran.docx", "A 50273-2024")</f>
        <v/>
      </c>
      <c r="Y126">
        <f>HYPERLINK("https://klasma.github.io/Logging_1382/tillsynsmail/A 50273-2024 tillsynsbegäran mail.docx", "A 50273-2024")</f>
        <v/>
      </c>
    </row>
    <row r="127" ht="15" customHeight="1">
      <c r="A127" t="inlineStr">
        <is>
          <t>A 54338-2024</t>
        </is>
      </c>
      <c r="B127" s="1" t="n">
        <v>45617</v>
      </c>
      <c r="C127" s="1" t="n">
        <v>45757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Sydfibbla</t>
        </is>
      </c>
      <c r="S127">
        <f>HYPERLINK("https://klasma.github.io/Logging_1381/artfynd/A 54338-2024 artfynd.xlsx", "A 54338-2024")</f>
        <v/>
      </c>
      <c r="T127">
        <f>HYPERLINK("https://klasma.github.io/Logging_1381/kartor/A 54338-2024 karta.png", "A 54338-2024")</f>
        <v/>
      </c>
      <c r="V127">
        <f>HYPERLINK("https://klasma.github.io/Logging_1381/klagomål/A 54338-2024 FSC-klagomål.docx", "A 54338-2024")</f>
        <v/>
      </c>
      <c r="W127">
        <f>HYPERLINK("https://klasma.github.io/Logging_1381/klagomålsmail/A 54338-2024 FSC-klagomål mail.docx", "A 54338-2024")</f>
        <v/>
      </c>
      <c r="X127">
        <f>HYPERLINK("https://klasma.github.io/Logging_1381/tillsyn/A 54338-2024 tillsynsbegäran.docx", "A 54338-2024")</f>
        <v/>
      </c>
      <c r="Y127">
        <f>HYPERLINK("https://klasma.github.io/Logging_1381/tillsynsmail/A 54338-2024 tillsynsbegäran mail.docx", "A 54338-2024")</f>
        <v/>
      </c>
    </row>
    <row r="128" ht="15" customHeight="1">
      <c r="A128" t="inlineStr">
        <is>
          <t>A 56034-2024</t>
        </is>
      </c>
      <c r="B128" s="1" t="n">
        <v>45624</v>
      </c>
      <c r="C128" s="1" t="n">
        <v>45757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Större brunfladdermus</t>
        </is>
      </c>
      <c r="S128">
        <f>HYPERLINK("https://klasma.github.io/Logging_1382/artfynd/A 56034-2024 artfynd.xlsx", "A 56034-2024")</f>
        <v/>
      </c>
      <c r="T128">
        <f>HYPERLINK("https://klasma.github.io/Logging_1382/kartor/A 56034-2024 karta.png", "A 56034-2024")</f>
        <v/>
      </c>
      <c r="V128">
        <f>HYPERLINK("https://klasma.github.io/Logging_1382/klagomål/A 56034-2024 FSC-klagomål.docx", "A 56034-2024")</f>
        <v/>
      </c>
      <c r="W128">
        <f>HYPERLINK("https://klasma.github.io/Logging_1382/klagomålsmail/A 56034-2024 FSC-klagomål mail.docx", "A 56034-2024")</f>
        <v/>
      </c>
      <c r="X128">
        <f>HYPERLINK("https://klasma.github.io/Logging_1382/tillsyn/A 56034-2024 tillsynsbegäran.docx", "A 56034-2024")</f>
        <v/>
      </c>
      <c r="Y128">
        <f>HYPERLINK("https://klasma.github.io/Logging_1382/tillsynsmail/A 56034-2024 tillsynsbegäran mail.docx", "A 56034-2024")</f>
        <v/>
      </c>
    </row>
    <row r="129" ht="15" customHeight="1">
      <c r="A129" t="inlineStr">
        <is>
          <t>A 56929-2024</t>
        </is>
      </c>
      <c r="B129" s="1" t="n">
        <v>45628</v>
      </c>
      <c r="C129" s="1" t="n">
        <v>45757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56929-2024 artfynd.xlsx", "A 56929-2024")</f>
        <v/>
      </c>
      <c r="T129">
        <f>HYPERLINK("https://klasma.github.io/Logging_1382/kartor/A 56929-2024 karta.png", "A 56929-2024")</f>
        <v/>
      </c>
      <c r="V129">
        <f>HYPERLINK("https://klasma.github.io/Logging_1382/klagomål/A 56929-2024 FSC-klagomål.docx", "A 56929-2024")</f>
        <v/>
      </c>
      <c r="W129">
        <f>HYPERLINK("https://klasma.github.io/Logging_1382/klagomålsmail/A 56929-2024 FSC-klagomål mail.docx", "A 56929-2024")</f>
        <v/>
      </c>
      <c r="X129">
        <f>HYPERLINK("https://klasma.github.io/Logging_1382/tillsyn/A 56929-2024 tillsynsbegäran.docx", "A 56929-2024")</f>
        <v/>
      </c>
      <c r="Y129">
        <f>HYPERLINK("https://klasma.github.io/Logging_1382/tillsynsmail/A 56929-2024 tillsynsbegäran mail.docx", "A 56929-2024")</f>
        <v/>
      </c>
    </row>
    <row r="130" ht="15" customHeight="1">
      <c r="A130" t="inlineStr">
        <is>
          <t>A 58-2025</t>
        </is>
      </c>
      <c r="B130" s="1" t="n">
        <v>45659</v>
      </c>
      <c r="C130" s="1" t="n">
        <v>45757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HYPERLINK("https://klasma.github.io/Logging_1384/artfynd/A 58-2025 artfynd.xlsx", "A 58-2025")</f>
        <v/>
      </c>
      <c r="T130">
        <f>HYPERLINK("https://klasma.github.io/Logging_1384/kartor/A 58-2025 karta.png", "A 58-2025")</f>
        <v/>
      </c>
      <c r="V130">
        <f>HYPERLINK("https://klasma.github.io/Logging_1384/klagomål/A 58-2025 FSC-klagomål.docx", "A 58-2025")</f>
        <v/>
      </c>
      <c r="W130">
        <f>HYPERLINK("https://klasma.github.io/Logging_1384/klagomålsmail/A 58-2025 FSC-klagomål mail.docx", "A 58-2025")</f>
        <v/>
      </c>
      <c r="X130">
        <f>HYPERLINK("https://klasma.github.io/Logging_1384/tillsyn/A 58-2025 tillsynsbegäran.docx", "A 58-2025")</f>
        <v/>
      </c>
      <c r="Y130">
        <f>HYPERLINK("https://klasma.github.io/Logging_1384/tillsynsmail/A 58-2025 tillsynsbegäran mail.docx", "A 58-2025")</f>
        <v/>
      </c>
      <c r="Z130">
        <f>HYPERLINK("https://klasma.github.io/Logging_1384/fåglar/A 58-2025 prioriterade fågelarter.docx", "A 58-2025")</f>
        <v/>
      </c>
    </row>
    <row r="131" ht="15" customHeight="1">
      <c r="A131" t="inlineStr">
        <is>
          <t>A 609-2025</t>
        </is>
      </c>
      <c r="B131" s="1" t="n">
        <v>45664</v>
      </c>
      <c r="C131" s="1" t="n">
        <v>45757</v>
      </c>
      <c r="D131" t="inlineStr">
        <is>
          <t>HALLANDS LÄN</t>
        </is>
      </c>
      <c r="E131" t="inlineStr">
        <is>
          <t>HYLTE</t>
        </is>
      </c>
      <c r="F131" t="inlineStr">
        <is>
          <t>Kyrkan</t>
        </is>
      </c>
      <c r="G131" t="n">
        <v>1.8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Sommargylling</t>
        </is>
      </c>
      <c r="S131">
        <f>HYPERLINK("https://klasma.github.io/Logging_1315/artfynd/A 609-2025 artfynd.xlsx", "A 609-2025")</f>
        <v/>
      </c>
      <c r="T131">
        <f>HYPERLINK("https://klasma.github.io/Logging_1315/kartor/A 609-2025 karta.png", "A 609-2025")</f>
        <v/>
      </c>
      <c r="V131">
        <f>HYPERLINK("https://klasma.github.io/Logging_1315/klagomål/A 609-2025 FSC-klagomål.docx", "A 609-2025")</f>
        <v/>
      </c>
      <c r="W131">
        <f>HYPERLINK("https://klasma.github.io/Logging_1315/klagomålsmail/A 609-2025 FSC-klagomål mail.docx", "A 609-2025")</f>
        <v/>
      </c>
      <c r="X131">
        <f>HYPERLINK("https://klasma.github.io/Logging_1315/tillsyn/A 609-2025 tillsynsbegäran.docx", "A 609-2025")</f>
        <v/>
      </c>
      <c r="Y131">
        <f>HYPERLINK("https://klasma.github.io/Logging_1315/tillsynsmail/A 609-2025 tillsynsbegäran mail.docx", "A 609-2025")</f>
        <v/>
      </c>
      <c r="Z131">
        <f>HYPERLINK("https://klasma.github.io/Logging_1315/fåglar/A 609-2025 prioriterade fågelarter.docx", "A 609-2025")</f>
        <v/>
      </c>
    </row>
    <row r="132" ht="15" customHeight="1">
      <c r="A132" t="inlineStr">
        <is>
          <t>A 1274-2025</t>
        </is>
      </c>
      <c r="B132" s="1" t="n">
        <v>45667</v>
      </c>
      <c r="C132" s="1" t="n">
        <v>45757</v>
      </c>
      <c r="D132" t="inlineStr">
        <is>
          <t>HALLANDS LÄN</t>
        </is>
      </c>
      <c r="E132" t="inlineStr">
        <is>
          <t>FALKENBERG</t>
        </is>
      </c>
      <c r="G132" t="n">
        <v>7.7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HYPERLINK("https://klasma.github.io/Logging_1382/artfynd/A 1274-2025 artfynd.xlsx", "A 1274-2025")</f>
        <v/>
      </c>
      <c r="T132">
        <f>HYPERLINK("https://klasma.github.io/Logging_1382/kartor/A 1274-2025 karta.png", "A 1274-2025")</f>
        <v/>
      </c>
      <c r="V132">
        <f>HYPERLINK("https://klasma.github.io/Logging_1382/klagomål/A 1274-2025 FSC-klagomål.docx", "A 1274-2025")</f>
        <v/>
      </c>
      <c r="W132">
        <f>HYPERLINK("https://klasma.github.io/Logging_1382/klagomålsmail/A 1274-2025 FSC-klagomål mail.docx", "A 1274-2025")</f>
        <v/>
      </c>
      <c r="X132">
        <f>HYPERLINK("https://klasma.github.io/Logging_1382/tillsyn/A 1274-2025 tillsynsbegäran.docx", "A 1274-2025")</f>
        <v/>
      </c>
      <c r="Y132">
        <f>HYPERLINK("https://klasma.github.io/Logging_1382/tillsynsmail/A 1274-2025 tillsynsbegäran mail.docx", "A 1274-2025")</f>
        <v/>
      </c>
    </row>
    <row r="133" ht="15" customHeight="1">
      <c r="A133" t="inlineStr">
        <is>
          <t>A 3576-2025</t>
        </is>
      </c>
      <c r="B133" s="1" t="n">
        <v>45680</v>
      </c>
      <c r="C133" s="1" t="n">
        <v>45757</v>
      </c>
      <c r="D133" t="inlineStr">
        <is>
          <t>HALLANDS LÄN</t>
        </is>
      </c>
      <c r="E133" t="inlineStr">
        <is>
          <t>LAHOLM</t>
        </is>
      </c>
      <c r="G133" t="n">
        <v>4.4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HYPERLINK("https://klasma.github.io/Logging_1381/artfynd/A 3576-2025 artfynd.xlsx", "A 3576-2025")</f>
        <v/>
      </c>
      <c r="T133">
        <f>HYPERLINK("https://klasma.github.io/Logging_1381/kartor/A 3576-2025 karta.png", "A 3576-2025")</f>
        <v/>
      </c>
      <c r="V133">
        <f>HYPERLINK("https://klasma.github.io/Logging_1381/klagomål/A 3576-2025 FSC-klagomål.docx", "A 3576-2025")</f>
        <v/>
      </c>
      <c r="W133">
        <f>HYPERLINK("https://klasma.github.io/Logging_1381/klagomålsmail/A 3576-2025 FSC-klagomål mail.docx", "A 3576-2025")</f>
        <v/>
      </c>
      <c r="X133">
        <f>HYPERLINK("https://klasma.github.io/Logging_1381/tillsyn/A 3576-2025 tillsynsbegäran.docx", "A 3576-2025")</f>
        <v/>
      </c>
      <c r="Y133">
        <f>HYPERLINK("https://klasma.github.io/Logging_1381/tillsynsmail/A 3576-2025 tillsynsbegäran mail.docx", "A 3576-2025")</f>
        <v/>
      </c>
      <c r="Z133">
        <f>HYPERLINK("https://klasma.github.io/Logging_1381/fåglar/A 3576-2025 prioriterade fågelarter.docx", "A 3576-2025")</f>
        <v/>
      </c>
    </row>
    <row r="134" ht="15" customHeight="1">
      <c r="A134" t="inlineStr">
        <is>
          <t>A 5530-2025</t>
        </is>
      </c>
      <c r="B134" s="1" t="n">
        <v>45692</v>
      </c>
      <c r="C134" s="1" t="n">
        <v>45757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HYPERLINK("https://klasma.github.io/Logging_1380/artfynd/A 5530-2025 artfynd.xlsx", "A 5530-2025")</f>
        <v/>
      </c>
      <c r="T134">
        <f>HYPERLINK("https://klasma.github.io/Logging_1380/kartor/A 5530-2025 karta.png", "A 5530-2025")</f>
        <v/>
      </c>
      <c r="V134">
        <f>HYPERLINK("https://klasma.github.io/Logging_1380/klagomål/A 5530-2025 FSC-klagomål.docx", "A 5530-2025")</f>
        <v/>
      </c>
      <c r="W134">
        <f>HYPERLINK("https://klasma.github.io/Logging_1380/klagomålsmail/A 5530-2025 FSC-klagomål mail.docx", "A 5530-2025")</f>
        <v/>
      </c>
      <c r="X134">
        <f>HYPERLINK("https://klasma.github.io/Logging_1380/tillsyn/A 5530-2025 tillsynsbegäran.docx", "A 5530-2025")</f>
        <v/>
      </c>
      <c r="Y134">
        <f>HYPERLINK("https://klasma.github.io/Logging_1380/tillsynsmail/A 5530-2025 tillsynsbegäran mail.docx", "A 5530-2025")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45757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10124-2025</t>
        </is>
      </c>
      <c r="B136" s="1" t="n">
        <v>45719</v>
      </c>
      <c r="C136" s="1" t="n">
        <v>45757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HYPERLINK("https://klasma.github.io/Logging_131384/artfynd/A 10124-2025 artfynd.xlsx", "A 10124-2025")</f>
        <v/>
      </c>
      <c r="T136">
        <f>HYPERLINK("https://klasma.github.io/Logging_131384/kartor/A 10124-2025 karta.png", "A 10124-2025")</f>
        <v/>
      </c>
      <c r="V136">
        <f>HYPERLINK("https://klasma.github.io/Logging_131384/klagomål/A 10124-2025 FSC-klagomål.docx", "A 10124-2025")</f>
        <v/>
      </c>
      <c r="W136">
        <f>HYPERLINK("https://klasma.github.io/Logging_131384/klagomålsmail/A 10124-2025 FSC-klagomål mail.docx", "A 10124-2025")</f>
        <v/>
      </c>
      <c r="X136">
        <f>HYPERLINK("https://klasma.github.io/Logging_131384/tillsyn/A 10124-2025 tillsynsbegäran.docx", "A 10124-2025")</f>
        <v/>
      </c>
      <c r="Y136">
        <f>HYPERLINK("https://klasma.github.io/Logging_131384/tillsynsmail/A 10124-2025 tillsynsbegäran mail.docx", "A 10124-2025")</f>
        <v/>
      </c>
    </row>
    <row r="137" ht="15" customHeight="1">
      <c r="A137" t="inlineStr">
        <is>
          <t>A 10751-2025</t>
        </is>
      </c>
      <c r="B137" s="1" t="n">
        <v>45722</v>
      </c>
      <c r="C137" s="1" t="n">
        <v>45757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HYPERLINK("https://klasma.github.io/Logging_131383/artfynd/A 10751-2025 artfynd.xlsx", "A 10751-2025")</f>
        <v/>
      </c>
      <c r="T137">
        <f>HYPERLINK("https://klasma.github.io/Logging_131383/kartor/A 10751-2025 karta.png", "A 10751-2025")</f>
        <v/>
      </c>
      <c r="V137">
        <f>HYPERLINK("https://klasma.github.io/Logging_131383/klagomål/A 10751-2025 FSC-klagomål.docx", "A 10751-2025")</f>
        <v/>
      </c>
      <c r="W137">
        <f>HYPERLINK("https://klasma.github.io/Logging_131383/klagomålsmail/A 10751-2025 FSC-klagomål mail.docx", "A 10751-2025")</f>
        <v/>
      </c>
      <c r="X137">
        <f>HYPERLINK("https://klasma.github.io/Logging_131383/tillsyn/A 10751-2025 tillsynsbegäran.docx", "A 10751-2025")</f>
        <v/>
      </c>
      <c r="Y137">
        <f>HYPERLINK("https://klasma.github.io/Logging_131383/tillsynsmail/A 10751-2025 tillsynsbegäran mail.docx", "A 10751-2025")</f>
        <v/>
      </c>
    </row>
    <row r="138" ht="15" customHeight="1">
      <c r="A138" t="inlineStr">
        <is>
          <t>A 11010-2025</t>
        </is>
      </c>
      <c r="B138" s="1" t="n">
        <v>45723</v>
      </c>
      <c r="C138" s="1" t="n">
        <v>45757</v>
      </c>
      <c r="D138" t="inlineStr">
        <is>
          <t>HALLANDS LÄN</t>
        </is>
      </c>
      <c r="E138" t="inlineStr">
        <is>
          <t>KUNGSBACKA</t>
        </is>
      </c>
      <c r="G138" t="n">
        <v>12.4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Kambräken</t>
        </is>
      </c>
      <c r="S138">
        <f>HYPERLINK("https://klasma.github.io/Logging_131384/artfynd/A 11010-2025 artfynd.xlsx", "A 11010-2025")</f>
        <v/>
      </c>
      <c r="T138">
        <f>HYPERLINK("https://klasma.github.io/Logging_131384/kartor/A 11010-2025 karta.png", "A 11010-2025")</f>
        <v/>
      </c>
      <c r="V138">
        <f>HYPERLINK("https://klasma.github.io/Logging_131384/klagomål/A 11010-2025 FSC-klagomål.docx", "A 11010-2025")</f>
        <v/>
      </c>
      <c r="W138">
        <f>HYPERLINK("https://klasma.github.io/Logging_131384/klagomålsmail/A 11010-2025 FSC-klagomål mail.docx", "A 11010-2025")</f>
        <v/>
      </c>
      <c r="X138">
        <f>HYPERLINK("https://klasma.github.io/Logging_131384/tillsyn/A 11010-2025 tillsynsbegäran.docx", "A 11010-2025")</f>
        <v/>
      </c>
      <c r="Y138">
        <f>HYPERLINK("https://klasma.github.io/Logging_131384/tillsynsmail/A 11010-2025 tillsynsbegäran mail.docx", "A 11010-2025")</f>
        <v/>
      </c>
    </row>
    <row r="139" ht="15" customHeight="1">
      <c r="A139" t="inlineStr">
        <is>
          <t>A 13093-2025</t>
        </is>
      </c>
      <c r="B139" s="1" t="n">
        <v>45734</v>
      </c>
      <c r="C139" s="1" t="n">
        <v>45757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revmossa</t>
        </is>
      </c>
      <c r="S139">
        <f>HYPERLINK("https://klasma.github.io/Logging_131383/artfynd/A 13093-2025 artfynd.xlsx", "A 13093-2025")</f>
        <v/>
      </c>
      <c r="T139">
        <f>HYPERLINK("https://klasma.github.io/Logging_131383/kartor/A 13093-2025 karta.png", "A 13093-2025")</f>
        <v/>
      </c>
      <c r="V139">
        <f>HYPERLINK("https://klasma.github.io/Logging_131383/klagomål/A 13093-2025 FSC-klagomål.docx", "A 13093-2025")</f>
        <v/>
      </c>
      <c r="W139">
        <f>HYPERLINK("https://klasma.github.io/Logging_131383/klagomålsmail/A 13093-2025 FSC-klagomål mail.docx", "A 13093-2025")</f>
        <v/>
      </c>
      <c r="X139">
        <f>HYPERLINK("https://klasma.github.io/Logging_131383/tillsyn/A 13093-2025 tillsynsbegäran.docx", "A 13093-2025")</f>
        <v/>
      </c>
      <c r="Y139">
        <f>HYPERLINK("https://klasma.github.io/Logging_131383/tillsynsmail/A 13093-2025 tillsynsbegäran mail.docx", "A 13093-2025")</f>
        <v/>
      </c>
    </row>
    <row r="140" ht="15" customHeight="1">
      <c r="A140" t="inlineStr">
        <is>
          <t>A 13932-2025</t>
        </is>
      </c>
      <c r="B140" s="1" t="n">
        <v>45737</v>
      </c>
      <c r="C140" s="1" t="n">
        <v>45757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HYPERLINK("https://klasma.github.io/Logging_131384/artfynd/A 13932-2025 artfynd.xlsx", "A 13932-2025")</f>
        <v/>
      </c>
      <c r="T140">
        <f>HYPERLINK("https://klasma.github.io/Logging_131384/kartor/A 13932-2025 karta.png", "A 13932-2025")</f>
        <v/>
      </c>
      <c r="V140">
        <f>HYPERLINK("https://klasma.github.io/Logging_131384/klagomål/A 13932-2025 FSC-klagomål.docx", "A 13932-2025")</f>
        <v/>
      </c>
      <c r="W140">
        <f>HYPERLINK("https://klasma.github.io/Logging_131384/klagomålsmail/A 13932-2025 FSC-klagomål mail.docx", "A 13932-2025")</f>
        <v/>
      </c>
      <c r="X140">
        <f>HYPERLINK("https://klasma.github.io/Logging_131384/tillsyn/A 13932-2025 tillsynsbegäran.docx", "A 13932-2025")</f>
        <v/>
      </c>
      <c r="Y140">
        <f>HYPERLINK("https://klasma.github.io/Logging_131384/tillsynsmail/A 13932-2025 tillsynsbegäran mail.docx", "A 13932-2025")</f>
        <v/>
      </c>
    </row>
    <row r="141" ht="15" customHeight="1">
      <c r="A141" t="inlineStr">
        <is>
          <t>A 15103-2025</t>
        </is>
      </c>
      <c r="B141" s="1" t="n">
        <v>45744</v>
      </c>
      <c r="C141" s="1" t="n">
        <v>45757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HYPERLINK("https://klasma.github.io/Logging_131383/artfynd/A 15103-2025 artfynd.xlsx", "A 15103-2025")</f>
        <v/>
      </c>
      <c r="T141">
        <f>HYPERLINK("https://klasma.github.io/Logging_131383/kartor/A 15103-2025 karta.png", "A 15103-2025")</f>
        <v/>
      </c>
      <c r="V141">
        <f>HYPERLINK("https://klasma.github.io/Logging_131383/klagomål/A 15103-2025 FSC-klagomål.docx", "A 15103-2025")</f>
        <v/>
      </c>
      <c r="W141">
        <f>HYPERLINK("https://klasma.github.io/Logging_131383/klagomålsmail/A 15103-2025 FSC-klagomål mail.docx", "A 15103-2025")</f>
        <v/>
      </c>
      <c r="X141">
        <f>HYPERLINK("https://klasma.github.io/Logging_131383/tillsyn/A 15103-2025 tillsynsbegäran.docx", "A 15103-2025")</f>
        <v/>
      </c>
      <c r="Y141">
        <f>HYPERLINK("https://klasma.github.io/Logging_131383/tillsynsmail/A 15103-2025 tillsynsbegäran mail.docx", "A 15103-2025")</f>
        <v/>
      </c>
    </row>
    <row r="142" ht="15" customHeight="1">
      <c r="A142" t="inlineStr">
        <is>
          <t>A 17740-2019</t>
        </is>
      </c>
      <c r="B142" s="1" t="n">
        <v>43556</v>
      </c>
      <c r="C142" s="1" t="n">
        <v>45757</v>
      </c>
      <c r="D142" t="inlineStr">
        <is>
          <t>HALLANDS LÄN</t>
        </is>
      </c>
      <c r="E142" t="inlineStr">
        <is>
          <t>HALMSTAD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17783-2019</t>
        </is>
      </c>
      <c r="B143" s="1" t="n">
        <v>43556</v>
      </c>
      <c r="C143" s="1" t="n">
        <v>45757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17776-2019</t>
        </is>
      </c>
      <c r="B144" s="1" t="n">
        <v>43556</v>
      </c>
      <c r="C144" s="1" t="n">
        <v>45757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18252-2019</t>
        </is>
      </c>
      <c r="B145" s="1" t="n">
        <v>43557</v>
      </c>
      <c r="C145" s="1" t="n">
        <v>45757</v>
      </c>
      <c r="D145" t="inlineStr">
        <is>
          <t>HALLANDS LÄN</t>
        </is>
      </c>
      <c r="E145" t="inlineStr">
        <is>
          <t>HYLTE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17886-2019</t>
        </is>
      </c>
      <c r="B146" s="1" t="n">
        <v>43557</v>
      </c>
      <c r="C146" s="1" t="n">
        <v>45757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18231-2019</t>
        </is>
      </c>
      <c r="B147" s="1" t="n">
        <v>43558</v>
      </c>
      <c r="C147" s="1" t="n">
        <v>45757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18248-2019</t>
        </is>
      </c>
      <c r="B148" s="1" t="n">
        <v>43558</v>
      </c>
      <c r="C148" s="1" t="n">
        <v>45757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18298-2019</t>
        </is>
      </c>
      <c r="B149" s="1" t="n">
        <v>43558</v>
      </c>
      <c r="C149" s="1" t="n">
        <v>45757</v>
      </c>
      <c r="D149" t="inlineStr">
        <is>
          <t>HALLANDS LÄN</t>
        </is>
      </c>
      <c r="E149" t="inlineStr">
        <is>
          <t>VARBERG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18297-2019</t>
        </is>
      </c>
      <c r="B150" s="1" t="n">
        <v>43558</v>
      </c>
      <c r="C150" s="1" t="n">
        <v>45757</v>
      </c>
      <c r="D150" t="inlineStr">
        <is>
          <t>HALLANDS LÄN</t>
        </is>
      </c>
      <c r="E150" t="inlineStr">
        <is>
          <t>VARBERG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18226-2019</t>
        </is>
      </c>
      <c r="B151" s="1" t="n">
        <v>43558</v>
      </c>
      <c r="C151" s="1" t="n">
        <v>45757</v>
      </c>
      <c r="D151" t="inlineStr">
        <is>
          <t>HALLANDS LÄN</t>
        </is>
      </c>
      <c r="E151" t="inlineStr">
        <is>
          <t>HYLTE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18296-2019</t>
        </is>
      </c>
      <c r="B152" s="1" t="n">
        <v>43558</v>
      </c>
      <c r="C152" s="1" t="n">
        <v>45757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18541-2019</t>
        </is>
      </c>
      <c r="B153" s="1" t="n">
        <v>43558</v>
      </c>
      <c r="C153" s="1" t="n">
        <v>45757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18306-2019</t>
        </is>
      </c>
      <c r="B154" s="1" t="n">
        <v>43558</v>
      </c>
      <c r="C154" s="1" t="n">
        <v>45757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18628-2019</t>
        </is>
      </c>
      <c r="B155" s="1" t="n">
        <v>43559</v>
      </c>
      <c r="C155" s="1" t="n">
        <v>45757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18661-2019</t>
        </is>
      </c>
      <c r="B156" s="1" t="n">
        <v>43560</v>
      </c>
      <c r="C156" s="1" t="n">
        <v>45757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18851-2019</t>
        </is>
      </c>
      <c r="B157" s="1" t="n">
        <v>43563</v>
      </c>
      <c r="C157" s="1" t="n">
        <v>45757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19013-2019</t>
        </is>
      </c>
      <c r="B158" s="1" t="n">
        <v>43563</v>
      </c>
      <c r="C158" s="1" t="n">
        <v>45757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18990-2019</t>
        </is>
      </c>
      <c r="B159" s="1" t="n">
        <v>43563</v>
      </c>
      <c r="C159" s="1" t="n">
        <v>45757</v>
      </c>
      <c r="D159" t="inlineStr">
        <is>
          <t>HALLANDS LÄN</t>
        </is>
      </c>
      <c r="E159" t="inlineStr">
        <is>
          <t>HYLTE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19188-2019</t>
        </is>
      </c>
      <c r="B160" s="1" t="n">
        <v>43564</v>
      </c>
      <c r="C160" s="1" t="n">
        <v>45757</v>
      </c>
      <c r="D160" t="inlineStr">
        <is>
          <t>HALLANDS LÄN</t>
        </is>
      </c>
      <c r="E160" t="inlineStr">
        <is>
          <t>HYLTE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19203-2019</t>
        </is>
      </c>
      <c r="B161" s="1" t="n">
        <v>43564</v>
      </c>
      <c r="C161" s="1" t="n">
        <v>45757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19223-2019</t>
        </is>
      </c>
      <c r="B162" s="1" t="n">
        <v>43564</v>
      </c>
      <c r="C162" s="1" t="n">
        <v>45757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19535-2019</t>
        </is>
      </c>
      <c r="B163" s="1" t="n">
        <v>43565</v>
      </c>
      <c r="C163" s="1" t="n">
        <v>45757</v>
      </c>
      <c r="D163" t="inlineStr">
        <is>
          <t>HALLANDS LÄN</t>
        </is>
      </c>
      <c r="E163" t="inlineStr">
        <is>
          <t>LAHOLM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19331-2019</t>
        </is>
      </c>
      <c r="B164" s="1" t="n">
        <v>43565</v>
      </c>
      <c r="C164" s="1" t="n">
        <v>45757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19284-2019</t>
        </is>
      </c>
      <c r="B165" s="1" t="n">
        <v>43565</v>
      </c>
      <c r="C165" s="1" t="n">
        <v>45757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19994-2019</t>
        </is>
      </c>
      <c r="B166" s="1" t="n">
        <v>43566</v>
      </c>
      <c r="C166" s="1" t="n">
        <v>45757</v>
      </c>
      <c r="D166" t="inlineStr">
        <is>
          <t>HALLANDS LÄN</t>
        </is>
      </c>
      <c r="E166" t="inlineStr">
        <is>
          <t>HYLTE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20022-2019</t>
        </is>
      </c>
      <c r="B167" s="1" t="n">
        <v>43570</v>
      </c>
      <c r="C167" s="1" t="n">
        <v>45757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20124-2019</t>
        </is>
      </c>
      <c r="B168" s="1" t="n">
        <v>43570</v>
      </c>
      <c r="C168" s="1" t="n">
        <v>45757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20122-2019</t>
        </is>
      </c>
      <c r="B169" s="1" t="n">
        <v>43570</v>
      </c>
      <c r="C169" s="1" t="n">
        <v>45757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20146-2019</t>
        </is>
      </c>
      <c r="B170" s="1" t="n">
        <v>43570</v>
      </c>
      <c r="C170" s="1" t="n">
        <v>45757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20327-2019</t>
        </is>
      </c>
      <c r="B171" s="1" t="n">
        <v>43571</v>
      </c>
      <c r="C171" s="1" t="n">
        <v>45757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20554-2019</t>
        </is>
      </c>
      <c r="B172" s="1" t="n">
        <v>43572</v>
      </c>
      <c r="C172" s="1" t="n">
        <v>45757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20735-2019</t>
        </is>
      </c>
      <c r="B173" s="1" t="n">
        <v>43573</v>
      </c>
      <c r="C173" s="1" t="n">
        <v>45757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20882-2019</t>
        </is>
      </c>
      <c r="B174" s="1" t="n">
        <v>43578</v>
      </c>
      <c r="C174" s="1" t="n">
        <v>45757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21022-2019</t>
        </is>
      </c>
      <c r="B175" s="1" t="n">
        <v>43578</v>
      </c>
      <c r="C175" s="1" t="n">
        <v>45757</v>
      </c>
      <c r="D175" t="inlineStr">
        <is>
          <t>HALLANDS LÄN</t>
        </is>
      </c>
      <c r="E175" t="inlineStr">
        <is>
          <t>LAHOLM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21151-2019</t>
        </is>
      </c>
      <c r="B176" s="1" t="n">
        <v>43578</v>
      </c>
      <c r="C176" s="1" t="n">
        <v>45757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21163-2019</t>
        </is>
      </c>
      <c r="B177" s="1" t="n">
        <v>43578</v>
      </c>
      <c r="C177" s="1" t="n">
        <v>45757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20878-2019</t>
        </is>
      </c>
      <c r="B178" s="1" t="n">
        <v>43578</v>
      </c>
      <c r="C178" s="1" t="n">
        <v>45757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21024-2019</t>
        </is>
      </c>
      <c r="B179" s="1" t="n">
        <v>43578</v>
      </c>
      <c r="C179" s="1" t="n">
        <v>45757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21159-2019</t>
        </is>
      </c>
      <c r="B180" s="1" t="n">
        <v>43578</v>
      </c>
      <c r="C180" s="1" t="n">
        <v>45757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21135-2019</t>
        </is>
      </c>
      <c r="B181" s="1" t="n">
        <v>43579</v>
      </c>
      <c r="C181" s="1" t="n">
        <v>45757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21448-2019</t>
        </is>
      </c>
      <c r="B182" s="1" t="n">
        <v>43580</v>
      </c>
      <c r="C182" s="1" t="n">
        <v>45757</v>
      </c>
      <c r="D182" t="inlineStr">
        <is>
          <t>HALLANDS LÄN</t>
        </is>
      </c>
      <c r="E182" t="inlineStr">
        <is>
          <t>LAHOLM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21505-2019</t>
        </is>
      </c>
      <c r="B183" s="1" t="n">
        <v>43580</v>
      </c>
      <c r="C183" s="1" t="n">
        <v>45757</v>
      </c>
      <c r="D183" t="inlineStr">
        <is>
          <t>HALLANDS LÄN</t>
        </is>
      </c>
      <c r="E183" t="inlineStr">
        <is>
          <t>KUNGSBACKA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21536-2019</t>
        </is>
      </c>
      <c r="B184" s="1" t="n">
        <v>43580</v>
      </c>
      <c r="C184" s="1" t="n">
        <v>45757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21713-2019</t>
        </is>
      </c>
      <c r="B185" s="1" t="n">
        <v>43581</v>
      </c>
      <c r="C185" s="1" t="n">
        <v>45757</v>
      </c>
      <c r="D185" t="inlineStr">
        <is>
          <t>HALLANDS LÄN</t>
        </is>
      </c>
      <c r="E185" t="inlineStr">
        <is>
          <t>HALMSTAD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21664-2019</t>
        </is>
      </c>
      <c r="B186" s="1" t="n">
        <v>43581</v>
      </c>
      <c r="C186" s="1" t="n">
        <v>45757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21649-2019</t>
        </is>
      </c>
      <c r="B187" s="1" t="n">
        <v>43581</v>
      </c>
      <c r="C187" s="1" t="n">
        <v>45757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21824-2019</t>
        </is>
      </c>
      <c r="B188" s="1" t="n">
        <v>43583</v>
      </c>
      <c r="C188" s="1" t="n">
        <v>45757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21944-2019</t>
        </is>
      </c>
      <c r="B189" s="1" t="n">
        <v>43584</v>
      </c>
      <c r="C189" s="1" t="n">
        <v>45757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21996-2019</t>
        </is>
      </c>
      <c r="B190" s="1" t="n">
        <v>43584</v>
      </c>
      <c r="C190" s="1" t="n">
        <v>45757</v>
      </c>
      <c r="D190" t="inlineStr">
        <is>
          <t>HALLANDS LÄN</t>
        </is>
      </c>
      <c r="E190" t="inlineStr">
        <is>
          <t>KUNGSBACKA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21988-2019</t>
        </is>
      </c>
      <c r="B191" s="1" t="n">
        <v>43584</v>
      </c>
      <c r="C191" s="1" t="n">
        <v>45757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22474-2019</t>
        </is>
      </c>
      <c r="B192" s="1" t="n">
        <v>43587</v>
      </c>
      <c r="C192" s="1" t="n">
        <v>45757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22488-2019</t>
        </is>
      </c>
      <c r="B193" s="1" t="n">
        <v>43587</v>
      </c>
      <c r="C193" s="1" t="n">
        <v>45757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22407-2019</t>
        </is>
      </c>
      <c r="B194" s="1" t="n">
        <v>43587</v>
      </c>
      <c r="C194" s="1" t="n">
        <v>45757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22652-2019</t>
        </is>
      </c>
      <c r="B195" s="1" t="n">
        <v>43588</v>
      </c>
      <c r="C195" s="1" t="n">
        <v>45757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22651-2019</t>
        </is>
      </c>
      <c r="B196" s="1" t="n">
        <v>43588</v>
      </c>
      <c r="C196" s="1" t="n">
        <v>45757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22855-2019</t>
        </is>
      </c>
      <c r="B197" s="1" t="n">
        <v>43591</v>
      </c>
      <c r="C197" s="1" t="n">
        <v>45757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22856-2019</t>
        </is>
      </c>
      <c r="B198" s="1" t="n">
        <v>43591</v>
      </c>
      <c r="C198" s="1" t="n">
        <v>45757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23113-2019</t>
        </is>
      </c>
      <c r="B199" s="1" t="n">
        <v>43592</v>
      </c>
      <c r="C199" s="1" t="n">
        <v>45757</v>
      </c>
      <c r="D199" t="inlineStr">
        <is>
          <t>HALLANDS LÄN</t>
        </is>
      </c>
      <c r="E199" t="inlineStr">
        <is>
          <t>LAHOLM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23219-2019</t>
        </is>
      </c>
      <c r="B200" s="1" t="n">
        <v>43592</v>
      </c>
      <c r="C200" s="1" t="n">
        <v>45757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23552-2019</t>
        </is>
      </c>
      <c r="B201" s="1" t="n">
        <v>43593</v>
      </c>
      <c r="C201" s="1" t="n">
        <v>45757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23522-2019</t>
        </is>
      </c>
      <c r="B202" s="1" t="n">
        <v>43593</v>
      </c>
      <c r="C202" s="1" t="n">
        <v>45757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23924-2019</t>
        </is>
      </c>
      <c r="B203" s="1" t="n">
        <v>43595</v>
      </c>
      <c r="C203" s="1" t="n">
        <v>45757</v>
      </c>
      <c r="D203" t="inlineStr">
        <is>
          <t>HALLANDS LÄN</t>
        </is>
      </c>
      <c r="E203" t="inlineStr">
        <is>
          <t>FALKENBERG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23857-2019</t>
        </is>
      </c>
      <c r="B204" s="1" t="n">
        <v>43595</v>
      </c>
      <c r="C204" s="1" t="n">
        <v>45757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24057-2019</t>
        </is>
      </c>
      <c r="B205" s="1" t="n">
        <v>43598</v>
      </c>
      <c r="C205" s="1" t="n">
        <v>45757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24047-2019</t>
        </is>
      </c>
      <c r="B206" s="1" t="n">
        <v>43598</v>
      </c>
      <c r="C206" s="1" t="n">
        <v>45757</v>
      </c>
      <c r="D206" t="inlineStr">
        <is>
          <t>HALLANDS LÄN</t>
        </is>
      </c>
      <c r="E206" t="inlineStr">
        <is>
          <t>LAHOLM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24232-2019</t>
        </is>
      </c>
      <c r="B207" s="1" t="n">
        <v>43599</v>
      </c>
      <c r="C207" s="1" t="n">
        <v>45757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24264-2019</t>
        </is>
      </c>
      <c r="B208" s="1" t="n">
        <v>43599</v>
      </c>
      <c r="C208" s="1" t="n">
        <v>45757</v>
      </c>
      <c r="D208" t="inlineStr">
        <is>
          <t>HALLANDS LÄN</t>
        </is>
      </c>
      <c r="E208" t="inlineStr">
        <is>
          <t>VARBERG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24269-2019</t>
        </is>
      </c>
      <c r="B209" s="1" t="n">
        <v>43599</v>
      </c>
      <c r="C209" s="1" t="n">
        <v>45757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24480-2019</t>
        </is>
      </c>
      <c r="B210" s="1" t="n">
        <v>43600</v>
      </c>
      <c r="C210" s="1" t="n">
        <v>45757</v>
      </c>
      <c r="D210" t="inlineStr">
        <is>
          <t>HALLANDS LÄN</t>
        </is>
      </c>
      <c r="E210" t="inlineStr">
        <is>
          <t>HALMSTAD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24588-2019</t>
        </is>
      </c>
      <c r="B211" s="1" t="n">
        <v>43601</v>
      </c>
      <c r="C211" s="1" t="n">
        <v>45757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24587-2019</t>
        </is>
      </c>
      <c r="B212" s="1" t="n">
        <v>43601</v>
      </c>
      <c r="C212" s="1" t="n">
        <v>45757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25198-2019</t>
        </is>
      </c>
      <c r="B213" s="1" t="n">
        <v>43605</v>
      </c>
      <c r="C213" s="1" t="n">
        <v>45757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25222-2019</t>
        </is>
      </c>
      <c r="B214" s="1" t="n">
        <v>43605</v>
      </c>
      <c r="C214" s="1" t="n">
        <v>45757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26295-2019</t>
        </is>
      </c>
      <c r="B215" s="1" t="n">
        <v>43606</v>
      </c>
      <c r="C215" s="1" t="n">
        <v>45757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26354-2019</t>
        </is>
      </c>
      <c r="B216" s="1" t="n">
        <v>43606</v>
      </c>
      <c r="C216" s="1" t="n">
        <v>45757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25536-2019</t>
        </is>
      </c>
      <c r="B217" s="1" t="n">
        <v>43606</v>
      </c>
      <c r="C217" s="1" t="n">
        <v>45757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25571-2019</t>
        </is>
      </c>
      <c r="B218" s="1" t="n">
        <v>43607</v>
      </c>
      <c r="C218" s="1" t="n">
        <v>45757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25913-2019</t>
        </is>
      </c>
      <c r="B219" s="1" t="n">
        <v>43608</v>
      </c>
      <c r="C219" s="1" t="n">
        <v>45757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26135-2019</t>
        </is>
      </c>
      <c r="B220" s="1" t="n">
        <v>43609</v>
      </c>
      <c r="C220" s="1" t="n">
        <v>45757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26454-2019</t>
        </is>
      </c>
      <c r="B221" s="1" t="n">
        <v>43612</v>
      </c>
      <c r="C221" s="1" t="n">
        <v>45757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26392-2019</t>
        </is>
      </c>
      <c r="B222" s="1" t="n">
        <v>43612</v>
      </c>
      <c r="C222" s="1" t="n">
        <v>45757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26463-2019</t>
        </is>
      </c>
      <c r="B223" s="1" t="n">
        <v>43612</v>
      </c>
      <c r="C223" s="1" t="n">
        <v>45757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26455-2019</t>
        </is>
      </c>
      <c r="B224" s="1" t="n">
        <v>43612</v>
      </c>
      <c r="C224" s="1" t="n">
        <v>45757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26930-2019</t>
        </is>
      </c>
      <c r="B225" s="1" t="n">
        <v>43613</v>
      </c>
      <c r="C225" s="1" t="n">
        <v>45757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26744-2019</t>
        </is>
      </c>
      <c r="B226" s="1" t="n">
        <v>43613</v>
      </c>
      <c r="C226" s="1" t="n">
        <v>45757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28901-2019</t>
        </is>
      </c>
      <c r="B227" s="1" t="n">
        <v>43616</v>
      </c>
      <c r="C227" s="1" t="n">
        <v>45757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27664-2019</t>
        </is>
      </c>
      <c r="B228" s="1" t="n">
        <v>43619</v>
      </c>
      <c r="C228" s="1" t="n">
        <v>45757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27675-2019</t>
        </is>
      </c>
      <c r="B229" s="1" t="n">
        <v>43619</v>
      </c>
      <c r="C229" s="1" t="n">
        <v>45757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27633-2019</t>
        </is>
      </c>
      <c r="B230" s="1" t="n">
        <v>43619</v>
      </c>
      <c r="C230" s="1" t="n">
        <v>45757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27555-2019</t>
        </is>
      </c>
      <c r="B231" s="1" t="n">
        <v>43619</v>
      </c>
      <c r="C231" s="1" t="n">
        <v>45757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27638-2019</t>
        </is>
      </c>
      <c r="B232" s="1" t="n">
        <v>43619</v>
      </c>
      <c r="C232" s="1" t="n">
        <v>45757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28926-2019</t>
        </is>
      </c>
      <c r="B233" s="1" t="n">
        <v>43619</v>
      </c>
      <c r="C233" s="1" t="n">
        <v>45757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27467-2019</t>
        </is>
      </c>
      <c r="B234" s="1" t="n">
        <v>43619</v>
      </c>
      <c r="C234" s="1" t="n">
        <v>45757</v>
      </c>
      <c r="D234" t="inlineStr">
        <is>
          <t>HALLANDS LÄN</t>
        </is>
      </c>
      <c r="E234" t="inlineStr">
        <is>
          <t>KUNGSBACKA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27666-2019</t>
        </is>
      </c>
      <c r="B235" s="1" t="n">
        <v>43619</v>
      </c>
      <c r="C235" s="1" t="n">
        <v>45757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27848-2019</t>
        </is>
      </c>
      <c r="B236" s="1" t="n">
        <v>43620</v>
      </c>
      <c r="C236" s="1" t="n">
        <v>45757</v>
      </c>
      <c r="D236" t="inlineStr">
        <is>
          <t>HALLANDS LÄN</t>
        </is>
      </c>
      <c r="E236" t="inlineStr">
        <is>
          <t>HYLTE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27854-2019</t>
        </is>
      </c>
      <c r="B237" s="1" t="n">
        <v>43620</v>
      </c>
      <c r="C237" s="1" t="n">
        <v>45757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27956-2019</t>
        </is>
      </c>
      <c r="B238" s="1" t="n">
        <v>43620</v>
      </c>
      <c r="C238" s="1" t="n">
        <v>45757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27796-2019</t>
        </is>
      </c>
      <c r="B239" s="1" t="n">
        <v>43620</v>
      </c>
      <c r="C239" s="1" t="n">
        <v>45757</v>
      </c>
      <c r="D239" t="inlineStr">
        <is>
          <t>HALLANDS LÄN</t>
        </is>
      </c>
      <c r="E239" t="inlineStr">
        <is>
          <t>HALMSTAD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27853-2019</t>
        </is>
      </c>
      <c r="B240" s="1" t="n">
        <v>43620</v>
      </c>
      <c r="C240" s="1" t="n">
        <v>45757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28032-2019</t>
        </is>
      </c>
      <c r="B241" s="1" t="n">
        <v>43621</v>
      </c>
      <c r="C241" s="1" t="n">
        <v>45757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28305-2019</t>
        </is>
      </c>
      <c r="B242" s="1" t="n">
        <v>43623</v>
      </c>
      <c r="C242" s="1" t="n">
        <v>45757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28459-2019</t>
        </is>
      </c>
      <c r="B243" s="1" t="n">
        <v>43626</v>
      </c>
      <c r="C243" s="1" t="n">
        <v>45757</v>
      </c>
      <c r="D243" t="inlineStr">
        <is>
          <t>HALLANDS LÄN</t>
        </is>
      </c>
      <c r="E243" t="inlineStr">
        <is>
          <t>KUNGSBACKA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28753-2019</t>
        </is>
      </c>
      <c r="B244" s="1" t="n">
        <v>43627</v>
      </c>
      <c r="C244" s="1" t="n">
        <v>45757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28658-2019</t>
        </is>
      </c>
      <c r="B245" s="1" t="n">
        <v>43627</v>
      </c>
      <c r="C245" s="1" t="n">
        <v>45757</v>
      </c>
      <c r="D245" t="inlineStr">
        <is>
          <t>HALLANDS LÄN</t>
        </is>
      </c>
      <c r="E245" t="inlineStr">
        <is>
          <t>FALKENBERG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29059-2019</t>
        </is>
      </c>
      <c r="B246" s="1" t="n">
        <v>43628</v>
      </c>
      <c r="C246" s="1" t="n">
        <v>45757</v>
      </c>
      <c r="D246" t="inlineStr">
        <is>
          <t>HALLANDS LÄN</t>
        </is>
      </c>
      <c r="E246" t="inlineStr">
        <is>
          <t>VARBERG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28910-2019</t>
        </is>
      </c>
      <c r="B247" s="1" t="n">
        <v>43628</v>
      </c>
      <c r="C247" s="1" t="n">
        <v>45757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29819-2019</t>
        </is>
      </c>
      <c r="B248" s="1" t="n">
        <v>43633</v>
      </c>
      <c r="C248" s="1" t="n">
        <v>45757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29870-2019</t>
        </is>
      </c>
      <c r="B249" s="1" t="n">
        <v>43633</v>
      </c>
      <c r="C249" s="1" t="n">
        <v>45757</v>
      </c>
      <c r="D249" t="inlineStr">
        <is>
          <t>HALLANDS LÄN</t>
        </is>
      </c>
      <c r="E249" t="inlineStr">
        <is>
          <t>HALMSTAD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30422-2019</t>
        </is>
      </c>
      <c r="B250" s="1" t="n">
        <v>43633</v>
      </c>
      <c r="C250" s="1" t="n">
        <v>45757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30222-2019</t>
        </is>
      </c>
      <c r="B251" s="1" t="n">
        <v>43634</v>
      </c>
      <c r="C251" s="1" t="n">
        <v>45757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30224-2019</t>
        </is>
      </c>
      <c r="B252" s="1" t="n">
        <v>43634</v>
      </c>
      <c r="C252" s="1" t="n">
        <v>45757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30555-2019</t>
        </is>
      </c>
      <c r="B253" s="1" t="n">
        <v>43635</v>
      </c>
      <c r="C253" s="1" t="n">
        <v>45757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30560-2019</t>
        </is>
      </c>
      <c r="B254" s="1" t="n">
        <v>43635</v>
      </c>
      <c r="C254" s="1" t="n">
        <v>45757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30557-2019</t>
        </is>
      </c>
      <c r="B255" s="1" t="n">
        <v>43635</v>
      </c>
      <c r="C255" s="1" t="n">
        <v>45757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30490-2019</t>
        </is>
      </c>
      <c r="B256" s="1" t="n">
        <v>43635</v>
      </c>
      <c r="C256" s="1" t="n">
        <v>45757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30846-2019</t>
        </is>
      </c>
      <c r="B257" s="1" t="n">
        <v>43636</v>
      </c>
      <c r="C257" s="1" t="n">
        <v>45757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31498-2019</t>
        </is>
      </c>
      <c r="B258" s="1" t="n">
        <v>43641</v>
      </c>
      <c r="C258" s="1" t="n">
        <v>45757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31527-2019</t>
        </is>
      </c>
      <c r="B259" s="1" t="n">
        <v>43641</v>
      </c>
      <c r="C259" s="1" t="n">
        <v>45757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31367-2019</t>
        </is>
      </c>
      <c r="B260" s="1" t="n">
        <v>43641</v>
      </c>
      <c r="C260" s="1" t="n">
        <v>45757</v>
      </c>
      <c r="D260" t="inlineStr">
        <is>
          <t>HALLANDS LÄN</t>
        </is>
      </c>
      <c r="E260" t="inlineStr">
        <is>
          <t>HALMSTAD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31800-2019</t>
        </is>
      </c>
      <c r="B261" s="1" t="n">
        <v>43642</v>
      </c>
      <c r="C261" s="1" t="n">
        <v>45757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32059-2019</t>
        </is>
      </c>
      <c r="B262" s="1" t="n">
        <v>43643</v>
      </c>
      <c r="C262" s="1" t="n">
        <v>45757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32437-2019</t>
        </is>
      </c>
      <c r="B263" s="1" t="n">
        <v>43644</v>
      </c>
      <c r="C263" s="1" t="n">
        <v>45757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32265-2019</t>
        </is>
      </c>
      <c r="B264" s="1" t="n">
        <v>43644</v>
      </c>
      <c r="C264" s="1" t="n">
        <v>45757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32713-2019</t>
        </is>
      </c>
      <c r="B265" s="1" t="n">
        <v>43647</v>
      </c>
      <c r="C265" s="1" t="n">
        <v>45757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32803-2019</t>
        </is>
      </c>
      <c r="B266" s="1" t="n">
        <v>43648</v>
      </c>
      <c r="C266" s="1" t="n">
        <v>45757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32755-2019</t>
        </is>
      </c>
      <c r="B267" s="1" t="n">
        <v>43648</v>
      </c>
      <c r="C267" s="1" t="n">
        <v>45757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32802-2019</t>
        </is>
      </c>
      <c r="B268" s="1" t="n">
        <v>43648</v>
      </c>
      <c r="C268" s="1" t="n">
        <v>45757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33205-2019</t>
        </is>
      </c>
      <c r="B269" s="1" t="n">
        <v>43649</v>
      </c>
      <c r="C269" s="1" t="n">
        <v>45757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33945-2019</t>
        </is>
      </c>
      <c r="B270" s="1" t="n">
        <v>43654</v>
      </c>
      <c r="C270" s="1" t="n">
        <v>45757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34029-2019</t>
        </is>
      </c>
      <c r="B271" s="1" t="n">
        <v>43654</v>
      </c>
      <c r="C271" s="1" t="n">
        <v>45757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34403-2019</t>
        </is>
      </c>
      <c r="B272" s="1" t="n">
        <v>43656</v>
      </c>
      <c r="C272" s="1" t="n">
        <v>45757</v>
      </c>
      <c r="D272" t="inlineStr">
        <is>
          <t>HALLANDS LÄN</t>
        </is>
      </c>
      <c r="E272" t="inlineStr">
        <is>
          <t>FALKENBERG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34479-2019</t>
        </is>
      </c>
      <c r="B273" s="1" t="n">
        <v>43656</v>
      </c>
      <c r="C273" s="1" t="n">
        <v>45757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34407-2019</t>
        </is>
      </c>
      <c r="B274" s="1" t="n">
        <v>43656</v>
      </c>
      <c r="C274" s="1" t="n">
        <v>45757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34730-2019</t>
        </is>
      </c>
      <c r="B275" s="1" t="n">
        <v>43657</v>
      </c>
      <c r="C275" s="1" t="n">
        <v>45757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34825-2019</t>
        </is>
      </c>
      <c r="B276" s="1" t="n">
        <v>43658</v>
      </c>
      <c r="C276" s="1" t="n">
        <v>45757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34835-2019</t>
        </is>
      </c>
      <c r="B277" s="1" t="n">
        <v>43658</v>
      </c>
      <c r="C277" s="1" t="n">
        <v>45757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34826-2019</t>
        </is>
      </c>
      <c r="B278" s="1" t="n">
        <v>43658</v>
      </c>
      <c r="C278" s="1" t="n">
        <v>45757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34849-2019</t>
        </is>
      </c>
      <c r="B279" s="1" t="n">
        <v>43658</v>
      </c>
      <c r="C279" s="1" t="n">
        <v>45757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34850-2019</t>
        </is>
      </c>
      <c r="B280" s="1" t="n">
        <v>43658</v>
      </c>
      <c r="C280" s="1" t="n">
        <v>45757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35077-2019</t>
        </is>
      </c>
      <c r="B281" s="1" t="n">
        <v>43661</v>
      </c>
      <c r="C281" s="1" t="n">
        <v>45757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35274-2019</t>
        </is>
      </c>
      <c r="B282" s="1" t="n">
        <v>43662</v>
      </c>
      <c r="C282" s="1" t="n">
        <v>45757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35263-2019</t>
        </is>
      </c>
      <c r="B283" s="1" t="n">
        <v>43662</v>
      </c>
      <c r="C283" s="1" t="n">
        <v>45757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35265-2019</t>
        </is>
      </c>
      <c r="B284" s="1" t="n">
        <v>43662</v>
      </c>
      <c r="C284" s="1" t="n">
        <v>45757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35446-2019</t>
        </is>
      </c>
      <c r="B285" s="1" t="n">
        <v>43663</v>
      </c>
      <c r="C285" s="1" t="n">
        <v>45757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35435-2019</t>
        </is>
      </c>
      <c r="B286" s="1" t="n">
        <v>43663</v>
      </c>
      <c r="C286" s="1" t="n">
        <v>45757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35652-2019</t>
        </is>
      </c>
      <c r="B287" s="1" t="n">
        <v>43664</v>
      </c>
      <c r="C287" s="1" t="n">
        <v>45757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35774-2019</t>
        </is>
      </c>
      <c r="B288" s="1" t="n">
        <v>43665</v>
      </c>
      <c r="C288" s="1" t="n">
        <v>45757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35892-2019</t>
        </is>
      </c>
      <c r="B289" s="1" t="n">
        <v>43665</v>
      </c>
      <c r="C289" s="1" t="n">
        <v>45757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35881-2019</t>
        </is>
      </c>
      <c r="B290" s="1" t="n">
        <v>43665</v>
      </c>
      <c r="C290" s="1" t="n">
        <v>45757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35874-2019</t>
        </is>
      </c>
      <c r="B291" s="1" t="n">
        <v>43665</v>
      </c>
      <c r="C291" s="1" t="n">
        <v>45757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35889-2019</t>
        </is>
      </c>
      <c r="B292" s="1" t="n">
        <v>43665</v>
      </c>
      <c r="C292" s="1" t="n">
        <v>45757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35866-2019</t>
        </is>
      </c>
      <c r="B293" s="1" t="n">
        <v>43665</v>
      </c>
      <c r="C293" s="1" t="n">
        <v>45757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36035-2019</t>
        </is>
      </c>
      <c r="B294" s="1" t="n">
        <v>43668</v>
      </c>
      <c r="C294" s="1" t="n">
        <v>45757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36033-2019</t>
        </is>
      </c>
      <c r="B295" s="1" t="n">
        <v>43668</v>
      </c>
      <c r="C295" s="1" t="n">
        <v>45757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36173-2019</t>
        </is>
      </c>
      <c r="B296" s="1" t="n">
        <v>43668</v>
      </c>
      <c r="C296" s="1" t="n">
        <v>45757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36036-2019</t>
        </is>
      </c>
      <c r="B297" s="1" t="n">
        <v>43668</v>
      </c>
      <c r="C297" s="1" t="n">
        <v>45757</v>
      </c>
      <c r="D297" t="inlineStr">
        <is>
          <t>HALLANDS LÄN</t>
        </is>
      </c>
      <c r="E297" t="inlineStr">
        <is>
          <t>HYLTE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36030-2019</t>
        </is>
      </c>
      <c r="B298" s="1" t="n">
        <v>43668</v>
      </c>
      <c r="C298" s="1" t="n">
        <v>45757</v>
      </c>
      <c r="D298" t="inlineStr">
        <is>
          <t>HALLANDS LÄN</t>
        </is>
      </c>
      <c r="E298" t="inlineStr">
        <is>
          <t>HYLTE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36172-2019</t>
        </is>
      </c>
      <c r="B299" s="1" t="n">
        <v>43668</v>
      </c>
      <c r="C299" s="1" t="n">
        <v>45757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36216-2019</t>
        </is>
      </c>
      <c r="B300" s="1" t="n">
        <v>43669</v>
      </c>
      <c r="C300" s="1" t="n">
        <v>45757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36757-2019</t>
        </is>
      </c>
      <c r="B301" s="1" t="n">
        <v>43672</v>
      </c>
      <c r="C301" s="1" t="n">
        <v>45757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37692-2019</t>
        </is>
      </c>
      <c r="B302" s="1" t="n">
        <v>43682</v>
      </c>
      <c r="C302" s="1" t="n">
        <v>45757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37739-2019</t>
        </is>
      </c>
      <c r="B303" s="1" t="n">
        <v>43682</v>
      </c>
      <c r="C303" s="1" t="n">
        <v>45757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37686-2019</t>
        </is>
      </c>
      <c r="B304" s="1" t="n">
        <v>43682</v>
      </c>
      <c r="C304" s="1" t="n">
        <v>45757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37672-2019</t>
        </is>
      </c>
      <c r="B305" s="1" t="n">
        <v>43682</v>
      </c>
      <c r="C305" s="1" t="n">
        <v>45757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37690-2019</t>
        </is>
      </c>
      <c r="B306" s="1" t="n">
        <v>43682</v>
      </c>
      <c r="C306" s="1" t="n">
        <v>45757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37682-2019</t>
        </is>
      </c>
      <c r="B307" s="1" t="n">
        <v>43682</v>
      </c>
      <c r="C307" s="1" t="n">
        <v>45757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38397-2019</t>
        </is>
      </c>
      <c r="B308" s="1" t="n">
        <v>43685</v>
      </c>
      <c r="C308" s="1" t="n">
        <v>45757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38402-2019</t>
        </is>
      </c>
      <c r="B309" s="1" t="n">
        <v>43685</v>
      </c>
      <c r="C309" s="1" t="n">
        <v>45757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38958-2019</t>
        </is>
      </c>
      <c r="B310" s="1" t="n">
        <v>43685</v>
      </c>
      <c r="C310" s="1" t="n">
        <v>45757</v>
      </c>
      <c r="D310" t="inlineStr">
        <is>
          <t>HALLANDS LÄN</t>
        </is>
      </c>
      <c r="E310" t="inlineStr">
        <is>
          <t>HALMSTAD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38962-2019</t>
        </is>
      </c>
      <c r="B311" s="1" t="n">
        <v>43685</v>
      </c>
      <c r="C311" s="1" t="n">
        <v>45757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38933-2019</t>
        </is>
      </c>
      <c r="B312" s="1" t="n">
        <v>43689</v>
      </c>
      <c r="C312" s="1" t="n">
        <v>45757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38968-2019</t>
        </is>
      </c>
      <c r="B313" s="1" t="n">
        <v>43689</v>
      </c>
      <c r="C313" s="1" t="n">
        <v>45757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39657-2019</t>
        </is>
      </c>
      <c r="B314" s="1" t="n">
        <v>43691</v>
      </c>
      <c r="C314" s="1" t="n">
        <v>45757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39792-2019</t>
        </is>
      </c>
      <c r="B315" s="1" t="n">
        <v>43692</v>
      </c>
      <c r="C315" s="1" t="n">
        <v>45757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39820-2019</t>
        </is>
      </c>
      <c r="B316" s="1" t="n">
        <v>43692</v>
      </c>
      <c r="C316" s="1" t="n">
        <v>45757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40574-2019</t>
        </is>
      </c>
      <c r="B317" s="1" t="n">
        <v>43696</v>
      </c>
      <c r="C317" s="1" t="n">
        <v>45757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41810-2019</t>
        </is>
      </c>
      <c r="B318" s="1" t="n">
        <v>43697</v>
      </c>
      <c r="C318" s="1" t="n">
        <v>45757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41813-2019</t>
        </is>
      </c>
      <c r="B319" s="1" t="n">
        <v>43697</v>
      </c>
      <c r="C319" s="1" t="n">
        <v>45757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41064-2019</t>
        </is>
      </c>
      <c r="B320" s="1" t="n">
        <v>43698</v>
      </c>
      <c r="C320" s="1" t="n">
        <v>45757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41093-2019</t>
        </is>
      </c>
      <c r="B321" s="1" t="n">
        <v>43698</v>
      </c>
      <c r="C321" s="1" t="n">
        <v>45757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41177-2019</t>
        </is>
      </c>
      <c r="B322" s="1" t="n">
        <v>43698</v>
      </c>
      <c r="C322" s="1" t="n">
        <v>45757</v>
      </c>
      <c r="D322" t="inlineStr">
        <is>
          <t>HALLANDS LÄN</t>
        </is>
      </c>
      <c r="E322" t="inlineStr">
        <is>
          <t>HALMSTAD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41295-2019</t>
        </is>
      </c>
      <c r="B323" s="1" t="n">
        <v>43698</v>
      </c>
      <c r="C323" s="1" t="n">
        <v>45757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41302-2019</t>
        </is>
      </c>
      <c r="B324" s="1" t="n">
        <v>43698</v>
      </c>
      <c r="C324" s="1" t="n">
        <v>45757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41301-2019</t>
        </is>
      </c>
      <c r="B325" s="1" t="n">
        <v>43698</v>
      </c>
      <c r="C325" s="1" t="n">
        <v>45757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42194-2019</t>
        </is>
      </c>
      <c r="B326" s="1" t="n">
        <v>43698</v>
      </c>
      <c r="C326" s="1" t="n">
        <v>45757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42233-2019</t>
        </is>
      </c>
      <c r="B327" s="1" t="n">
        <v>43703</v>
      </c>
      <c r="C327" s="1" t="n">
        <v>45757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42189-2019</t>
        </is>
      </c>
      <c r="B328" s="1" t="n">
        <v>43703</v>
      </c>
      <c r="C328" s="1" t="n">
        <v>45757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42465-2019</t>
        </is>
      </c>
      <c r="B329" s="1" t="n">
        <v>43704</v>
      </c>
      <c r="C329" s="1" t="n">
        <v>45757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43453-2019</t>
        </is>
      </c>
      <c r="B330" s="1" t="n">
        <v>43704</v>
      </c>
      <c r="C330" s="1" t="n">
        <v>45757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42738-2019</t>
        </is>
      </c>
      <c r="B331" s="1" t="n">
        <v>43704</v>
      </c>
      <c r="C331" s="1" t="n">
        <v>45757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42876-2019</t>
        </is>
      </c>
      <c r="B332" s="1" t="n">
        <v>43705</v>
      </c>
      <c r="C332" s="1" t="n">
        <v>45757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42934-2019</t>
        </is>
      </c>
      <c r="B333" s="1" t="n">
        <v>43705</v>
      </c>
      <c r="C333" s="1" t="n">
        <v>45757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42989-2019</t>
        </is>
      </c>
      <c r="B334" s="1" t="n">
        <v>43705</v>
      </c>
      <c r="C334" s="1" t="n">
        <v>45757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43497-2019</t>
        </is>
      </c>
      <c r="B335" s="1" t="n">
        <v>43706</v>
      </c>
      <c r="C335" s="1" t="n">
        <v>45757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43888-2019</t>
        </is>
      </c>
      <c r="B336" s="1" t="n">
        <v>43707</v>
      </c>
      <c r="C336" s="1" t="n">
        <v>45757</v>
      </c>
      <c r="D336" t="inlineStr">
        <is>
          <t>HALLANDS LÄN</t>
        </is>
      </c>
      <c r="E336" t="inlineStr">
        <is>
          <t>VARBERG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43936-2019</t>
        </is>
      </c>
      <c r="B337" s="1" t="n">
        <v>43707</v>
      </c>
      <c r="C337" s="1" t="n">
        <v>45757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44084-2019</t>
        </is>
      </c>
      <c r="B338" s="1" t="n">
        <v>43710</v>
      </c>
      <c r="C338" s="1" t="n">
        <v>45757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44159-2019</t>
        </is>
      </c>
      <c r="B339" s="1" t="n">
        <v>43710</v>
      </c>
      <c r="C339" s="1" t="n">
        <v>45757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44258-2019</t>
        </is>
      </c>
      <c r="B340" s="1" t="n">
        <v>43710</v>
      </c>
      <c r="C340" s="1" t="n">
        <v>45757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44257-2019</t>
        </is>
      </c>
      <c r="B341" s="1" t="n">
        <v>43710</v>
      </c>
      <c r="C341" s="1" t="n">
        <v>45757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44175-2019</t>
        </is>
      </c>
      <c r="B342" s="1" t="n">
        <v>43710</v>
      </c>
      <c r="C342" s="1" t="n">
        <v>45757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44170-2019</t>
        </is>
      </c>
      <c r="B343" s="1" t="n">
        <v>43710</v>
      </c>
      <c r="C343" s="1" t="n">
        <v>45757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45821-2019</t>
        </is>
      </c>
      <c r="B344" s="1" t="n">
        <v>43712</v>
      </c>
      <c r="C344" s="1" t="n">
        <v>45757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46065-2019</t>
        </is>
      </c>
      <c r="B345" s="1" t="n">
        <v>43712</v>
      </c>
      <c r="C345" s="1" t="n">
        <v>45757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46034-2019</t>
        </is>
      </c>
      <c r="B346" s="1" t="n">
        <v>43712</v>
      </c>
      <c r="C346" s="1" t="n">
        <v>45757</v>
      </c>
      <c r="D346" t="inlineStr">
        <is>
          <t>HALLANDS LÄN</t>
        </is>
      </c>
      <c r="E346" t="inlineStr">
        <is>
          <t>HYLTE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44927-2019</t>
        </is>
      </c>
      <c r="B347" s="1" t="n">
        <v>43713</v>
      </c>
      <c r="C347" s="1" t="n">
        <v>45757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46188-2019</t>
        </is>
      </c>
      <c r="B348" s="1" t="n">
        <v>43718</v>
      </c>
      <c r="C348" s="1" t="n">
        <v>45757</v>
      </c>
      <c r="D348" t="inlineStr">
        <is>
          <t>HALLANDS LÄN</t>
        </is>
      </c>
      <c r="E348" t="inlineStr">
        <is>
          <t>VARBERG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46030-2019</t>
        </is>
      </c>
      <c r="B349" s="1" t="n">
        <v>43718</v>
      </c>
      <c r="C349" s="1" t="n">
        <v>45757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46181-2019</t>
        </is>
      </c>
      <c r="B350" s="1" t="n">
        <v>43718</v>
      </c>
      <c r="C350" s="1" t="n">
        <v>45757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46041-2019</t>
        </is>
      </c>
      <c r="B351" s="1" t="n">
        <v>43718</v>
      </c>
      <c r="C351" s="1" t="n">
        <v>45757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46035-2019</t>
        </is>
      </c>
      <c r="B352" s="1" t="n">
        <v>43718</v>
      </c>
      <c r="C352" s="1" t="n">
        <v>45757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46042-2019</t>
        </is>
      </c>
      <c r="B353" s="1" t="n">
        <v>43718</v>
      </c>
      <c r="C353" s="1" t="n">
        <v>45757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46082-2019</t>
        </is>
      </c>
      <c r="B354" s="1" t="n">
        <v>43718</v>
      </c>
      <c r="C354" s="1" t="n">
        <v>45757</v>
      </c>
      <c r="D354" t="inlineStr">
        <is>
          <t>HALLANDS LÄN</t>
        </is>
      </c>
      <c r="E354" t="inlineStr">
        <is>
          <t>LAHOLM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46088-2019</t>
        </is>
      </c>
      <c r="B355" s="1" t="n">
        <v>43718</v>
      </c>
      <c r="C355" s="1" t="n">
        <v>45757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46025-2019</t>
        </is>
      </c>
      <c r="B356" s="1" t="n">
        <v>43718</v>
      </c>
      <c r="C356" s="1" t="n">
        <v>45757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46861-2019</t>
        </is>
      </c>
      <c r="B357" s="1" t="n">
        <v>43719</v>
      </c>
      <c r="C357" s="1" t="n">
        <v>45757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46846-2019</t>
        </is>
      </c>
      <c r="B358" s="1" t="n">
        <v>43720</v>
      </c>
      <c r="C358" s="1" t="n">
        <v>45757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47139-2019</t>
        </is>
      </c>
      <c r="B359" s="1" t="n">
        <v>43721</v>
      </c>
      <c r="C359" s="1" t="n">
        <v>45757</v>
      </c>
      <c r="D359" t="inlineStr">
        <is>
          <t>HALLANDS LÄN</t>
        </is>
      </c>
      <c r="E359" t="inlineStr">
        <is>
          <t>HALMSTAD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47480-2019</t>
        </is>
      </c>
      <c r="B360" s="1" t="n">
        <v>43724</v>
      </c>
      <c r="C360" s="1" t="n">
        <v>45757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47597-2019</t>
        </is>
      </c>
      <c r="B361" s="1" t="n">
        <v>43724</v>
      </c>
      <c r="C361" s="1" t="n">
        <v>45757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47711-2019</t>
        </is>
      </c>
      <c r="B362" s="1" t="n">
        <v>43724</v>
      </c>
      <c r="C362" s="1" t="n">
        <v>45757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48619-2019</t>
        </is>
      </c>
      <c r="B363" s="1" t="n">
        <v>43727</v>
      </c>
      <c r="C363" s="1" t="n">
        <v>45757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48694-2019</t>
        </is>
      </c>
      <c r="B364" s="1" t="n">
        <v>43728</v>
      </c>
      <c r="C364" s="1" t="n">
        <v>45757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49072-2019</t>
        </is>
      </c>
      <c r="B365" s="1" t="n">
        <v>43731</v>
      </c>
      <c r="C365" s="1" t="n">
        <v>45757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50041-2019</t>
        </is>
      </c>
      <c r="B366" s="1" t="n">
        <v>43731</v>
      </c>
      <c r="C366" s="1" t="n">
        <v>45757</v>
      </c>
      <c r="D366" t="inlineStr">
        <is>
          <t>HALLANDS LÄN</t>
        </is>
      </c>
      <c r="E366" t="inlineStr">
        <is>
          <t>HYLTE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50043-2019</t>
        </is>
      </c>
      <c r="B367" s="1" t="n">
        <v>43731</v>
      </c>
      <c r="C367" s="1" t="n">
        <v>45757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51527-2019</t>
        </is>
      </c>
      <c r="B368" s="1" t="n">
        <v>43732</v>
      </c>
      <c r="C368" s="1" t="n">
        <v>45757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49394-2019</t>
        </is>
      </c>
      <c r="B369" s="1" t="n">
        <v>43732</v>
      </c>
      <c r="C369" s="1" t="n">
        <v>45757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49479-2019</t>
        </is>
      </c>
      <c r="B370" s="1" t="n">
        <v>43732</v>
      </c>
      <c r="C370" s="1" t="n">
        <v>45757</v>
      </c>
      <c r="D370" t="inlineStr">
        <is>
          <t>HALLANDS LÄN</t>
        </is>
      </c>
      <c r="E370" t="inlineStr">
        <is>
          <t>FALKENBERG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49405-2019</t>
        </is>
      </c>
      <c r="B371" s="1" t="n">
        <v>43732</v>
      </c>
      <c r="C371" s="1" t="n">
        <v>45757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49808-2019</t>
        </is>
      </c>
      <c r="B372" s="1" t="n">
        <v>43733</v>
      </c>
      <c r="C372" s="1" t="n">
        <v>45757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52070-2019</t>
        </is>
      </c>
      <c r="B373" s="1" t="n">
        <v>43734</v>
      </c>
      <c r="C373" s="1" t="n">
        <v>45757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52666-2019</t>
        </is>
      </c>
      <c r="B374" s="1" t="n">
        <v>43738</v>
      </c>
      <c r="C374" s="1" t="n">
        <v>45757</v>
      </c>
      <c r="D374" t="inlineStr">
        <is>
          <t>HALLANDS LÄN</t>
        </is>
      </c>
      <c r="E374" t="inlineStr">
        <is>
          <t>HYLTE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51308-2019</t>
        </is>
      </c>
      <c r="B375" s="1" t="n">
        <v>43739</v>
      </c>
      <c r="C375" s="1" t="n">
        <v>45757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51306-2019</t>
        </is>
      </c>
      <c r="B376" s="1" t="n">
        <v>43739</v>
      </c>
      <c r="C376" s="1" t="n">
        <v>45757</v>
      </c>
      <c r="D376" t="inlineStr">
        <is>
          <t>HALLANDS LÄN</t>
        </is>
      </c>
      <c r="E376" t="inlineStr">
        <is>
          <t>HYLTE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51495-2019</t>
        </is>
      </c>
      <c r="B377" s="1" t="n">
        <v>43740</v>
      </c>
      <c r="C377" s="1" t="n">
        <v>45757</v>
      </c>
      <c r="D377" t="inlineStr">
        <is>
          <t>HALLANDS LÄN</t>
        </is>
      </c>
      <c r="E377" t="inlineStr">
        <is>
          <t>KUNGSBACKA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51792-2019</t>
        </is>
      </c>
      <c r="B378" s="1" t="n">
        <v>43741</v>
      </c>
      <c r="C378" s="1" t="n">
        <v>45757</v>
      </c>
      <c r="D378" t="inlineStr">
        <is>
          <t>HALLANDS LÄN</t>
        </is>
      </c>
      <c r="E378" t="inlineStr">
        <is>
          <t>LAHOLM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51807-2019</t>
        </is>
      </c>
      <c r="B379" s="1" t="n">
        <v>43741</v>
      </c>
      <c r="C379" s="1" t="n">
        <v>45757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51965-2019</t>
        </is>
      </c>
      <c r="B380" s="1" t="n">
        <v>43742</v>
      </c>
      <c r="C380" s="1" t="n">
        <v>45757</v>
      </c>
      <c r="D380" t="inlineStr">
        <is>
          <t>HALLANDS LÄN</t>
        </is>
      </c>
      <c r="E380" t="inlineStr">
        <is>
          <t>VARBERG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52007-2019</t>
        </is>
      </c>
      <c r="B381" s="1" t="n">
        <v>43742</v>
      </c>
      <c r="C381" s="1" t="n">
        <v>45757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52003-2019</t>
        </is>
      </c>
      <c r="B382" s="1" t="n">
        <v>43742</v>
      </c>
      <c r="C382" s="1" t="n">
        <v>45757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51977-2019</t>
        </is>
      </c>
      <c r="B383" s="1" t="n">
        <v>43742</v>
      </c>
      <c r="C383" s="1" t="n">
        <v>45757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52002-2019</t>
        </is>
      </c>
      <c r="B384" s="1" t="n">
        <v>43742</v>
      </c>
      <c r="C384" s="1" t="n">
        <v>45757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52133-2019</t>
        </is>
      </c>
      <c r="B385" s="1" t="n">
        <v>43742</v>
      </c>
      <c r="C385" s="1" t="n">
        <v>45757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52108-2019</t>
        </is>
      </c>
      <c r="B386" s="1" t="n">
        <v>43742</v>
      </c>
      <c r="C386" s="1" t="n">
        <v>45757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53861-2019</t>
        </is>
      </c>
      <c r="B387" s="1" t="n">
        <v>43742</v>
      </c>
      <c r="C387" s="1" t="n">
        <v>45757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52106-2019</t>
        </is>
      </c>
      <c r="B388" s="1" t="n">
        <v>43742</v>
      </c>
      <c r="C388" s="1" t="n">
        <v>45757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52118-2019</t>
        </is>
      </c>
      <c r="B389" s="1" t="n">
        <v>43742</v>
      </c>
      <c r="C389" s="1" t="n">
        <v>45757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51964-2019</t>
        </is>
      </c>
      <c r="B390" s="1" t="n">
        <v>43742</v>
      </c>
      <c r="C390" s="1" t="n">
        <v>45757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52749-2019</t>
        </is>
      </c>
      <c r="B391" s="1" t="n">
        <v>43746</v>
      </c>
      <c r="C391" s="1" t="n">
        <v>45757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53053-2019</t>
        </is>
      </c>
      <c r="B392" s="1" t="n">
        <v>43747</v>
      </c>
      <c r="C392" s="1" t="n">
        <v>45757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54444-2019</t>
        </is>
      </c>
      <c r="B393" s="1" t="n">
        <v>43747</v>
      </c>
      <c r="C393" s="1" t="n">
        <v>45757</v>
      </c>
      <c r="D393" t="inlineStr">
        <is>
          <t>HALLANDS LÄN</t>
        </is>
      </c>
      <c r="E393" t="inlineStr">
        <is>
          <t>VARBERG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54439-2019</t>
        </is>
      </c>
      <c r="B394" s="1" t="n">
        <v>43747</v>
      </c>
      <c r="C394" s="1" t="n">
        <v>45757</v>
      </c>
      <c r="D394" t="inlineStr">
        <is>
          <t>HALLANDS LÄN</t>
        </is>
      </c>
      <c r="E394" t="inlineStr">
        <is>
          <t>VARBERG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53283-2019</t>
        </is>
      </c>
      <c r="B395" s="1" t="n">
        <v>43748</v>
      </c>
      <c r="C395" s="1" t="n">
        <v>45757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54623-2019</t>
        </is>
      </c>
      <c r="B396" s="1" t="n">
        <v>43748</v>
      </c>
      <c r="C396" s="1" t="n">
        <v>45757</v>
      </c>
      <c r="D396" t="inlineStr">
        <is>
          <t>HALLANDS LÄN</t>
        </is>
      </c>
      <c r="E396" t="inlineStr">
        <is>
          <t>FALKENBERG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54646-2019</t>
        </is>
      </c>
      <c r="B397" s="1" t="n">
        <v>43748</v>
      </c>
      <c r="C397" s="1" t="n">
        <v>45757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53288-2019</t>
        </is>
      </c>
      <c r="B398" s="1" t="n">
        <v>43748</v>
      </c>
      <c r="C398" s="1" t="n">
        <v>45757</v>
      </c>
      <c r="D398" t="inlineStr">
        <is>
          <t>HALLANDS LÄN</t>
        </is>
      </c>
      <c r="E398" t="inlineStr">
        <is>
          <t>KUNGSBACKA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53587-2019</t>
        </is>
      </c>
      <c r="B399" s="1" t="n">
        <v>43749</v>
      </c>
      <c r="C399" s="1" t="n">
        <v>45757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53880-2019</t>
        </is>
      </c>
      <c r="B400" s="1" t="n">
        <v>43752</v>
      </c>
      <c r="C400" s="1" t="n">
        <v>45757</v>
      </c>
      <c r="D400" t="inlineStr">
        <is>
          <t>HALLANDS LÄN</t>
        </is>
      </c>
      <c r="E400" t="inlineStr">
        <is>
          <t>FALKENBERG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54016-2019</t>
        </is>
      </c>
      <c r="B401" s="1" t="n">
        <v>43752</v>
      </c>
      <c r="C401" s="1" t="n">
        <v>45757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53882-2019</t>
        </is>
      </c>
      <c r="B402" s="1" t="n">
        <v>43752</v>
      </c>
      <c r="C402" s="1" t="n">
        <v>45757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53966-2019</t>
        </is>
      </c>
      <c r="B403" s="1" t="n">
        <v>43752</v>
      </c>
      <c r="C403" s="1" t="n">
        <v>45757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54537-2019</t>
        </is>
      </c>
      <c r="B404" s="1" t="n">
        <v>43754</v>
      </c>
      <c r="C404" s="1" t="n">
        <v>45757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54535-2019</t>
        </is>
      </c>
      <c r="B405" s="1" t="n">
        <v>43754</v>
      </c>
      <c r="C405" s="1" t="n">
        <v>45757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54626-2019</t>
        </is>
      </c>
      <c r="B406" s="1" t="n">
        <v>43754</v>
      </c>
      <c r="C406" s="1" t="n">
        <v>45757</v>
      </c>
      <c r="D406" t="inlineStr">
        <is>
          <t>HALLANDS LÄN</t>
        </is>
      </c>
      <c r="E406" t="inlineStr">
        <is>
          <t>FALKENBERG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54461-2019</t>
        </is>
      </c>
      <c r="B407" s="1" t="n">
        <v>43754</v>
      </c>
      <c r="C407" s="1" t="n">
        <v>45757</v>
      </c>
      <c r="D407" t="inlineStr">
        <is>
          <t>HALLANDS LÄN</t>
        </is>
      </c>
      <c r="E407" t="inlineStr">
        <is>
          <t>HALMSTAD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54432-2019</t>
        </is>
      </c>
      <c r="B408" s="1" t="n">
        <v>43754</v>
      </c>
      <c r="C408" s="1" t="n">
        <v>45757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54530-2019</t>
        </is>
      </c>
      <c r="B409" s="1" t="n">
        <v>43754</v>
      </c>
      <c r="C409" s="1" t="n">
        <v>45757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54543-2019</t>
        </is>
      </c>
      <c r="B410" s="1" t="n">
        <v>43754</v>
      </c>
      <c r="C410" s="1" t="n">
        <v>45757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54533-2019</t>
        </is>
      </c>
      <c r="B411" s="1" t="n">
        <v>43754</v>
      </c>
      <c r="C411" s="1" t="n">
        <v>45757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55036-2019</t>
        </is>
      </c>
      <c r="B412" s="1" t="n">
        <v>43755</v>
      </c>
      <c r="C412" s="1" t="n">
        <v>45757</v>
      </c>
      <c r="D412" t="inlineStr">
        <is>
          <t>HALLANDS LÄN</t>
        </is>
      </c>
      <c r="E412" t="inlineStr">
        <is>
          <t>FALKENBERG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55035-2019</t>
        </is>
      </c>
      <c r="B413" s="1" t="n">
        <v>43755</v>
      </c>
      <c r="C413" s="1" t="n">
        <v>45757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55037-2019</t>
        </is>
      </c>
      <c r="B414" s="1" t="n">
        <v>43755</v>
      </c>
      <c r="C414" s="1" t="n">
        <v>45757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55584-2019</t>
        </is>
      </c>
      <c r="B415" s="1" t="n">
        <v>43760</v>
      </c>
      <c r="C415" s="1" t="n">
        <v>45757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56020-2019</t>
        </is>
      </c>
      <c r="B416" s="1" t="n">
        <v>43761</v>
      </c>
      <c r="C416" s="1" t="n">
        <v>45757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56226-2019</t>
        </is>
      </c>
      <c r="B417" s="1" t="n">
        <v>43762</v>
      </c>
      <c r="C417" s="1" t="n">
        <v>45757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56247-2019</t>
        </is>
      </c>
      <c r="B418" s="1" t="n">
        <v>43762</v>
      </c>
      <c r="C418" s="1" t="n">
        <v>45757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56390-2019</t>
        </is>
      </c>
      <c r="B419" s="1" t="n">
        <v>43762</v>
      </c>
      <c r="C419" s="1" t="n">
        <v>45757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57817-2019</t>
        </is>
      </c>
      <c r="B420" s="1" t="n">
        <v>43762</v>
      </c>
      <c r="C420" s="1" t="n">
        <v>45757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56782-2019</t>
        </is>
      </c>
      <c r="B421" s="1" t="n">
        <v>43763</v>
      </c>
      <c r="C421" s="1" t="n">
        <v>45757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57076-2019</t>
        </is>
      </c>
      <c r="B422" s="1" t="n">
        <v>43766</v>
      </c>
      <c r="C422" s="1" t="n">
        <v>45757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57709-2019</t>
        </is>
      </c>
      <c r="B423" s="1" t="n">
        <v>43768</v>
      </c>
      <c r="C423" s="1" t="n">
        <v>45757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57707-2019</t>
        </is>
      </c>
      <c r="B424" s="1" t="n">
        <v>43768</v>
      </c>
      <c r="C424" s="1" t="n">
        <v>45757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57699-2019</t>
        </is>
      </c>
      <c r="B425" s="1" t="n">
        <v>43768</v>
      </c>
      <c r="C425" s="1" t="n">
        <v>45757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58297-2019</t>
        </is>
      </c>
      <c r="B426" s="1" t="n">
        <v>43770</v>
      </c>
      <c r="C426" s="1" t="n">
        <v>45757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58277-2019</t>
        </is>
      </c>
      <c r="B427" s="1" t="n">
        <v>43770</v>
      </c>
      <c r="C427" s="1" t="n">
        <v>45757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58578-2019</t>
        </is>
      </c>
      <c r="B428" s="1" t="n">
        <v>43773</v>
      </c>
      <c r="C428" s="1" t="n">
        <v>45757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58728-2019</t>
        </is>
      </c>
      <c r="B429" s="1" t="n">
        <v>43773</v>
      </c>
      <c r="C429" s="1" t="n">
        <v>45757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58690-2019</t>
        </is>
      </c>
      <c r="B430" s="1" t="n">
        <v>43773</v>
      </c>
      <c r="C430" s="1" t="n">
        <v>45757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58782-2019</t>
        </is>
      </c>
      <c r="B431" s="1" t="n">
        <v>43773</v>
      </c>
      <c r="C431" s="1" t="n">
        <v>45757</v>
      </c>
      <c r="D431" t="inlineStr">
        <is>
          <t>HALLANDS LÄN</t>
        </is>
      </c>
      <c r="E431" t="inlineStr">
        <is>
          <t>LAHOLM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58737-2019</t>
        </is>
      </c>
      <c r="B432" s="1" t="n">
        <v>43773</v>
      </c>
      <c r="C432" s="1" t="n">
        <v>45757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58884-2019</t>
        </is>
      </c>
      <c r="B433" s="1" t="n">
        <v>43774</v>
      </c>
      <c r="C433" s="1" t="n">
        <v>45757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59161-2019</t>
        </is>
      </c>
      <c r="B434" s="1" t="n">
        <v>43775</v>
      </c>
      <c r="C434" s="1" t="n">
        <v>45757</v>
      </c>
      <c r="D434" t="inlineStr">
        <is>
          <t>HALLANDS LÄN</t>
        </is>
      </c>
      <c r="E434" t="inlineStr">
        <is>
          <t>FALKENBERG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59162-2019</t>
        </is>
      </c>
      <c r="B435" s="1" t="n">
        <v>43775</v>
      </c>
      <c r="C435" s="1" t="n">
        <v>45757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59403-2019</t>
        </is>
      </c>
      <c r="B436" s="1" t="n">
        <v>43775</v>
      </c>
      <c r="C436" s="1" t="n">
        <v>45757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59406-2019</t>
        </is>
      </c>
      <c r="B437" s="1" t="n">
        <v>43775</v>
      </c>
      <c r="C437" s="1" t="n">
        <v>45757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59398-2019</t>
        </is>
      </c>
      <c r="B438" s="1" t="n">
        <v>43775</v>
      </c>
      <c r="C438" s="1" t="n">
        <v>45757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59410-2019</t>
        </is>
      </c>
      <c r="B439" s="1" t="n">
        <v>43775</v>
      </c>
      <c r="C439" s="1" t="n">
        <v>45757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59205-2019</t>
        </is>
      </c>
      <c r="B440" s="1" t="n">
        <v>43775</v>
      </c>
      <c r="C440" s="1" t="n">
        <v>45757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59407-2019</t>
        </is>
      </c>
      <c r="B441" s="1" t="n">
        <v>43775</v>
      </c>
      <c r="C441" s="1" t="n">
        <v>45757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59348-2019</t>
        </is>
      </c>
      <c r="B442" s="1" t="n">
        <v>43775</v>
      </c>
      <c r="C442" s="1" t="n">
        <v>45757</v>
      </c>
      <c r="D442" t="inlineStr">
        <is>
          <t>HALLANDS LÄN</t>
        </is>
      </c>
      <c r="E442" t="inlineStr">
        <is>
          <t>HALMSTAD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59798-2019</t>
        </is>
      </c>
      <c r="B443" s="1" t="n">
        <v>43777</v>
      </c>
      <c r="C443" s="1" t="n">
        <v>45757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60076-2019</t>
        </is>
      </c>
      <c r="B444" s="1" t="n">
        <v>43777</v>
      </c>
      <c r="C444" s="1" t="n">
        <v>45757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60712-2019</t>
        </is>
      </c>
      <c r="B445" s="1" t="n">
        <v>43781</v>
      </c>
      <c r="C445" s="1" t="n">
        <v>45757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60734-2019</t>
        </is>
      </c>
      <c r="B446" s="1" t="n">
        <v>43781</v>
      </c>
      <c r="C446" s="1" t="n">
        <v>45757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60823-2019</t>
        </is>
      </c>
      <c r="B447" s="1" t="n">
        <v>43781</v>
      </c>
      <c r="C447" s="1" t="n">
        <v>45757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61426-2019</t>
        </is>
      </c>
      <c r="B448" s="1" t="n">
        <v>43783</v>
      </c>
      <c r="C448" s="1" t="n">
        <v>45757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61434-2019</t>
        </is>
      </c>
      <c r="B449" s="1" t="n">
        <v>43783</v>
      </c>
      <c r="C449" s="1" t="n">
        <v>45757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61225-2019</t>
        </is>
      </c>
      <c r="B450" s="1" t="n">
        <v>43783</v>
      </c>
      <c r="C450" s="1" t="n">
        <v>45757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61429-2019</t>
        </is>
      </c>
      <c r="B451" s="1" t="n">
        <v>43783</v>
      </c>
      <c r="C451" s="1" t="n">
        <v>45757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61590-2019</t>
        </is>
      </c>
      <c r="B452" s="1" t="n">
        <v>43784</v>
      </c>
      <c r="C452" s="1" t="n">
        <v>45757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62365-2019</t>
        </is>
      </c>
      <c r="B453" s="1" t="n">
        <v>43788</v>
      </c>
      <c r="C453" s="1" t="n">
        <v>45757</v>
      </c>
      <c r="D453" t="inlineStr">
        <is>
          <t>HALLANDS LÄN</t>
        </is>
      </c>
      <c r="E453" t="inlineStr">
        <is>
          <t>HALMSTAD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62408-2019</t>
        </is>
      </c>
      <c r="B454" s="1" t="n">
        <v>43788</v>
      </c>
      <c r="C454" s="1" t="n">
        <v>45757</v>
      </c>
      <c r="D454" t="inlineStr">
        <is>
          <t>HALLANDS LÄN</t>
        </is>
      </c>
      <c r="E454" t="inlineStr">
        <is>
          <t>HALMSTAD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62601-2019</t>
        </is>
      </c>
      <c r="B455" s="1" t="n">
        <v>43789</v>
      </c>
      <c r="C455" s="1" t="n">
        <v>45757</v>
      </c>
      <c r="D455" t="inlineStr">
        <is>
          <t>HALLANDS LÄN</t>
        </is>
      </c>
      <c r="E455" t="inlineStr">
        <is>
          <t>HALMSTAD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62533-2019</t>
        </is>
      </c>
      <c r="B456" s="1" t="n">
        <v>43789</v>
      </c>
      <c r="C456" s="1" t="n">
        <v>45757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63797-2019</t>
        </is>
      </c>
      <c r="B457" s="1" t="n">
        <v>43790</v>
      </c>
      <c r="C457" s="1" t="n">
        <v>45757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64877-2019</t>
        </is>
      </c>
      <c r="B458" s="1" t="n">
        <v>43795</v>
      </c>
      <c r="C458" s="1" t="n">
        <v>45757</v>
      </c>
      <c r="D458" t="inlineStr">
        <is>
          <t>HALLANDS LÄN</t>
        </is>
      </c>
      <c r="E458" t="inlineStr">
        <is>
          <t>HALMSTAD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64033-2019</t>
        </is>
      </c>
      <c r="B459" s="1" t="n">
        <v>43795</v>
      </c>
      <c r="C459" s="1" t="n">
        <v>45757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63858-2019</t>
        </is>
      </c>
      <c r="B460" s="1" t="n">
        <v>43796</v>
      </c>
      <c r="C460" s="1" t="n">
        <v>45757</v>
      </c>
      <c r="D460" t="inlineStr">
        <is>
          <t>HALLANDS LÄN</t>
        </is>
      </c>
      <c r="E460" t="inlineStr">
        <is>
          <t>HALMSTAD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63907-2019</t>
        </is>
      </c>
      <c r="B461" s="1" t="n">
        <v>43796</v>
      </c>
      <c r="C461" s="1" t="n">
        <v>45757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63975-2019</t>
        </is>
      </c>
      <c r="B462" s="1" t="n">
        <v>43796</v>
      </c>
      <c r="C462" s="1" t="n">
        <v>45757</v>
      </c>
      <c r="D462" t="inlineStr">
        <is>
          <t>HALLANDS LÄN</t>
        </is>
      </c>
      <c r="E462" t="inlineStr">
        <is>
          <t>HALMSTAD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64065-2019</t>
        </is>
      </c>
      <c r="B463" s="1" t="n">
        <v>43796</v>
      </c>
      <c r="C463" s="1" t="n">
        <v>45757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65339-2019</t>
        </is>
      </c>
      <c r="B464" s="1" t="n">
        <v>43803</v>
      </c>
      <c r="C464" s="1" t="n">
        <v>45757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65478-2019</t>
        </is>
      </c>
      <c r="B465" s="1" t="n">
        <v>43803</v>
      </c>
      <c r="C465" s="1" t="n">
        <v>45757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66247-2019</t>
        </is>
      </c>
      <c r="B466" s="1" t="n">
        <v>43805</v>
      </c>
      <c r="C466" s="1" t="n">
        <v>45757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66249-2019</t>
        </is>
      </c>
      <c r="B467" s="1" t="n">
        <v>43805</v>
      </c>
      <c r="C467" s="1" t="n">
        <v>45757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66210-2019</t>
        </is>
      </c>
      <c r="B468" s="1" t="n">
        <v>43808</v>
      </c>
      <c r="C468" s="1" t="n">
        <v>45757</v>
      </c>
      <c r="D468" t="inlineStr">
        <is>
          <t>HALLANDS LÄN</t>
        </is>
      </c>
      <c r="E468" t="inlineStr">
        <is>
          <t>VARBERG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66726-2019</t>
        </is>
      </c>
      <c r="B469" s="1" t="n">
        <v>43810</v>
      </c>
      <c r="C469" s="1" t="n">
        <v>45757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66779-2019</t>
        </is>
      </c>
      <c r="B470" s="1" t="n">
        <v>43810</v>
      </c>
      <c r="C470" s="1" t="n">
        <v>45757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66778-2019</t>
        </is>
      </c>
      <c r="B471" s="1" t="n">
        <v>43810</v>
      </c>
      <c r="C471" s="1" t="n">
        <v>45757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67180-2019</t>
        </is>
      </c>
      <c r="B472" s="1" t="n">
        <v>43811</v>
      </c>
      <c r="C472" s="1" t="n">
        <v>45757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67209-2019</t>
        </is>
      </c>
      <c r="B473" s="1" t="n">
        <v>43811</v>
      </c>
      <c r="C473" s="1" t="n">
        <v>45757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67210-2019</t>
        </is>
      </c>
      <c r="B474" s="1" t="n">
        <v>43811</v>
      </c>
      <c r="C474" s="1" t="n">
        <v>45757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67552-2019</t>
        </is>
      </c>
      <c r="B475" s="1" t="n">
        <v>43815</v>
      </c>
      <c r="C475" s="1" t="n">
        <v>45757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67551-2019</t>
        </is>
      </c>
      <c r="B476" s="1" t="n">
        <v>43815</v>
      </c>
      <c r="C476" s="1" t="n">
        <v>45757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575-2020</t>
        </is>
      </c>
      <c r="B477" s="1" t="n">
        <v>43817</v>
      </c>
      <c r="C477" s="1" t="n">
        <v>45757</v>
      </c>
      <c r="D477" t="inlineStr">
        <is>
          <t>HALLANDS LÄN</t>
        </is>
      </c>
      <c r="E477" t="inlineStr">
        <is>
          <t>LAHOLM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583-2020</t>
        </is>
      </c>
      <c r="B478" s="1" t="n">
        <v>43817</v>
      </c>
      <c r="C478" s="1" t="n">
        <v>45757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581-2020</t>
        </is>
      </c>
      <c r="B479" s="1" t="n">
        <v>43817</v>
      </c>
      <c r="C479" s="1" t="n">
        <v>45757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68385-2019</t>
        </is>
      </c>
      <c r="B480" s="1" t="n">
        <v>43818</v>
      </c>
      <c r="C480" s="1" t="n">
        <v>45757</v>
      </c>
      <c r="D480" t="inlineStr">
        <is>
          <t>HALLANDS LÄN</t>
        </is>
      </c>
      <c r="E480" t="inlineStr">
        <is>
          <t>VARBERG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68378-2019</t>
        </is>
      </c>
      <c r="B481" s="1" t="n">
        <v>43818</v>
      </c>
      <c r="C481" s="1" t="n">
        <v>45757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1117-2020</t>
        </is>
      </c>
      <c r="B482" s="1" t="n">
        <v>43819</v>
      </c>
      <c r="C482" s="1" t="n">
        <v>45757</v>
      </c>
      <c r="D482" t="inlineStr">
        <is>
          <t>HALLANDS LÄN</t>
        </is>
      </c>
      <c r="E482" t="inlineStr">
        <is>
          <t>FALKENBERG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68970-2019</t>
        </is>
      </c>
      <c r="B483" s="1" t="n">
        <v>43822</v>
      </c>
      <c r="C483" s="1" t="n">
        <v>45757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69110-2019</t>
        </is>
      </c>
      <c r="B484" s="1" t="n">
        <v>43829</v>
      </c>
      <c r="C484" s="1" t="n">
        <v>45757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1620-2020</t>
        </is>
      </c>
      <c r="B485" s="1" t="n">
        <v>43829</v>
      </c>
      <c r="C485" s="1" t="n">
        <v>45757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69108-2019</t>
        </is>
      </c>
      <c r="B486" s="1" t="n">
        <v>43829</v>
      </c>
      <c r="C486" s="1" t="n">
        <v>45757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69161-2019</t>
        </is>
      </c>
      <c r="B487" s="1" t="n">
        <v>43829</v>
      </c>
      <c r="C487" s="1" t="n">
        <v>45757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368-2020</t>
        </is>
      </c>
      <c r="B488" s="1" t="n">
        <v>43837</v>
      </c>
      <c r="C488" s="1" t="n">
        <v>45757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394-2020</t>
        </is>
      </c>
      <c r="B489" s="1" t="n">
        <v>43837</v>
      </c>
      <c r="C489" s="1" t="n">
        <v>45757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353-2020</t>
        </is>
      </c>
      <c r="B490" s="1" t="n">
        <v>43837</v>
      </c>
      <c r="C490" s="1" t="n">
        <v>45757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1242-2020</t>
        </is>
      </c>
      <c r="B491" s="1" t="n">
        <v>43838</v>
      </c>
      <c r="C491" s="1" t="n">
        <v>45757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987-2020</t>
        </is>
      </c>
      <c r="B492" s="1" t="n">
        <v>43839</v>
      </c>
      <c r="C492" s="1" t="n">
        <v>45757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984-2020</t>
        </is>
      </c>
      <c r="B493" s="1" t="n">
        <v>43839</v>
      </c>
      <c r="C493" s="1" t="n">
        <v>45757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1160-2020</t>
        </is>
      </c>
      <c r="B494" s="1" t="n">
        <v>43840</v>
      </c>
      <c r="C494" s="1" t="n">
        <v>45757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1135-2020</t>
        </is>
      </c>
      <c r="B495" s="1" t="n">
        <v>43840</v>
      </c>
      <c r="C495" s="1" t="n">
        <v>45757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2800-2020</t>
        </is>
      </c>
      <c r="B496" s="1" t="n">
        <v>43843</v>
      </c>
      <c r="C496" s="1" t="n">
        <v>45757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1696-2020</t>
        </is>
      </c>
      <c r="B497" s="1" t="n">
        <v>43844</v>
      </c>
      <c r="C497" s="1" t="n">
        <v>45757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1714-2020</t>
        </is>
      </c>
      <c r="B498" s="1" t="n">
        <v>43844</v>
      </c>
      <c r="C498" s="1" t="n">
        <v>45757</v>
      </c>
      <c r="D498" t="inlineStr">
        <is>
          <t>HALLANDS LÄN</t>
        </is>
      </c>
      <c r="E498" t="inlineStr">
        <is>
          <t>LAHOLM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1763-2020</t>
        </is>
      </c>
      <c r="B499" s="1" t="n">
        <v>43844</v>
      </c>
      <c r="C499" s="1" t="n">
        <v>45757</v>
      </c>
      <c r="D499" t="inlineStr">
        <is>
          <t>HALLANDS LÄN</t>
        </is>
      </c>
      <c r="E499" t="inlineStr">
        <is>
          <t>VARBERG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1959-2020</t>
        </is>
      </c>
      <c r="B500" s="1" t="n">
        <v>43845</v>
      </c>
      <c r="C500" s="1" t="n">
        <v>45757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1922-2020</t>
        </is>
      </c>
      <c r="B501" s="1" t="n">
        <v>43845</v>
      </c>
      <c r="C501" s="1" t="n">
        <v>45757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2022-2020</t>
        </is>
      </c>
      <c r="B502" s="1" t="n">
        <v>43845</v>
      </c>
      <c r="C502" s="1" t="n">
        <v>45757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2084-2020</t>
        </is>
      </c>
      <c r="B503" s="1" t="n">
        <v>43845</v>
      </c>
      <c r="C503" s="1" t="n">
        <v>45757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2142-2020</t>
        </is>
      </c>
      <c r="B504" s="1" t="n">
        <v>43846</v>
      </c>
      <c r="C504" s="1" t="n">
        <v>45757</v>
      </c>
      <c r="D504" t="inlineStr">
        <is>
          <t>HALLANDS LÄN</t>
        </is>
      </c>
      <c r="E504" t="inlineStr">
        <is>
          <t>VARBERG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2208-2020</t>
        </is>
      </c>
      <c r="B505" s="1" t="n">
        <v>43846</v>
      </c>
      <c r="C505" s="1" t="n">
        <v>45757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2759-2020</t>
        </is>
      </c>
      <c r="B506" s="1" t="n">
        <v>43850</v>
      </c>
      <c r="C506" s="1" t="n">
        <v>45757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3296-2020</t>
        </is>
      </c>
      <c r="B507" s="1" t="n">
        <v>43852</v>
      </c>
      <c r="C507" s="1" t="n">
        <v>45757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3461-2020</t>
        </is>
      </c>
      <c r="B508" s="1" t="n">
        <v>43852</v>
      </c>
      <c r="C508" s="1" t="n">
        <v>45757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3305-2020</t>
        </is>
      </c>
      <c r="B509" s="1" t="n">
        <v>43852</v>
      </c>
      <c r="C509" s="1" t="n">
        <v>45757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3755-2020</t>
        </is>
      </c>
      <c r="B510" s="1" t="n">
        <v>43854</v>
      </c>
      <c r="C510" s="1" t="n">
        <v>45757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3777-2020</t>
        </is>
      </c>
      <c r="B511" s="1" t="n">
        <v>43854</v>
      </c>
      <c r="C511" s="1" t="n">
        <v>45757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3759-2020</t>
        </is>
      </c>
      <c r="B512" s="1" t="n">
        <v>43854</v>
      </c>
      <c r="C512" s="1" t="n">
        <v>45757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3898-2020</t>
        </is>
      </c>
      <c r="B513" s="1" t="n">
        <v>43854</v>
      </c>
      <c r="C513" s="1" t="n">
        <v>45757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4155-2020</t>
        </is>
      </c>
      <c r="B514" s="1" t="n">
        <v>43857</v>
      </c>
      <c r="C514" s="1" t="n">
        <v>45757</v>
      </c>
      <c r="D514" t="inlineStr">
        <is>
          <t>HALLANDS LÄN</t>
        </is>
      </c>
      <c r="E514" t="inlineStr">
        <is>
          <t>LAHOLM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4384-2020</t>
        </is>
      </c>
      <c r="B515" s="1" t="n">
        <v>43858</v>
      </c>
      <c r="C515" s="1" t="n">
        <v>45757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4413-2020</t>
        </is>
      </c>
      <c r="B516" s="1" t="n">
        <v>43858</v>
      </c>
      <c r="C516" s="1" t="n">
        <v>45757</v>
      </c>
      <c r="D516" t="inlineStr">
        <is>
          <t>HALLANDS LÄN</t>
        </is>
      </c>
      <c r="E516" t="inlineStr">
        <is>
          <t>HYLTE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4787-2020</t>
        </is>
      </c>
      <c r="B517" s="1" t="n">
        <v>43859</v>
      </c>
      <c r="C517" s="1" t="n">
        <v>45757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4885-2020</t>
        </is>
      </c>
      <c r="B518" s="1" t="n">
        <v>43859</v>
      </c>
      <c r="C518" s="1" t="n">
        <v>45757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4903-2020</t>
        </is>
      </c>
      <c r="B519" s="1" t="n">
        <v>43859</v>
      </c>
      <c r="C519" s="1" t="n">
        <v>45757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4789-2020</t>
        </is>
      </c>
      <c r="B520" s="1" t="n">
        <v>43859</v>
      </c>
      <c r="C520" s="1" t="n">
        <v>45757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5066-2020</t>
        </is>
      </c>
      <c r="B521" s="1" t="n">
        <v>43859</v>
      </c>
      <c r="C521" s="1" t="n">
        <v>45757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5019-2020</t>
        </is>
      </c>
      <c r="B522" s="1" t="n">
        <v>43859</v>
      </c>
      <c r="C522" s="1" t="n">
        <v>45757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5519-2020</t>
        </is>
      </c>
      <c r="B523" s="1" t="n">
        <v>43859</v>
      </c>
      <c r="C523" s="1" t="n">
        <v>45757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5204-2020</t>
        </is>
      </c>
      <c r="B524" s="1" t="n">
        <v>43860</v>
      </c>
      <c r="C524" s="1" t="n">
        <v>45757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5143-2020</t>
        </is>
      </c>
      <c r="B525" s="1" t="n">
        <v>43860</v>
      </c>
      <c r="C525" s="1" t="n">
        <v>45757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5199-2020</t>
        </is>
      </c>
      <c r="B526" s="1" t="n">
        <v>43860</v>
      </c>
      <c r="C526" s="1" t="n">
        <v>45757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5414-2020</t>
        </is>
      </c>
      <c r="B527" s="1" t="n">
        <v>43860</v>
      </c>
      <c r="C527" s="1" t="n">
        <v>45757</v>
      </c>
      <c r="D527" t="inlineStr">
        <is>
          <t>HALLANDS LÄN</t>
        </is>
      </c>
      <c r="E527" t="inlineStr">
        <is>
          <t>HALMSTAD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5266-2020</t>
        </is>
      </c>
      <c r="B528" s="1" t="n">
        <v>43860</v>
      </c>
      <c r="C528" s="1" t="n">
        <v>45757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5703-2020</t>
        </is>
      </c>
      <c r="B529" s="1" t="n">
        <v>43861</v>
      </c>
      <c r="C529" s="1" t="n">
        <v>45757</v>
      </c>
      <c r="D529" t="inlineStr">
        <is>
          <t>HALLANDS LÄN</t>
        </is>
      </c>
      <c r="E529" t="inlineStr">
        <is>
          <t>LAHOLM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5582-2020</t>
        </is>
      </c>
      <c r="B530" s="1" t="n">
        <v>43861</v>
      </c>
      <c r="C530" s="1" t="n">
        <v>45757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5837-2020</t>
        </is>
      </c>
      <c r="B531" s="1" t="n">
        <v>43864</v>
      </c>
      <c r="C531" s="1" t="n">
        <v>45757</v>
      </c>
      <c r="D531" t="inlineStr">
        <is>
          <t>HALLANDS LÄN</t>
        </is>
      </c>
      <c r="E531" t="inlineStr">
        <is>
          <t>VARBERG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5771-2020</t>
        </is>
      </c>
      <c r="B532" s="1" t="n">
        <v>43864</v>
      </c>
      <c r="C532" s="1" t="n">
        <v>45757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6050-2020</t>
        </is>
      </c>
      <c r="B533" s="1" t="n">
        <v>43865</v>
      </c>
      <c r="C533" s="1" t="n">
        <v>45757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6980-2020</t>
        </is>
      </c>
      <c r="B534" s="1" t="n">
        <v>43868</v>
      </c>
      <c r="C534" s="1" t="n">
        <v>45757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7074-2020</t>
        </is>
      </c>
      <c r="B535" s="1" t="n">
        <v>43868</v>
      </c>
      <c r="C535" s="1" t="n">
        <v>45757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7207-2020</t>
        </is>
      </c>
      <c r="B536" s="1" t="n">
        <v>43871</v>
      </c>
      <c r="C536" s="1" t="n">
        <v>45757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7408-2020</t>
        </is>
      </c>
      <c r="B537" s="1" t="n">
        <v>43871</v>
      </c>
      <c r="C537" s="1" t="n">
        <v>45757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7593-2020</t>
        </is>
      </c>
      <c r="B538" s="1" t="n">
        <v>43872</v>
      </c>
      <c r="C538" s="1" t="n">
        <v>45757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7848-2020</t>
        </is>
      </c>
      <c r="B539" s="1" t="n">
        <v>43873</v>
      </c>
      <c r="C539" s="1" t="n">
        <v>45757</v>
      </c>
      <c r="D539" t="inlineStr">
        <is>
          <t>HALLANDS LÄN</t>
        </is>
      </c>
      <c r="E539" t="inlineStr">
        <is>
          <t>VARBERG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7755-2020</t>
        </is>
      </c>
      <c r="B540" s="1" t="n">
        <v>43873</v>
      </c>
      <c r="C540" s="1" t="n">
        <v>45757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7938-2020</t>
        </is>
      </c>
      <c r="B541" s="1" t="n">
        <v>43873</v>
      </c>
      <c r="C541" s="1" t="n">
        <v>45757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8337-2020</t>
        </is>
      </c>
      <c r="B542" s="1" t="n">
        <v>43875</v>
      </c>
      <c r="C542" s="1" t="n">
        <v>45757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8720-2020</t>
        </is>
      </c>
      <c r="B543" s="1" t="n">
        <v>43878</v>
      </c>
      <c r="C543" s="1" t="n">
        <v>45757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8855-2020</t>
        </is>
      </c>
      <c r="B544" s="1" t="n">
        <v>43878</v>
      </c>
      <c r="C544" s="1" t="n">
        <v>45757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8954-2020</t>
        </is>
      </c>
      <c r="B545" s="1" t="n">
        <v>43879</v>
      </c>
      <c r="C545" s="1" t="n">
        <v>45757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9221-2020</t>
        </is>
      </c>
      <c r="B546" s="1" t="n">
        <v>43879</v>
      </c>
      <c r="C546" s="1" t="n">
        <v>45757</v>
      </c>
      <c r="D546" t="inlineStr">
        <is>
          <t>HALLANDS LÄN</t>
        </is>
      </c>
      <c r="E546" t="inlineStr">
        <is>
          <t>HALMSTAD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9219-2020</t>
        </is>
      </c>
      <c r="B547" s="1" t="n">
        <v>43879</v>
      </c>
      <c r="C547" s="1" t="n">
        <v>45757</v>
      </c>
      <c r="D547" t="inlineStr">
        <is>
          <t>HALLANDS LÄN</t>
        </is>
      </c>
      <c r="E547" t="inlineStr">
        <is>
          <t>HALMSTAD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9243-2020</t>
        </is>
      </c>
      <c r="B548" s="1" t="n">
        <v>43879</v>
      </c>
      <c r="C548" s="1" t="n">
        <v>45757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9477-2020</t>
        </is>
      </c>
      <c r="B549" s="1" t="n">
        <v>43880</v>
      </c>
      <c r="C549" s="1" t="n">
        <v>45757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9417-2020</t>
        </is>
      </c>
      <c r="B550" s="1" t="n">
        <v>43880</v>
      </c>
      <c r="C550" s="1" t="n">
        <v>45757</v>
      </c>
      <c r="D550" t="inlineStr">
        <is>
          <t>HALLANDS LÄN</t>
        </is>
      </c>
      <c r="E550" t="inlineStr">
        <is>
          <t>HYLTE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9489-2020</t>
        </is>
      </c>
      <c r="B551" s="1" t="n">
        <v>43880</v>
      </c>
      <c r="C551" s="1" t="n">
        <v>45757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9452-2020</t>
        </is>
      </c>
      <c r="B552" s="1" t="n">
        <v>43880</v>
      </c>
      <c r="C552" s="1" t="n">
        <v>45757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9440-2020</t>
        </is>
      </c>
      <c r="B553" s="1" t="n">
        <v>43880</v>
      </c>
      <c r="C553" s="1" t="n">
        <v>45757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9459-2020</t>
        </is>
      </c>
      <c r="B554" s="1" t="n">
        <v>43880</v>
      </c>
      <c r="C554" s="1" t="n">
        <v>45757</v>
      </c>
      <c r="D554" t="inlineStr">
        <is>
          <t>HALLANDS LÄN</t>
        </is>
      </c>
      <c r="E554" t="inlineStr">
        <is>
          <t>HALMSTAD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9640-2020</t>
        </is>
      </c>
      <c r="B555" s="1" t="n">
        <v>43881</v>
      </c>
      <c r="C555" s="1" t="n">
        <v>45757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10026-2020</t>
        </is>
      </c>
      <c r="B556" s="1" t="n">
        <v>43882</v>
      </c>
      <c r="C556" s="1" t="n">
        <v>45757</v>
      </c>
      <c r="D556" t="inlineStr">
        <is>
          <t>HALLANDS LÄN</t>
        </is>
      </c>
      <c r="E556" t="inlineStr">
        <is>
          <t>LAHOLM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10195-2020</t>
        </is>
      </c>
      <c r="B557" s="1" t="n">
        <v>43885</v>
      </c>
      <c r="C557" s="1" t="n">
        <v>45757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10370-2020</t>
        </is>
      </c>
      <c r="B558" s="1" t="n">
        <v>43885</v>
      </c>
      <c r="C558" s="1" t="n">
        <v>45757</v>
      </c>
      <c r="D558" t="inlineStr">
        <is>
          <t>HALLANDS LÄN</t>
        </is>
      </c>
      <c r="E558" t="inlineStr">
        <is>
          <t>KUNGSBACKA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11349-2020</t>
        </is>
      </c>
      <c r="B559" s="1" t="n">
        <v>43886</v>
      </c>
      <c r="C559" s="1" t="n">
        <v>45757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10232-2020</t>
        </is>
      </c>
      <c r="B560" s="1" t="n">
        <v>43887</v>
      </c>
      <c r="C560" s="1" t="n">
        <v>45757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10592-2020</t>
        </is>
      </c>
      <c r="B561" s="1" t="n">
        <v>43887</v>
      </c>
      <c r="C561" s="1" t="n">
        <v>45757</v>
      </c>
      <c r="D561" t="inlineStr">
        <is>
          <t>HALLANDS LÄN</t>
        </is>
      </c>
      <c r="E561" t="inlineStr">
        <is>
          <t>VARBERG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10617-2020</t>
        </is>
      </c>
      <c r="B562" s="1" t="n">
        <v>43887</v>
      </c>
      <c r="C562" s="1" t="n">
        <v>45757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10611-2020</t>
        </is>
      </c>
      <c r="B563" s="1" t="n">
        <v>43887</v>
      </c>
      <c r="C563" s="1" t="n">
        <v>45757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11459-2020</t>
        </is>
      </c>
      <c r="B564" s="1" t="n">
        <v>43893</v>
      </c>
      <c r="C564" s="1" t="n">
        <v>45757</v>
      </c>
      <c r="D564" t="inlineStr">
        <is>
          <t>HALLANDS LÄN</t>
        </is>
      </c>
      <c r="E564" t="inlineStr">
        <is>
          <t>KUNGSBACKA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11734-2020</t>
        </is>
      </c>
      <c r="B565" s="1" t="n">
        <v>43894</v>
      </c>
      <c r="C565" s="1" t="n">
        <v>45757</v>
      </c>
      <c r="D565" t="inlineStr">
        <is>
          <t>HALLANDS LÄN</t>
        </is>
      </c>
      <c r="E565" t="inlineStr">
        <is>
          <t>VARBERG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11918-2020</t>
        </is>
      </c>
      <c r="B566" s="1" t="n">
        <v>43894</v>
      </c>
      <c r="C566" s="1" t="n">
        <v>45757</v>
      </c>
      <c r="D566" t="inlineStr">
        <is>
          <t>HALLANDS LÄN</t>
        </is>
      </c>
      <c r="E566" t="inlineStr">
        <is>
          <t>LAHOLM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12019-2020</t>
        </is>
      </c>
      <c r="B567" s="1" t="n">
        <v>43894</v>
      </c>
      <c r="C567" s="1" t="n">
        <v>45757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12017-2020</t>
        </is>
      </c>
      <c r="B568" s="1" t="n">
        <v>43894</v>
      </c>
      <c r="C568" s="1" t="n">
        <v>45757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12015-2020</t>
        </is>
      </c>
      <c r="B569" s="1" t="n">
        <v>43894</v>
      </c>
      <c r="C569" s="1" t="n">
        <v>45757</v>
      </c>
      <c r="D569" t="inlineStr">
        <is>
          <t>HALLANDS LÄN</t>
        </is>
      </c>
      <c r="E569" t="inlineStr">
        <is>
          <t>VARBERG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12071-2020</t>
        </is>
      </c>
      <c r="B570" s="1" t="n">
        <v>43895</v>
      </c>
      <c r="C570" s="1" t="n">
        <v>45757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12189-2020</t>
        </is>
      </c>
      <c r="B571" s="1" t="n">
        <v>43895</v>
      </c>
      <c r="C571" s="1" t="n">
        <v>45757</v>
      </c>
      <c r="D571" t="inlineStr">
        <is>
          <t>HALLANDS LÄN</t>
        </is>
      </c>
      <c r="E571" t="inlineStr">
        <is>
          <t>HALMSTAD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13646-2020</t>
        </is>
      </c>
      <c r="B572" s="1" t="n">
        <v>43895</v>
      </c>
      <c r="C572" s="1" t="n">
        <v>45757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12367-2020</t>
        </is>
      </c>
      <c r="B573" s="1" t="n">
        <v>43896</v>
      </c>
      <c r="C573" s="1" t="n">
        <v>45757</v>
      </c>
      <c r="D573" t="inlineStr">
        <is>
          <t>HALLANDS LÄN</t>
        </is>
      </c>
      <c r="E573" t="inlineStr">
        <is>
          <t>LAHOLM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12448-2020</t>
        </is>
      </c>
      <c r="B574" s="1" t="n">
        <v>43896</v>
      </c>
      <c r="C574" s="1" t="n">
        <v>45757</v>
      </c>
      <c r="D574" t="inlineStr">
        <is>
          <t>HALLANDS LÄN</t>
        </is>
      </c>
      <c r="E574" t="inlineStr">
        <is>
          <t>VARBERG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12947-2020</t>
        </is>
      </c>
      <c r="B575" s="1" t="n">
        <v>43900</v>
      </c>
      <c r="C575" s="1" t="n">
        <v>45757</v>
      </c>
      <c r="D575" t="inlineStr">
        <is>
          <t>HALLANDS LÄN</t>
        </is>
      </c>
      <c r="E575" t="inlineStr">
        <is>
          <t>VARBERG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13152-2020</t>
        </is>
      </c>
      <c r="B576" s="1" t="n">
        <v>43901</v>
      </c>
      <c r="C576" s="1" t="n">
        <v>45757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13114-2020</t>
        </is>
      </c>
      <c r="B577" s="1" t="n">
        <v>43901</v>
      </c>
      <c r="C577" s="1" t="n">
        <v>45757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13150-2020</t>
        </is>
      </c>
      <c r="B578" s="1" t="n">
        <v>43901</v>
      </c>
      <c r="C578" s="1" t="n">
        <v>45757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13405-2020</t>
        </is>
      </c>
      <c r="B579" s="1" t="n">
        <v>43902</v>
      </c>
      <c r="C579" s="1" t="n">
        <v>45757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13398-2020</t>
        </is>
      </c>
      <c r="B580" s="1" t="n">
        <v>43902</v>
      </c>
      <c r="C580" s="1" t="n">
        <v>45757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13341-2020</t>
        </is>
      </c>
      <c r="B581" s="1" t="n">
        <v>43902</v>
      </c>
      <c r="C581" s="1" t="n">
        <v>45757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13631-2020</t>
        </is>
      </c>
      <c r="B582" s="1" t="n">
        <v>43903</v>
      </c>
      <c r="C582" s="1" t="n">
        <v>45757</v>
      </c>
      <c r="D582" t="inlineStr">
        <is>
          <t>HALLANDS LÄN</t>
        </is>
      </c>
      <c r="E582" t="inlineStr">
        <is>
          <t>KUNGSBACKA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13642-2020</t>
        </is>
      </c>
      <c r="B583" s="1" t="n">
        <v>43903</v>
      </c>
      <c r="C583" s="1" t="n">
        <v>45757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13761-2020</t>
        </is>
      </c>
      <c r="B584" s="1" t="n">
        <v>43903</v>
      </c>
      <c r="C584" s="1" t="n">
        <v>45757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13842-2020</t>
        </is>
      </c>
      <c r="B585" s="1" t="n">
        <v>43906</v>
      </c>
      <c r="C585" s="1" t="n">
        <v>45757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14299-2020</t>
        </is>
      </c>
      <c r="B586" s="1" t="n">
        <v>43907</v>
      </c>
      <c r="C586" s="1" t="n">
        <v>45757</v>
      </c>
      <c r="D586" t="inlineStr">
        <is>
          <t>HALLANDS LÄN</t>
        </is>
      </c>
      <c r="E586" t="inlineStr">
        <is>
          <t>KUNGSBACKA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14296-2020</t>
        </is>
      </c>
      <c r="B587" s="1" t="n">
        <v>43907</v>
      </c>
      <c r="C587" s="1" t="n">
        <v>45757</v>
      </c>
      <c r="D587" t="inlineStr">
        <is>
          <t>HALLANDS LÄN</t>
        </is>
      </c>
      <c r="E587" t="inlineStr">
        <is>
          <t>KUNGSBACKA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14520-2020</t>
        </is>
      </c>
      <c r="B588" s="1" t="n">
        <v>43908</v>
      </c>
      <c r="C588" s="1" t="n">
        <v>45757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14550-2020</t>
        </is>
      </c>
      <c r="B589" s="1" t="n">
        <v>43908</v>
      </c>
      <c r="C589" s="1" t="n">
        <v>45757</v>
      </c>
      <c r="D589" t="inlineStr">
        <is>
          <t>HALLANDS LÄN</t>
        </is>
      </c>
      <c r="E589" t="inlineStr">
        <is>
          <t>FALKENBERG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14474-2020</t>
        </is>
      </c>
      <c r="B590" s="1" t="n">
        <v>43908</v>
      </c>
      <c r="C590" s="1" t="n">
        <v>45757</v>
      </c>
      <c r="D590" t="inlineStr">
        <is>
          <t>HALLANDS LÄN</t>
        </is>
      </c>
      <c r="E590" t="inlineStr">
        <is>
          <t>VARBERG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14523-2020</t>
        </is>
      </c>
      <c r="B591" s="1" t="n">
        <v>43908</v>
      </c>
      <c r="C591" s="1" t="n">
        <v>45757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16582-2020</t>
        </is>
      </c>
      <c r="B592" s="1" t="n">
        <v>43909</v>
      </c>
      <c r="C592" s="1" t="n">
        <v>45757</v>
      </c>
      <c r="D592" t="inlineStr">
        <is>
          <t>HALLANDS LÄN</t>
        </is>
      </c>
      <c r="E592" t="inlineStr">
        <is>
          <t>HALMSTAD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15160-2020</t>
        </is>
      </c>
      <c r="B593" s="1" t="n">
        <v>43912</v>
      </c>
      <c r="C593" s="1" t="n">
        <v>45757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15299-2020</t>
        </is>
      </c>
      <c r="B594" s="1" t="n">
        <v>43913</v>
      </c>
      <c r="C594" s="1" t="n">
        <v>45757</v>
      </c>
      <c r="D594" t="inlineStr">
        <is>
          <t>HALLANDS LÄN</t>
        </is>
      </c>
      <c r="E594" t="inlineStr">
        <is>
          <t>LAHOLM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15227-2020</t>
        </is>
      </c>
      <c r="B595" s="1" t="n">
        <v>43913</v>
      </c>
      <c r="C595" s="1" t="n">
        <v>45757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15418-2020</t>
        </is>
      </c>
      <c r="B596" s="1" t="n">
        <v>43914</v>
      </c>
      <c r="C596" s="1" t="n">
        <v>45757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15417-2020</t>
        </is>
      </c>
      <c r="B597" s="1" t="n">
        <v>43914</v>
      </c>
      <c r="C597" s="1" t="n">
        <v>45757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17557-2020</t>
        </is>
      </c>
      <c r="B598" s="1" t="n">
        <v>43914</v>
      </c>
      <c r="C598" s="1" t="n">
        <v>45757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15707-2020</t>
        </is>
      </c>
      <c r="B599" s="1" t="n">
        <v>43915</v>
      </c>
      <c r="C599" s="1" t="n">
        <v>45757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15902-2020</t>
        </is>
      </c>
      <c r="B600" s="1" t="n">
        <v>43916</v>
      </c>
      <c r="C600" s="1" t="n">
        <v>45757</v>
      </c>
      <c r="D600" t="inlineStr">
        <is>
          <t>HALLANDS LÄN</t>
        </is>
      </c>
      <c r="E600" t="inlineStr">
        <is>
          <t>FALKENBERG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16103-2020</t>
        </is>
      </c>
      <c r="B601" s="1" t="n">
        <v>43916</v>
      </c>
      <c r="C601" s="1" t="n">
        <v>45757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15905-2020</t>
        </is>
      </c>
      <c r="B602" s="1" t="n">
        <v>43916</v>
      </c>
      <c r="C602" s="1" t="n">
        <v>45757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17367-2020</t>
        </is>
      </c>
      <c r="B603" s="1" t="n">
        <v>43916</v>
      </c>
      <c r="C603" s="1" t="n">
        <v>45757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16029-2020</t>
        </is>
      </c>
      <c r="B604" s="1" t="n">
        <v>43916</v>
      </c>
      <c r="C604" s="1" t="n">
        <v>45757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17364-2020</t>
        </is>
      </c>
      <c r="B605" s="1" t="n">
        <v>43916</v>
      </c>
      <c r="C605" s="1" t="n">
        <v>45757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16250-2020</t>
        </is>
      </c>
      <c r="B606" s="1" t="n">
        <v>43917</v>
      </c>
      <c r="C606" s="1" t="n">
        <v>45757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17808-2020</t>
        </is>
      </c>
      <c r="B607" s="1" t="n">
        <v>43917</v>
      </c>
      <c r="C607" s="1" t="n">
        <v>45757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16405-2020</t>
        </is>
      </c>
      <c r="B608" s="1" t="n">
        <v>43918</v>
      </c>
      <c r="C608" s="1" t="n">
        <v>45757</v>
      </c>
      <c r="D608" t="inlineStr">
        <is>
          <t>HALLANDS LÄN</t>
        </is>
      </c>
      <c r="E608" t="inlineStr">
        <is>
          <t>LAHOLM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16406-2020</t>
        </is>
      </c>
      <c r="B609" s="1" t="n">
        <v>43918</v>
      </c>
      <c r="C609" s="1" t="n">
        <v>45757</v>
      </c>
      <c r="D609" t="inlineStr">
        <is>
          <t>HALLANDS LÄN</t>
        </is>
      </c>
      <c r="E609" t="inlineStr">
        <is>
          <t>LAHOLM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16612-2020</t>
        </is>
      </c>
      <c r="B610" s="1" t="n">
        <v>43920</v>
      </c>
      <c r="C610" s="1" t="n">
        <v>45757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16632-2020</t>
        </is>
      </c>
      <c r="B611" s="1" t="n">
        <v>43920</v>
      </c>
      <c r="C611" s="1" t="n">
        <v>45757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17819-2020</t>
        </is>
      </c>
      <c r="B612" s="1" t="n">
        <v>43920</v>
      </c>
      <c r="C612" s="1" t="n">
        <v>45757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16959-2020</t>
        </is>
      </c>
      <c r="B613" s="1" t="n">
        <v>43921</v>
      </c>
      <c r="C613" s="1" t="n">
        <v>45757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17057-2020</t>
        </is>
      </c>
      <c r="B614" s="1" t="n">
        <v>43921</v>
      </c>
      <c r="C614" s="1" t="n">
        <v>45757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16902-2020</t>
        </is>
      </c>
      <c r="B615" s="1" t="n">
        <v>43921</v>
      </c>
      <c r="C615" s="1" t="n">
        <v>45757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17323-2020</t>
        </is>
      </c>
      <c r="B616" s="1" t="n">
        <v>43922</v>
      </c>
      <c r="C616" s="1" t="n">
        <v>45757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17283-2020</t>
        </is>
      </c>
      <c r="B617" s="1" t="n">
        <v>43922</v>
      </c>
      <c r="C617" s="1" t="n">
        <v>45757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17280-2020</t>
        </is>
      </c>
      <c r="B618" s="1" t="n">
        <v>43922</v>
      </c>
      <c r="C618" s="1" t="n">
        <v>45757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17324-2020</t>
        </is>
      </c>
      <c r="B619" s="1" t="n">
        <v>43922</v>
      </c>
      <c r="C619" s="1" t="n">
        <v>45757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17258-2020</t>
        </is>
      </c>
      <c r="B620" s="1" t="n">
        <v>43922</v>
      </c>
      <c r="C620" s="1" t="n">
        <v>45757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17724-2020</t>
        </is>
      </c>
      <c r="B621" s="1" t="n">
        <v>43924</v>
      </c>
      <c r="C621" s="1" t="n">
        <v>45757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17725-2020</t>
        </is>
      </c>
      <c r="B622" s="1" t="n">
        <v>43924</v>
      </c>
      <c r="C622" s="1" t="n">
        <v>45757</v>
      </c>
      <c r="D622" t="inlineStr">
        <is>
          <t>HALLANDS LÄN</t>
        </is>
      </c>
      <c r="E622" t="inlineStr">
        <is>
          <t>HALMSTAD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18125-2020</t>
        </is>
      </c>
      <c r="B623" s="1" t="n">
        <v>43927</v>
      </c>
      <c r="C623" s="1" t="n">
        <v>45757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18100-2020</t>
        </is>
      </c>
      <c r="B624" s="1" t="n">
        <v>43927</v>
      </c>
      <c r="C624" s="1" t="n">
        <v>45757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18328-2020</t>
        </is>
      </c>
      <c r="B625" s="1" t="n">
        <v>43928</v>
      </c>
      <c r="C625" s="1" t="n">
        <v>45757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18321-2020</t>
        </is>
      </c>
      <c r="B626" s="1" t="n">
        <v>43928</v>
      </c>
      <c r="C626" s="1" t="n">
        <v>45757</v>
      </c>
      <c r="D626" t="inlineStr">
        <is>
          <t>HALLANDS LÄN</t>
        </is>
      </c>
      <c r="E626" t="inlineStr">
        <is>
          <t>KUNGSBACKA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18400-2020</t>
        </is>
      </c>
      <c r="B627" s="1" t="n">
        <v>43928</v>
      </c>
      <c r="C627" s="1" t="n">
        <v>45757</v>
      </c>
      <c r="D627" t="inlineStr">
        <is>
          <t>HALLANDS LÄN</t>
        </is>
      </c>
      <c r="E627" t="inlineStr">
        <is>
          <t>LAHOLM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18599-2020</t>
        </is>
      </c>
      <c r="B628" s="1" t="n">
        <v>43929</v>
      </c>
      <c r="C628" s="1" t="n">
        <v>45757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18454-2020</t>
        </is>
      </c>
      <c r="B629" s="1" t="n">
        <v>43929</v>
      </c>
      <c r="C629" s="1" t="n">
        <v>45757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18621-2020</t>
        </is>
      </c>
      <c r="B630" s="1" t="n">
        <v>43930</v>
      </c>
      <c r="C630" s="1" t="n">
        <v>45757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19060-2020</t>
        </is>
      </c>
      <c r="B631" s="1" t="n">
        <v>43936</v>
      </c>
      <c r="C631" s="1" t="n">
        <v>45757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19082-2020</t>
        </is>
      </c>
      <c r="B632" s="1" t="n">
        <v>43936</v>
      </c>
      <c r="C632" s="1" t="n">
        <v>45757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19237-2020</t>
        </is>
      </c>
      <c r="B633" s="1" t="n">
        <v>43937</v>
      </c>
      <c r="C633" s="1" t="n">
        <v>45757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19209-2020</t>
        </is>
      </c>
      <c r="B634" s="1" t="n">
        <v>43937</v>
      </c>
      <c r="C634" s="1" t="n">
        <v>45757</v>
      </c>
      <c r="D634" t="inlineStr">
        <is>
          <t>HALLANDS LÄN</t>
        </is>
      </c>
      <c r="E634" t="inlineStr">
        <is>
          <t>HALMSTAD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19235-2020</t>
        </is>
      </c>
      <c r="B635" s="1" t="n">
        <v>43937</v>
      </c>
      <c r="C635" s="1" t="n">
        <v>45757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19331-2020</t>
        </is>
      </c>
      <c r="B636" s="1" t="n">
        <v>43937</v>
      </c>
      <c r="C636" s="1" t="n">
        <v>45757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19879-2020</t>
        </is>
      </c>
      <c r="B637" s="1" t="n">
        <v>43941</v>
      </c>
      <c r="C637" s="1" t="n">
        <v>45757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19756-2020</t>
        </is>
      </c>
      <c r="B638" s="1" t="n">
        <v>43942</v>
      </c>
      <c r="C638" s="1" t="n">
        <v>45757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19737-2020</t>
        </is>
      </c>
      <c r="B639" s="1" t="n">
        <v>43942</v>
      </c>
      <c r="C639" s="1" t="n">
        <v>45757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19739-2020</t>
        </is>
      </c>
      <c r="B640" s="1" t="n">
        <v>43942</v>
      </c>
      <c r="C640" s="1" t="n">
        <v>45757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19762-2020</t>
        </is>
      </c>
      <c r="B641" s="1" t="n">
        <v>43942</v>
      </c>
      <c r="C641" s="1" t="n">
        <v>45757</v>
      </c>
      <c r="D641" t="inlineStr">
        <is>
          <t>HALLANDS LÄN</t>
        </is>
      </c>
      <c r="E641" t="inlineStr">
        <is>
          <t>FALKENBERG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20053-2020</t>
        </is>
      </c>
      <c r="B642" s="1" t="n">
        <v>43943</v>
      </c>
      <c r="C642" s="1" t="n">
        <v>45757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20049-2020</t>
        </is>
      </c>
      <c r="B643" s="1" t="n">
        <v>43943</v>
      </c>
      <c r="C643" s="1" t="n">
        <v>45757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20188-2020</t>
        </is>
      </c>
      <c r="B644" s="1" t="n">
        <v>43944</v>
      </c>
      <c r="C644" s="1" t="n">
        <v>45757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20186-2020</t>
        </is>
      </c>
      <c r="B645" s="1" t="n">
        <v>43944</v>
      </c>
      <c r="C645" s="1" t="n">
        <v>45757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20180-2020</t>
        </is>
      </c>
      <c r="B646" s="1" t="n">
        <v>43944</v>
      </c>
      <c r="C646" s="1" t="n">
        <v>45757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20183-2020</t>
        </is>
      </c>
      <c r="B647" s="1" t="n">
        <v>43944</v>
      </c>
      <c r="C647" s="1" t="n">
        <v>45757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20208-2020</t>
        </is>
      </c>
      <c r="B648" s="1" t="n">
        <v>43944</v>
      </c>
      <c r="C648" s="1" t="n">
        <v>45757</v>
      </c>
      <c r="D648" t="inlineStr">
        <is>
          <t>HALLANDS LÄN</t>
        </is>
      </c>
      <c r="E648" t="inlineStr">
        <is>
          <t>HALMSTAD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20297-2020</t>
        </is>
      </c>
      <c r="B649" s="1" t="n">
        <v>43944</v>
      </c>
      <c r="C649" s="1" t="n">
        <v>45757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20281-2020</t>
        </is>
      </c>
      <c r="B650" s="1" t="n">
        <v>43945</v>
      </c>
      <c r="C650" s="1" t="n">
        <v>45757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20457-2020</t>
        </is>
      </c>
      <c r="B651" s="1" t="n">
        <v>43948</v>
      </c>
      <c r="C651" s="1" t="n">
        <v>45757</v>
      </c>
      <c r="D651" t="inlineStr">
        <is>
          <t>HALLANDS LÄN</t>
        </is>
      </c>
      <c r="E651" t="inlineStr">
        <is>
          <t>HALMSTAD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20589-2020</t>
        </is>
      </c>
      <c r="B652" s="1" t="n">
        <v>43948</v>
      </c>
      <c r="C652" s="1" t="n">
        <v>45757</v>
      </c>
      <c r="D652" t="inlineStr">
        <is>
          <t>HALLANDS LÄN</t>
        </is>
      </c>
      <c r="E652" t="inlineStr">
        <is>
          <t>VARBERG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20588-2020</t>
        </is>
      </c>
      <c r="B653" s="1" t="n">
        <v>43948</v>
      </c>
      <c r="C653" s="1" t="n">
        <v>45757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20717-2020</t>
        </is>
      </c>
      <c r="B654" s="1" t="n">
        <v>43949</v>
      </c>
      <c r="C654" s="1" t="n">
        <v>45757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20637-2020</t>
        </is>
      </c>
      <c r="B655" s="1" t="n">
        <v>43949</v>
      </c>
      <c r="C655" s="1" t="n">
        <v>45757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20777-2020</t>
        </is>
      </c>
      <c r="B656" s="1" t="n">
        <v>43949</v>
      </c>
      <c r="C656" s="1" t="n">
        <v>45757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20828-2020</t>
        </is>
      </c>
      <c r="B657" s="1" t="n">
        <v>43949</v>
      </c>
      <c r="C657" s="1" t="n">
        <v>45757</v>
      </c>
      <c r="D657" t="inlineStr">
        <is>
          <t>HALLANDS LÄN</t>
        </is>
      </c>
      <c r="E657" t="inlineStr">
        <is>
          <t>HALMSTAD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20896-2020</t>
        </is>
      </c>
      <c r="B658" s="1" t="n">
        <v>43950</v>
      </c>
      <c r="C658" s="1" t="n">
        <v>45757</v>
      </c>
      <c r="D658" t="inlineStr">
        <is>
          <t>HALLANDS LÄN</t>
        </is>
      </c>
      <c r="E658" t="inlineStr">
        <is>
          <t>HALMSTAD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21365-2020</t>
        </is>
      </c>
      <c r="B659" s="1" t="n">
        <v>43950</v>
      </c>
      <c r="C659" s="1" t="n">
        <v>45757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21190-2020</t>
        </is>
      </c>
      <c r="B660" s="1" t="n">
        <v>43951</v>
      </c>
      <c r="C660" s="1" t="n">
        <v>45757</v>
      </c>
      <c r="D660" t="inlineStr">
        <is>
          <t>HALLANDS LÄN</t>
        </is>
      </c>
      <c r="E660" t="inlineStr">
        <is>
          <t>LAHOLM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21831-2020</t>
        </is>
      </c>
      <c r="B661" s="1" t="n">
        <v>43955</v>
      </c>
      <c r="C661" s="1" t="n">
        <v>45757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21813-2020</t>
        </is>
      </c>
      <c r="B662" s="1" t="n">
        <v>43955</v>
      </c>
      <c r="C662" s="1" t="n">
        <v>45757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21441-2020</t>
        </is>
      </c>
      <c r="B663" s="1" t="n">
        <v>43956</v>
      </c>
      <c r="C663" s="1" t="n">
        <v>45757</v>
      </c>
      <c r="D663" t="inlineStr">
        <is>
          <t>HALLANDS LÄN</t>
        </is>
      </c>
      <c r="E663" t="inlineStr">
        <is>
          <t>LAHOLM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21668-2020</t>
        </is>
      </c>
      <c r="B664" s="1" t="n">
        <v>43957</v>
      </c>
      <c r="C664" s="1" t="n">
        <v>45757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21665-2020</t>
        </is>
      </c>
      <c r="B665" s="1" t="n">
        <v>43957</v>
      </c>
      <c r="C665" s="1" t="n">
        <v>45757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21678-2020</t>
        </is>
      </c>
      <c r="B666" s="1" t="n">
        <v>43957</v>
      </c>
      <c r="C666" s="1" t="n">
        <v>45757</v>
      </c>
      <c r="D666" t="inlineStr">
        <is>
          <t>HALLANDS LÄN</t>
        </is>
      </c>
      <c r="E666" t="inlineStr">
        <is>
          <t>KUNGSBACKA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22073-2020</t>
        </is>
      </c>
      <c r="B667" s="1" t="n">
        <v>43959</v>
      </c>
      <c r="C667" s="1" t="n">
        <v>45757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22014-2020</t>
        </is>
      </c>
      <c r="B668" s="1" t="n">
        <v>43959</v>
      </c>
      <c r="C668" s="1" t="n">
        <v>45757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22813-2020</t>
        </is>
      </c>
      <c r="B669" s="1" t="n">
        <v>43963</v>
      </c>
      <c r="C669" s="1" t="n">
        <v>45757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22639-2020</t>
        </is>
      </c>
      <c r="B670" s="1" t="n">
        <v>43963</v>
      </c>
      <c r="C670" s="1" t="n">
        <v>45757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22801-2020</t>
        </is>
      </c>
      <c r="B671" s="1" t="n">
        <v>43964</v>
      </c>
      <c r="C671" s="1" t="n">
        <v>45757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22764-2020</t>
        </is>
      </c>
      <c r="B672" s="1" t="n">
        <v>43964</v>
      </c>
      <c r="C672" s="1" t="n">
        <v>45757</v>
      </c>
      <c r="D672" t="inlineStr">
        <is>
          <t>HALLANDS LÄN</t>
        </is>
      </c>
      <c r="E672" t="inlineStr">
        <is>
          <t>VARBERG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23003-2020</t>
        </is>
      </c>
      <c r="B673" s="1" t="n">
        <v>43965</v>
      </c>
      <c r="C673" s="1" t="n">
        <v>45757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23091-2020</t>
        </is>
      </c>
      <c r="B674" s="1" t="n">
        <v>43965</v>
      </c>
      <c r="C674" s="1" t="n">
        <v>45757</v>
      </c>
      <c r="D674" t="inlineStr">
        <is>
          <t>HALLANDS LÄN</t>
        </is>
      </c>
      <c r="E674" t="inlineStr">
        <is>
          <t>LAHOLM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23017-2020</t>
        </is>
      </c>
      <c r="B675" s="1" t="n">
        <v>43965</v>
      </c>
      <c r="C675" s="1" t="n">
        <v>45757</v>
      </c>
      <c r="D675" t="inlineStr">
        <is>
          <t>HALLANDS LÄN</t>
        </is>
      </c>
      <c r="E675" t="inlineStr">
        <is>
          <t>LAHOLM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23189-2020</t>
        </is>
      </c>
      <c r="B676" s="1" t="n">
        <v>43966</v>
      </c>
      <c r="C676" s="1" t="n">
        <v>45757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23226-2020</t>
        </is>
      </c>
      <c r="B677" s="1" t="n">
        <v>43966</v>
      </c>
      <c r="C677" s="1" t="n">
        <v>45757</v>
      </c>
      <c r="D677" t="inlineStr">
        <is>
          <t>HALLANDS LÄN</t>
        </is>
      </c>
      <c r="E677" t="inlineStr">
        <is>
          <t>KUNGSBACKA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23488-2020</t>
        </is>
      </c>
      <c r="B678" s="1" t="n">
        <v>43969</v>
      </c>
      <c r="C678" s="1" t="n">
        <v>45757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23846-2020</t>
        </is>
      </c>
      <c r="B679" s="1" t="n">
        <v>43971</v>
      </c>
      <c r="C679" s="1" t="n">
        <v>45757</v>
      </c>
      <c r="D679" t="inlineStr">
        <is>
          <t>HALLANDS LÄN</t>
        </is>
      </c>
      <c r="E679" t="inlineStr">
        <is>
          <t>LAHOLM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23852-2020</t>
        </is>
      </c>
      <c r="B680" s="1" t="n">
        <v>43971</v>
      </c>
      <c r="C680" s="1" t="n">
        <v>45757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24545-2020</t>
        </is>
      </c>
      <c r="B681" s="1" t="n">
        <v>43977</v>
      </c>
      <c r="C681" s="1" t="n">
        <v>45757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24544-2020</t>
        </is>
      </c>
      <c r="B682" s="1" t="n">
        <v>43977</v>
      </c>
      <c r="C682" s="1" t="n">
        <v>45757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24631-2020</t>
        </is>
      </c>
      <c r="B683" s="1" t="n">
        <v>43977</v>
      </c>
      <c r="C683" s="1" t="n">
        <v>45757</v>
      </c>
      <c r="D683" t="inlineStr">
        <is>
          <t>HALLANDS LÄN</t>
        </is>
      </c>
      <c r="E683" t="inlineStr">
        <is>
          <t>KUNGSBACKA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24634-2020</t>
        </is>
      </c>
      <c r="B684" s="1" t="n">
        <v>43977</v>
      </c>
      <c r="C684" s="1" t="n">
        <v>45757</v>
      </c>
      <c r="D684" t="inlineStr">
        <is>
          <t>HALLANDS LÄN</t>
        </is>
      </c>
      <c r="E684" t="inlineStr">
        <is>
          <t>KUNGSBACKA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24745-2020</t>
        </is>
      </c>
      <c r="B685" s="1" t="n">
        <v>43978</v>
      </c>
      <c r="C685" s="1" t="n">
        <v>45757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24848-2020</t>
        </is>
      </c>
      <c r="B686" s="1" t="n">
        <v>43978</v>
      </c>
      <c r="C686" s="1" t="n">
        <v>45757</v>
      </c>
      <c r="D686" t="inlineStr">
        <is>
          <t>HALLANDS LÄN</t>
        </is>
      </c>
      <c r="E686" t="inlineStr">
        <is>
          <t>HALMSTAD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25077-2020</t>
        </is>
      </c>
      <c r="B687" s="1" t="n">
        <v>43978</v>
      </c>
      <c r="C687" s="1" t="n">
        <v>45757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24686-2020</t>
        </is>
      </c>
      <c r="B688" s="1" t="n">
        <v>43978</v>
      </c>
      <c r="C688" s="1" t="n">
        <v>45757</v>
      </c>
      <c r="D688" t="inlineStr">
        <is>
          <t>HALLANDS LÄN</t>
        </is>
      </c>
      <c r="E688" t="inlineStr">
        <is>
          <t>HALMSTAD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24717-2020</t>
        </is>
      </c>
      <c r="B689" s="1" t="n">
        <v>43978</v>
      </c>
      <c r="C689" s="1" t="n">
        <v>45757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25083-2020</t>
        </is>
      </c>
      <c r="B690" s="1" t="n">
        <v>43979</v>
      </c>
      <c r="C690" s="1" t="n">
        <v>45757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25371-2020</t>
        </is>
      </c>
      <c r="B691" s="1" t="n">
        <v>43980</v>
      </c>
      <c r="C691" s="1" t="n">
        <v>45757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25278-2020</t>
        </is>
      </c>
      <c r="B692" s="1" t="n">
        <v>43980</v>
      </c>
      <c r="C692" s="1" t="n">
        <v>45757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25636-2020</t>
        </is>
      </c>
      <c r="B693" s="1" t="n">
        <v>43983</v>
      </c>
      <c r="C693" s="1" t="n">
        <v>45757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25626-2020</t>
        </is>
      </c>
      <c r="B694" s="1" t="n">
        <v>43983</v>
      </c>
      <c r="C694" s="1" t="n">
        <v>45757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25637-2020</t>
        </is>
      </c>
      <c r="B695" s="1" t="n">
        <v>43983</v>
      </c>
      <c r="C695" s="1" t="n">
        <v>45757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25638-2020</t>
        </is>
      </c>
      <c r="B696" s="1" t="n">
        <v>43983</v>
      </c>
      <c r="C696" s="1" t="n">
        <v>45757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25960-2020</t>
        </is>
      </c>
      <c r="B697" s="1" t="n">
        <v>43985</v>
      </c>
      <c r="C697" s="1" t="n">
        <v>45757</v>
      </c>
      <c r="D697" t="inlineStr">
        <is>
          <t>HALLANDS LÄN</t>
        </is>
      </c>
      <c r="E697" t="inlineStr">
        <is>
          <t>KUNGSBACKA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26042-2020</t>
        </is>
      </c>
      <c r="B698" s="1" t="n">
        <v>43985</v>
      </c>
      <c r="C698" s="1" t="n">
        <v>45757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26231-2020</t>
        </is>
      </c>
      <c r="B699" s="1" t="n">
        <v>43986</v>
      </c>
      <c r="C699" s="1" t="n">
        <v>45757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26294-2020</t>
        </is>
      </c>
      <c r="B700" s="1" t="n">
        <v>43986</v>
      </c>
      <c r="C700" s="1" t="n">
        <v>45757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26692-2020</t>
        </is>
      </c>
      <c r="B701" s="1" t="n">
        <v>43990</v>
      </c>
      <c r="C701" s="1" t="n">
        <v>45757</v>
      </c>
      <c r="D701" t="inlineStr">
        <is>
          <t>HALLANDS LÄN</t>
        </is>
      </c>
      <c r="E701" t="inlineStr">
        <is>
          <t>VARBERG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26960-2020</t>
        </is>
      </c>
      <c r="B702" s="1" t="n">
        <v>43990</v>
      </c>
      <c r="C702" s="1" t="n">
        <v>45757</v>
      </c>
      <c r="D702" t="inlineStr">
        <is>
          <t>HALLANDS LÄN</t>
        </is>
      </c>
      <c r="E702" t="inlineStr">
        <is>
          <t>LAHOLM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27024-2020</t>
        </is>
      </c>
      <c r="B703" s="1" t="n">
        <v>43991</v>
      </c>
      <c r="C703" s="1" t="n">
        <v>45757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27021-2020</t>
        </is>
      </c>
      <c r="B704" s="1" t="n">
        <v>43991</v>
      </c>
      <c r="C704" s="1" t="n">
        <v>45757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27386-2020</t>
        </is>
      </c>
      <c r="B705" s="1" t="n">
        <v>43992</v>
      </c>
      <c r="C705" s="1" t="n">
        <v>45757</v>
      </c>
      <c r="D705" t="inlineStr">
        <is>
          <t>HALLANDS LÄN</t>
        </is>
      </c>
      <c r="E705" t="inlineStr">
        <is>
          <t>VARBERG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27795-2020</t>
        </is>
      </c>
      <c r="B706" s="1" t="n">
        <v>43994</v>
      </c>
      <c r="C706" s="1" t="n">
        <v>45757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28111-2020</t>
        </is>
      </c>
      <c r="B707" s="1" t="n">
        <v>43994</v>
      </c>
      <c r="C707" s="1" t="n">
        <v>45757</v>
      </c>
      <c r="D707" t="inlineStr">
        <is>
          <t>HALLANDS LÄN</t>
        </is>
      </c>
      <c r="E707" t="inlineStr">
        <is>
          <t>KUNGSBACKA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28651-2020</t>
        </is>
      </c>
      <c r="B708" s="1" t="n">
        <v>43999</v>
      </c>
      <c r="C708" s="1" t="n">
        <v>45757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28657-2020</t>
        </is>
      </c>
      <c r="B709" s="1" t="n">
        <v>43999</v>
      </c>
      <c r="C709" s="1" t="n">
        <v>45757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28639-2020</t>
        </is>
      </c>
      <c r="B710" s="1" t="n">
        <v>43999</v>
      </c>
      <c r="C710" s="1" t="n">
        <v>45757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28847-2020</t>
        </is>
      </c>
      <c r="B711" s="1" t="n">
        <v>44000</v>
      </c>
      <c r="C711" s="1" t="n">
        <v>45757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28841-2020</t>
        </is>
      </c>
      <c r="B712" s="1" t="n">
        <v>44000</v>
      </c>
      <c r="C712" s="1" t="n">
        <v>45757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28822-2020</t>
        </is>
      </c>
      <c r="B713" s="1" t="n">
        <v>44000</v>
      </c>
      <c r="C713" s="1" t="n">
        <v>45757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29265-2020</t>
        </is>
      </c>
      <c r="B714" s="1" t="n">
        <v>44004</v>
      </c>
      <c r="C714" s="1" t="n">
        <v>45757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29535-2020</t>
        </is>
      </c>
      <c r="B715" s="1" t="n">
        <v>44005</v>
      </c>
      <c r="C715" s="1" t="n">
        <v>45757</v>
      </c>
      <c r="D715" t="inlineStr">
        <is>
          <t>HALLANDS LÄN</t>
        </is>
      </c>
      <c r="E715" t="inlineStr">
        <is>
          <t>HALMSTAD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29553-2020</t>
        </is>
      </c>
      <c r="B716" s="1" t="n">
        <v>44005</v>
      </c>
      <c r="C716" s="1" t="n">
        <v>45757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29619-2020</t>
        </is>
      </c>
      <c r="B717" s="1" t="n">
        <v>44005</v>
      </c>
      <c r="C717" s="1" t="n">
        <v>45757</v>
      </c>
      <c r="D717" t="inlineStr">
        <is>
          <t>HALLANDS LÄN</t>
        </is>
      </c>
      <c r="E717" t="inlineStr">
        <is>
          <t>LAHOLM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29629-2020</t>
        </is>
      </c>
      <c r="B718" s="1" t="n">
        <v>44005</v>
      </c>
      <c r="C718" s="1" t="n">
        <v>45757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30440-2020</t>
        </is>
      </c>
      <c r="B719" s="1" t="n">
        <v>44007</v>
      </c>
      <c r="C719" s="1" t="n">
        <v>45757</v>
      </c>
      <c r="D719" t="inlineStr">
        <is>
          <t>HALLANDS LÄN</t>
        </is>
      </c>
      <c r="E719" t="inlineStr">
        <is>
          <t>LAHOLM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30416-2020</t>
        </is>
      </c>
      <c r="B720" s="1" t="n">
        <v>44007</v>
      </c>
      <c r="C720" s="1" t="n">
        <v>45757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30539-2020</t>
        </is>
      </c>
      <c r="B721" s="1" t="n">
        <v>44008</v>
      </c>
      <c r="C721" s="1" t="n">
        <v>45757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30536-2020</t>
        </is>
      </c>
      <c r="B722" s="1" t="n">
        <v>44008</v>
      </c>
      <c r="C722" s="1" t="n">
        <v>45757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30693-2020</t>
        </is>
      </c>
      <c r="B723" s="1" t="n">
        <v>44008</v>
      </c>
      <c r="C723" s="1" t="n">
        <v>45757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31104-2020</t>
        </is>
      </c>
      <c r="B724" s="1" t="n">
        <v>44012</v>
      </c>
      <c r="C724" s="1" t="n">
        <v>45757</v>
      </c>
      <c r="D724" t="inlineStr">
        <is>
          <t>HALLANDS LÄN</t>
        </is>
      </c>
      <c r="E724" t="inlineStr">
        <is>
          <t>KUNGSBACKA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31304-2020</t>
        </is>
      </c>
      <c r="B725" s="1" t="n">
        <v>44012</v>
      </c>
      <c r="C725" s="1" t="n">
        <v>45757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31306-2020</t>
        </is>
      </c>
      <c r="B726" s="1" t="n">
        <v>44012</v>
      </c>
      <c r="C726" s="1" t="n">
        <v>45757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31672-2020</t>
        </is>
      </c>
      <c r="B727" s="1" t="n">
        <v>44014</v>
      </c>
      <c r="C727" s="1" t="n">
        <v>45757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32092-2020</t>
        </is>
      </c>
      <c r="B728" s="1" t="n">
        <v>44015</v>
      </c>
      <c r="C728" s="1" t="n">
        <v>45757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32083-2020</t>
        </is>
      </c>
      <c r="B729" s="1" t="n">
        <v>44015</v>
      </c>
      <c r="C729" s="1" t="n">
        <v>45757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32086-2020</t>
        </is>
      </c>
      <c r="B730" s="1" t="n">
        <v>44015</v>
      </c>
      <c r="C730" s="1" t="n">
        <v>45757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32557-2020</t>
        </is>
      </c>
      <c r="B731" s="1" t="n">
        <v>44018</v>
      </c>
      <c r="C731" s="1" t="n">
        <v>45757</v>
      </c>
      <c r="D731" t="inlineStr">
        <is>
          <t>HALLANDS LÄN</t>
        </is>
      </c>
      <c r="E731" t="inlineStr">
        <is>
          <t>VARBERG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32446-2020</t>
        </is>
      </c>
      <c r="B732" s="1" t="n">
        <v>44018</v>
      </c>
      <c r="C732" s="1" t="n">
        <v>45757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32491-2020</t>
        </is>
      </c>
      <c r="B733" s="1" t="n">
        <v>44018</v>
      </c>
      <c r="C733" s="1" t="n">
        <v>45757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32946-2020</t>
        </is>
      </c>
      <c r="B734" s="1" t="n">
        <v>44019</v>
      </c>
      <c r="C734" s="1" t="n">
        <v>45757</v>
      </c>
      <c r="D734" t="inlineStr">
        <is>
          <t>HALLANDS LÄN</t>
        </is>
      </c>
      <c r="E734" t="inlineStr">
        <is>
          <t>HYLTE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32898-2020</t>
        </is>
      </c>
      <c r="B735" s="1" t="n">
        <v>44020</v>
      </c>
      <c r="C735" s="1" t="n">
        <v>45757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32893-2020</t>
        </is>
      </c>
      <c r="B736" s="1" t="n">
        <v>44020</v>
      </c>
      <c r="C736" s="1" t="n">
        <v>45757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32802-2020</t>
        </is>
      </c>
      <c r="B737" s="1" t="n">
        <v>44020</v>
      </c>
      <c r="C737" s="1" t="n">
        <v>45757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33077-2020</t>
        </is>
      </c>
      <c r="B738" s="1" t="n">
        <v>44021</v>
      </c>
      <c r="C738" s="1" t="n">
        <v>45757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33527-2020</t>
        </is>
      </c>
      <c r="B739" s="1" t="n">
        <v>44021</v>
      </c>
      <c r="C739" s="1" t="n">
        <v>45757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33266-2020</t>
        </is>
      </c>
      <c r="B740" s="1" t="n">
        <v>44022</v>
      </c>
      <c r="C740" s="1" t="n">
        <v>45757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33238-2020</t>
        </is>
      </c>
      <c r="B741" s="1" t="n">
        <v>44022</v>
      </c>
      <c r="C741" s="1" t="n">
        <v>45757</v>
      </c>
      <c r="D741" t="inlineStr">
        <is>
          <t>HALLANDS LÄN</t>
        </is>
      </c>
      <c r="E741" t="inlineStr">
        <is>
          <t>LAHOLM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33308-2020</t>
        </is>
      </c>
      <c r="B742" s="1" t="n">
        <v>44022</v>
      </c>
      <c r="C742" s="1" t="n">
        <v>45757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33403-2020</t>
        </is>
      </c>
      <c r="B743" s="1" t="n">
        <v>44022</v>
      </c>
      <c r="C743" s="1" t="n">
        <v>45757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33241-2020</t>
        </is>
      </c>
      <c r="B744" s="1" t="n">
        <v>44022</v>
      </c>
      <c r="C744" s="1" t="n">
        <v>45757</v>
      </c>
      <c r="D744" t="inlineStr">
        <is>
          <t>HALLANDS LÄN</t>
        </is>
      </c>
      <c r="E744" t="inlineStr">
        <is>
          <t>LAHOLM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33242-2020</t>
        </is>
      </c>
      <c r="B745" s="1" t="n">
        <v>44022</v>
      </c>
      <c r="C745" s="1" t="n">
        <v>45757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33599-2020</t>
        </is>
      </c>
      <c r="B746" s="1" t="n">
        <v>44025</v>
      </c>
      <c r="C746" s="1" t="n">
        <v>45757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33528-2020</t>
        </is>
      </c>
      <c r="B747" s="1" t="n">
        <v>44025</v>
      </c>
      <c r="C747" s="1" t="n">
        <v>45757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33529-2020</t>
        </is>
      </c>
      <c r="B748" s="1" t="n">
        <v>44025</v>
      </c>
      <c r="C748" s="1" t="n">
        <v>45757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33772-2020</t>
        </is>
      </c>
      <c r="B749" s="1" t="n">
        <v>44026</v>
      </c>
      <c r="C749" s="1" t="n">
        <v>45757</v>
      </c>
      <c r="D749" t="inlineStr">
        <is>
          <t>HALLANDS LÄN</t>
        </is>
      </c>
      <c r="E749" t="inlineStr">
        <is>
          <t>FALKENBERG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33971-2020</t>
        </is>
      </c>
      <c r="B750" s="1" t="n">
        <v>44028</v>
      </c>
      <c r="C750" s="1" t="n">
        <v>45757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34879-2020</t>
        </is>
      </c>
      <c r="B751" s="1" t="n">
        <v>44036</v>
      </c>
      <c r="C751" s="1" t="n">
        <v>45757</v>
      </c>
      <c r="D751" t="inlineStr">
        <is>
          <t>HALLANDS LÄN</t>
        </is>
      </c>
      <c r="E751" t="inlineStr">
        <is>
          <t>HYLTE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34936-2020</t>
        </is>
      </c>
      <c r="B752" s="1" t="n">
        <v>44037</v>
      </c>
      <c r="C752" s="1" t="n">
        <v>45757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34964-2020</t>
        </is>
      </c>
      <c r="B753" s="1" t="n">
        <v>44039</v>
      </c>
      <c r="C753" s="1" t="n">
        <v>45757</v>
      </c>
      <c r="D753" t="inlineStr">
        <is>
          <t>HALLANDS LÄN</t>
        </is>
      </c>
      <c r="E753" t="inlineStr">
        <is>
          <t>KUNGSBACKA</t>
        </is>
      </c>
      <c r="F753" t="inlineStr">
        <is>
          <t>Sveaskog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35040-2020</t>
        </is>
      </c>
      <c r="B754" s="1" t="n">
        <v>44039</v>
      </c>
      <c r="C754" s="1" t="n">
        <v>45757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35145-2020</t>
        </is>
      </c>
      <c r="B755" s="1" t="n">
        <v>44040</v>
      </c>
      <c r="C755" s="1" t="n">
        <v>45757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35275-2020</t>
        </is>
      </c>
      <c r="B756" s="1" t="n">
        <v>44041</v>
      </c>
      <c r="C756" s="1" t="n">
        <v>45757</v>
      </c>
      <c r="D756" t="inlineStr">
        <is>
          <t>HALLANDS LÄN</t>
        </is>
      </c>
      <c r="E756" t="inlineStr">
        <is>
          <t>KUNGSBACKA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35325-2020</t>
        </is>
      </c>
      <c r="B757" s="1" t="n">
        <v>44041</v>
      </c>
      <c r="C757" s="1" t="n">
        <v>45757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35321-2020</t>
        </is>
      </c>
      <c r="B758" s="1" t="n">
        <v>44041</v>
      </c>
      <c r="C758" s="1" t="n">
        <v>45757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35530-2020</t>
        </is>
      </c>
      <c r="B759" s="1" t="n">
        <v>44043</v>
      </c>
      <c r="C759" s="1" t="n">
        <v>45757</v>
      </c>
      <c r="D759" t="inlineStr">
        <is>
          <t>HALLANDS LÄN</t>
        </is>
      </c>
      <c r="E759" t="inlineStr">
        <is>
          <t>HYLTE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35667-2020</t>
        </is>
      </c>
      <c r="B760" s="1" t="n">
        <v>44046</v>
      </c>
      <c r="C760" s="1" t="n">
        <v>45757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35653-2020</t>
        </is>
      </c>
      <c r="B761" s="1" t="n">
        <v>44046</v>
      </c>
      <c r="C761" s="1" t="n">
        <v>45757</v>
      </c>
      <c r="D761" t="inlineStr">
        <is>
          <t>HALLANDS LÄN</t>
        </is>
      </c>
      <c r="E761" t="inlineStr">
        <is>
          <t>FALKENBERG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35685-2020</t>
        </is>
      </c>
      <c r="B762" s="1" t="n">
        <v>44046</v>
      </c>
      <c r="C762" s="1" t="n">
        <v>45757</v>
      </c>
      <c r="D762" t="inlineStr">
        <is>
          <t>HALLANDS LÄN</t>
        </is>
      </c>
      <c r="E762" t="inlineStr">
        <is>
          <t>HYLTE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35956-2020</t>
        </is>
      </c>
      <c r="B763" s="1" t="n">
        <v>44047</v>
      </c>
      <c r="C763" s="1" t="n">
        <v>45757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36129-2020</t>
        </is>
      </c>
      <c r="B764" s="1" t="n">
        <v>44048</v>
      </c>
      <c r="C764" s="1" t="n">
        <v>45757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36483-2020</t>
        </is>
      </c>
      <c r="B765" s="1" t="n">
        <v>44050</v>
      </c>
      <c r="C765" s="1" t="n">
        <v>45757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37477-2020</t>
        </is>
      </c>
      <c r="B766" s="1" t="n">
        <v>44055</v>
      </c>
      <c r="C766" s="1" t="n">
        <v>45757</v>
      </c>
      <c r="D766" t="inlineStr">
        <is>
          <t>HALLANDS LÄN</t>
        </is>
      </c>
      <c r="E766" t="inlineStr">
        <is>
          <t>HYLTE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37539-2020</t>
        </is>
      </c>
      <c r="B767" s="1" t="n">
        <v>44056</v>
      </c>
      <c r="C767" s="1" t="n">
        <v>45757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37607-2020</t>
        </is>
      </c>
      <c r="B768" s="1" t="n">
        <v>44056</v>
      </c>
      <c r="C768" s="1" t="n">
        <v>45757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37792-2020</t>
        </is>
      </c>
      <c r="B769" s="1" t="n">
        <v>44057</v>
      </c>
      <c r="C769" s="1" t="n">
        <v>45757</v>
      </c>
      <c r="D769" t="inlineStr">
        <is>
          <t>HALLANDS LÄN</t>
        </is>
      </c>
      <c r="E769" t="inlineStr">
        <is>
          <t>HALMSTAD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38378-2020</t>
        </is>
      </c>
      <c r="B770" s="1" t="n">
        <v>44060</v>
      </c>
      <c r="C770" s="1" t="n">
        <v>45757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38906-2020</t>
        </is>
      </c>
      <c r="B771" s="1" t="n">
        <v>44062</v>
      </c>
      <c r="C771" s="1" t="n">
        <v>45757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39247-2020</t>
        </is>
      </c>
      <c r="B772" s="1" t="n">
        <v>44063</v>
      </c>
      <c r="C772" s="1" t="n">
        <v>45757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39232-2020</t>
        </is>
      </c>
      <c r="B773" s="1" t="n">
        <v>44063</v>
      </c>
      <c r="C773" s="1" t="n">
        <v>45757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39483-2020</t>
        </is>
      </c>
      <c r="B774" s="1" t="n">
        <v>44064</v>
      </c>
      <c r="C774" s="1" t="n">
        <v>45757</v>
      </c>
      <c r="D774" t="inlineStr">
        <is>
          <t>HALLANDS LÄN</t>
        </is>
      </c>
      <c r="E774" t="inlineStr">
        <is>
          <t>HALMSTAD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42246-2020</t>
        </is>
      </c>
      <c r="B775" s="1" t="n">
        <v>44067</v>
      </c>
      <c r="C775" s="1" t="n">
        <v>45757</v>
      </c>
      <c r="D775" t="inlineStr">
        <is>
          <t>HALLANDS LÄN</t>
        </is>
      </c>
      <c r="E775" t="inlineStr">
        <is>
          <t>VARBERG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40270-2020</t>
        </is>
      </c>
      <c r="B776" s="1" t="n">
        <v>44068</v>
      </c>
      <c r="C776" s="1" t="n">
        <v>45757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40488-2020</t>
        </is>
      </c>
      <c r="B777" s="1" t="n">
        <v>44069</v>
      </c>
      <c r="C777" s="1" t="n">
        <v>45757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40862-2020</t>
        </is>
      </c>
      <c r="B778" s="1" t="n">
        <v>44070</v>
      </c>
      <c r="C778" s="1" t="n">
        <v>45757</v>
      </c>
      <c r="D778" t="inlineStr">
        <is>
          <t>HALLANDS LÄN</t>
        </is>
      </c>
      <c r="E778" t="inlineStr">
        <is>
          <t>FALKENBERG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41041-2020</t>
        </is>
      </c>
      <c r="B779" s="1" t="n">
        <v>44070</v>
      </c>
      <c r="C779" s="1" t="n">
        <v>45757</v>
      </c>
      <c r="D779" t="inlineStr">
        <is>
          <t>HALLANDS LÄN</t>
        </is>
      </c>
      <c r="E779" t="inlineStr">
        <is>
          <t>FALKENBERG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41045-2020</t>
        </is>
      </c>
      <c r="B780" s="1" t="n">
        <v>44071</v>
      </c>
      <c r="C780" s="1" t="n">
        <v>45757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42015-2020</t>
        </is>
      </c>
      <c r="B781" s="1" t="n">
        <v>44075</v>
      </c>
      <c r="C781" s="1" t="n">
        <v>45757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42122-2020</t>
        </is>
      </c>
      <c r="B782" s="1" t="n">
        <v>44075</v>
      </c>
      <c r="C782" s="1" t="n">
        <v>45757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42339-2020</t>
        </is>
      </c>
      <c r="B783" s="1" t="n">
        <v>44076</v>
      </c>
      <c r="C783" s="1" t="n">
        <v>45757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42600-2020</t>
        </is>
      </c>
      <c r="B784" s="1" t="n">
        <v>44077</v>
      </c>
      <c r="C784" s="1" t="n">
        <v>45757</v>
      </c>
      <c r="D784" t="inlineStr">
        <is>
          <t>HALLANDS LÄN</t>
        </is>
      </c>
      <c r="E784" t="inlineStr">
        <is>
          <t>FALKENBERG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44023-2020</t>
        </is>
      </c>
      <c r="B785" s="1" t="n">
        <v>44083</v>
      </c>
      <c r="C785" s="1" t="n">
        <v>45757</v>
      </c>
      <c r="D785" t="inlineStr">
        <is>
          <t>HALLANDS LÄN</t>
        </is>
      </c>
      <c r="E785" t="inlineStr">
        <is>
          <t>FALKENBERG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44402-2020</t>
        </is>
      </c>
      <c r="B786" s="1" t="n">
        <v>44084</v>
      </c>
      <c r="C786" s="1" t="n">
        <v>45757</v>
      </c>
      <c r="D786" t="inlineStr">
        <is>
          <t>HALLANDS LÄN</t>
        </is>
      </c>
      <c r="E786" t="inlineStr">
        <is>
          <t>HALMSTAD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44760-2020</t>
        </is>
      </c>
      <c r="B787" s="1" t="n">
        <v>44085</v>
      </c>
      <c r="C787" s="1" t="n">
        <v>45757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45019-2020</t>
        </is>
      </c>
      <c r="B788" s="1" t="n">
        <v>44088</v>
      </c>
      <c r="C788" s="1" t="n">
        <v>45757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46693-2020</t>
        </is>
      </c>
      <c r="B789" s="1" t="n">
        <v>44089</v>
      </c>
      <c r="C789" s="1" t="n">
        <v>45757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46032-2020</t>
        </is>
      </c>
      <c r="B790" s="1" t="n">
        <v>44091</v>
      </c>
      <c r="C790" s="1" t="n">
        <v>45757</v>
      </c>
      <c r="D790" t="inlineStr">
        <is>
          <t>HALLANDS LÄN</t>
        </is>
      </c>
      <c r="E790" t="inlineStr">
        <is>
          <t>FALKENBERG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46011-2020</t>
        </is>
      </c>
      <c r="B791" s="1" t="n">
        <v>44091</v>
      </c>
      <c r="C791" s="1" t="n">
        <v>45757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46074-2020</t>
        </is>
      </c>
      <c r="B792" s="1" t="n">
        <v>44091</v>
      </c>
      <c r="C792" s="1" t="n">
        <v>45757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46056-2020</t>
        </is>
      </c>
      <c r="B793" s="1" t="n">
        <v>44091</v>
      </c>
      <c r="C793" s="1" t="n">
        <v>45757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46148-2020</t>
        </is>
      </c>
      <c r="B794" s="1" t="n">
        <v>44092</v>
      </c>
      <c r="C794" s="1" t="n">
        <v>45757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46610-2020</t>
        </is>
      </c>
      <c r="B795" s="1" t="n">
        <v>44095</v>
      </c>
      <c r="C795" s="1" t="n">
        <v>45757</v>
      </c>
      <c r="D795" t="inlineStr">
        <is>
          <t>HALLANDS LÄN</t>
        </is>
      </c>
      <c r="E795" t="inlineStr">
        <is>
          <t>HYLTE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46466-2020</t>
        </is>
      </c>
      <c r="B796" s="1" t="n">
        <v>44095</v>
      </c>
      <c r="C796" s="1" t="n">
        <v>45757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47336-2020</t>
        </is>
      </c>
      <c r="B797" s="1" t="n">
        <v>44095</v>
      </c>
      <c r="C797" s="1" t="n">
        <v>45757</v>
      </c>
      <c r="D797" t="inlineStr">
        <is>
          <t>HALLANDS LÄN</t>
        </is>
      </c>
      <c r="E797" t="inlineStr">
        <is>
          <t>HYLTE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47025-2020</t>
        </is>
      </c>
      <c r="B798" s="1" t="n">
        <v>44096</v>
      </c>
      <c r="C798" s="1" t="n">
        <v>45757</v>
      </c>
      <c r="D798" t="inlineStr">
        <is>
          <t>HALLANDS LÄN</t>
        </is>
      </c>
      <c r="E798" t="inlineStr">
        <is>
          <t>FALKENBERG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47492-2020</t>
        </is>
      </c>
      <c r="B799" s="1" t="n">
        <v>44098</v>
      </c>
      <c r="C799" s="1" t="n">
        <v>45757</v>
      </c>
      <c r="D799" t="inlineStr">
        <is>
          <t>HALLANDS LÄN</t>
        </is>
      </c>
      <c r="E799" t="inlineStr">
        <is>
          <t>HALMSTAD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47691-2020</t>
        </is>
      </c>
      <c r="B800" s="1" t="n">
        <v>44098</v>
      </c>
      <c r="C800" s="1" t="n">
        <v>45757</v>
      </c>
      <c r="D800" t="inlineStr">
        <is>
          <t>HALLANDS LÄN</t>
        </is>
      </c>
      <c r="E800" t="inlineStr">
        <is>
          <t>FALKENBERG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47741-2020</t>
        </is>
      </c>
      <c r="B801" s="1" t="n">
        <v>44098</v>
      </c>
      <c r="C801" s="1" t="n">
        <v>45757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48047-2020</t>
        </is>
      </c>
      <c r="B802" s="1" t="n">
        <v>44099</v>
      </c>
      <c r="C802" s="1" t="n">
        <v>45757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48216-2020</t>
        </is>
      </c>
      <c r="B803" s="1" t="n">
        <v>44102</v>
      </c>
      <c r="C803" s="1" t="n">
        <v>45757</v>
      </c>
      <c r="D803" t="inlineStr">
        <is>
          <t>HALLANDS LÄN</t>
        </is>
      </c>
      <c r="E803" t="inlineStr">
        <is>
          <t>LAHOLM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48120-2020</t>
        </is>
      </c>
      <c r="B804" s="1" t="n">
        <v>44102</v>
      </c>
      <c r="C804" s="1" t="n">
        <v>45757</v>
      </c>
      <c r="D804" t="inlineStr">
        <is>
          <t>HALLANDS LÄN</t>
        </is>
      </c>
      <c r="E804" t="inlineStr">
        <is>
          <t>VARBERG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48657-2020</t>
        </is>
      </c>
      <c r="B805" s="1" t="n">
        <v>44103</v>
      </c>
      <c r="C805" s="1" t="n">
        <v>45757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48694-2020</t>
        </is>
      </c>
      <c r="B806" s="1" t="n">
        <v>44103</v>
      </c>
      <c r="C806" s="1" t="n">
        <v>45757</v>
      </c>
      <c r="D806" t="inlineStr">
        <is>
          <t>HALLANDS LÄN</t>
        </is>
      </c>
      <c r="E806" t="inlineStr">
        <is>
          <t>VARBERG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49850-2020</t>
        </is>
      </c>
      <c r="B807" s="1" t="n">
        <v>44107</v>
      </c>
      <c r="C807" s="1" t="n">
        <v>45757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49851-2020</t>
        </is>
      </c>
      <c r="B808" s="1" t="n">
        <v>44107</v>
      </c>
      <c r="C808" s="1" t="n">
        <v>45757</v>
      </c>
      <c r="D808" t="inlineStr">
        <is>
          <t>HALLANDS LÄN</t>
        </is>
      </c>
      <c r="E808" t="inlineStr">
        <is>
          <t>HYLTE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50242-2020</t>
        </is>
      </c>
      <c r="B809" s="1" t="n">
        <v>44109</v>
      </c>
      <c r="C809" s="1" t="n">
        <v>45757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51651-2020</t>
        </is>
      </c>
      <c r="B810" s="1" t="n">
        <v>44109</v>
      </c>
      <c r="C810" s="1" t="n">
        <v>45757</v>
      </c>
      <c r="D810" t="inlineStr">
        <is>
          <t>HALLANDS LÄN</t>
        </is>
      </c>
      <c r="E810" t="inlineStr">
        <is>
          <t>FALKENBERG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51656-2020</t>
        </is>
      </c>
      <c r="B811" s="1" t="n">
        <v>44109</v>
      </c>
      <c r="C811" s="1" t="n">
        <v>45757</v>
      </c>
      <c r="D811" t="inlineStr">
        <is>
          <t>HALLANDS LÄN</t>
        </is>
      </c>
      <c r="E811" t="inlineStr">
        <is>
          <t>FALKENBERG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51645-2020</t>
        </is>
      </c>
      <c r="B812" s="1" t="n">
        <v>44109</v>
      </c>
      <c r="C812" s="1" t="n">
        <v>45757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50246-2020</t>
        </is>
      </c>
      <c r="B813" s="1" t="n">
        <v>44109</v>
      </c>
      <c r="C813" s="1" t="n">
        <v>45757</v>
      </c>
      <c r="D813" t="inlineStr">
        <is>
          <t>HALLANDS LÄN</t>
        </is>
      </c>
      <c r="E813" t="inlineStr">
        <is>
          <t>VARBERG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51155-2020</t>
        </is>
      </c>
      <c r="B814" s="1" t="n">
        <v>44112</v>
      </c>
      <c r="C814" s="1" t="n">
        <v>45757</v>
      </c>
      <c r="D814" t="inlineStr">
        <is>
          <t>HALLANDS LÄN</t>
        </is>
      </c>
      <c r="E814" t="inlineStr">
        <is>
          <t>KUNGSBACKA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51198-2020</t>
        </is>
      </c>
      <c r="B815" s="1" t="n">
        <v>44112</v>
      </c>
      <c r="C815" s="1" t="n">
        <v>45757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52369-2020</t>
        </is>
      </c>
      <c r="B816" s="1" t="n">
        <v>44112</v>
      </c>
      <c r="C816" s="1" t="n">
        <v>45757</v>
      </c>
      <c r="D816" t="inlineStr">
        <is>
          <t>HALLANDS LÄN</t>
        </is>
      </c>
      <c r="E816" t="inlineStr">
        <is>
          <t>KUNGSBACKA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51553-2020</t>
        </is>
      </c>
      <c r="B817" s="1" t="n">
        <v>44113</v>
      </c>
      <c r="C817" s="1" t="n">
        <v>45757</v>
      </c>
      <c r="D817" t="inlineStr">
        <is>
          <t>HALLANDS LÄN</t>
        </is>
      </c>
      <c r="E817" t="inlineStr">
        <is>
          <t>VARBERG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51417-2020</t>
        </is>
      </c>
      <c r="B818" s="1" t="n">
        <v>44113</v>
      </c>
      <c r="C818" s="1" t="n">
        <v>45757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51603-2020</t>
        </is>
      </c>
      <c r="B819" s="1" t="n">
        <v>44113</v>
      </c>
      <c r="C819" s="1" t="n">
        <v>45757</v>
      </c>
      <c r="D819" t="inlineStr">
        <is>
          <t>HALLANDS LÄN</t>
        </is>
      </c>
      <c r="E819" t="inlineStr">
        <is>
          <t>FALKENBERG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51566-2020</t>
        </is>
      </c>
      <c r="B820" s="1" t="n">
        <v>44113</v>
      </c>
      <c r="C820" s="1" t="n">
        <v>45757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52322-2020</t>
        </is>
      </c>
      <c r="B821" s="1" t="n">
        <v>44117</v>
      </c>
      <c r="C821" s="1" t="n">
        <v>45757</v>
      </c>
      <c r="D821" t="inlineStr">
        <is>
          <t>HALLANDS LÄN</t>
        </is>
      </c>
      <c r="E821" t="inlineStr">
        <is>
          <t>FALKENBERG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52982-2020</t>
        </is>
      </c>
      <c r="B822" s="1" t="n">
        <v>44119</v>
      </c>
      <c r="C822" s="1" t="n">
        <v>45757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52988-2020</t>
        </is>
      </c>
      <c r="B823" s="1" t="n">
        <v>44119</v>
      </c>
      <c r="C823" s="1" t="n">
        <v>45757</v>
      </c>
      <c r="D823" t="inlineStr">
        <is>
          <t>HALLANDS LÄN</t>
        </is>
      </c>
      <c r="E823" t="inlineStr">
        <is>
          <t>LAHOLM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52978-2020</t>
        </is>
      </c>
      <c r="B824" s="1" t="n">
        <v>44119</v>
      </c>
      <c r="C824" s="1" t="n">
        <v>45757</v>
      </c>
      <c r="D824" t="inlineStr">
        <is>
          <t>HALLANDS LÄN</t>
        </is>
      </c>
      <c r="E824" t="inlineStr">
        <is>
          <t>HALMSTAD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53012-2020</t>
        </is>
      </c>
      <c r="B825" s="1" t="n">
        <v>44120</v>
      </c>
      <c r="C825" s="1" t="n">
        <v>45757</v>
      </c>
      <c r="D825" t="inlineStr">
        <is>
          <t>HALLANDS LÄN</t>
        </is>
      </c>
      <c r="E825" t="inlineStr">
        <is>
          <t>HALMSTAD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53210-2020</t>
        </is>
      </c>
      <c r="B826" s="1" t="n">
        <v>44122</v>
      </c>
      <c r="C826" s="1" t="n">
        <v>45757</v>
      </c>
      <c r="D826" t="inlineStr">
        <is>
          <t>HALLANDS LÄN</t>
        </is>
      </c>
      <c r="E826" t="inlineStr">
        <is>
          <t>HYLTE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53208-2020</t>
        </is>
      </c>
      <c r="B827" s="1" t="n">
        <v>44122</v>
      </c>
      <c r="C827" s="1" t="n">
        <v>45757</v>
      </c>
      <c r="D827" t="inlineStr">
        <is>
          <t>HALLANDS LÄN</t>
        </is>
      </c>
      <c r="E827" t="inlineStr">
        <is>
          <t>HYLTE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53366-2020</t>
        </is>
      </c>
      <c r="B828" s="1" t="n">
        <v>44123</v>
      </c>
      <c r="C828" s="1" t="n">
        <v>45757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53371-2020</t>
        </is>
      </c>
      <c r="B829" s="1" t="n">
        <v>44123</v>
      </c>
      <c r="C829" s="1" t="n">
        <v>45757</v>
      </c>
      <c r="D829" t="inlineStr">
        <is>
          <t>HALLANDS LÄN</t>
        </is>
      </c>
      <c r="E829" t="inlineStr">
        <is>
          <t>HYLTE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53217-2020</t>
        </is>
      </c>
      <c r="B830" s="1" t="n">
        <v>44123</v>
      </c>
      <c r="C830" s="1" t="n">
        <v>45757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53372-2020</t>
        </is>
      </c>
      <c r="B831" s="1" t="n">
        <v>44123</v>
      </c>
      <c r="C831" s="1" t="n">
        <v>45757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53513-2020</t>
        </is>
      </c>
      <c r="B832" s="1" t="n">
        <v>44124</v>
      </c>
      <c r="C832" s="1" t="n">
        <v>45757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53631-2020</t>
        </is>
      </c>
      <c r="B833" s="1" t="n">
        <v>44124</v>
      </c>
      <c r="C833" s="1" t="n">
        <v>45757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54259-2020</t>
        </is>
      </c>
      <c r="B834" s="1" t="n">
        <v>44124</v>
      </c>
      <c r="C834" s="1" t="n">
        <v>45757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54442-2020</t>
        </is>
      </c>
      <c r="B835" s="1" t="n">
        <v>44126</v>
      </c>
      <c r="C835" s="1" t="n">
        <v>45757</v>
      </c>
      <c r="D835" t="inlineStr">
        <is>
          <t>HALLANDS LÄN</t>
        </is>
      </c>
      <c r="E835" t="inlineStr">
        <is>
          <t>FALKENBERG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54558-2020</t>
        </is>
      </c>
      <c r="B836" s="1" t="n">
        <v>44126</v>
      </c>
      <c r="C836" s="1" t="n">
        <v>45757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54654-2020</t>
        </is>
      </c>
      <c r="B837" s="1" t="n">
        <v>44127</v>
      </c>
      <c r="C837" s="1" t="n">
        <v>45757</v>
      </c>
      <c r="D837" t="inlineStr">
        <is>
          <t>HALLANDS LÄN</t>
        </is>
      </c>
      <c r="E837" t="inlineStr">
        <is>
          <t>LAHOLM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54649-2020</t>
        </is>
      </c>
      <c r="B838" s="1" t="n">
        <v>44127</v>
      </c>
      <c r="C838" s="1" t="n">
        <v>45757</v>
      </c>
      <c r="D838" t="inlineStr">
        <is>
          <t>HALLANDS LÄN</t>
        </is>
      </c>
      <c r="E838" t="inlineStr">
        <is>
          <t>LAHOLM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55049-2020</t>
        </is>
      </c>
      <c r="B839" s="1" t="n">
        <v>44130</v>
      </c>
      <c r="C839" s="1" t="n">
        <v>45757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55734-2020</t>
        </is>
      </c>
      <c r="B840" s="1" t="n">
        <v>44132</v>
      </c>
      <c r="C840" s="1" t="n">
        <v>45757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55798-2020</t>
        </is>
      </c>
      <c r="B841" s="1" t="n">
        <v>44132</v>
      </c>
      <c r="C841" s="1" t="n">
        <v>45757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55738-2020</t>
        </is>
      </c>
      <c r="B842" s="1" t="n">
        <v>44132</v>
      </c>
      <c r="C842" s="1" t="n">
        <v>45757</v>
      </c>
      <c r="D842" t="inlineStr">
        <is>
          <t>HALLANDS LÄN</t>
        </is>
      </c>
      <c r="E842" t="inlineStr">
        <is>
          <t>HYLTE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55796-2020</t>
        </is>
      </c>
      <c r="B843" s="1" t="n">
        <v>44132</v>
      </c>
      <c r="C843" s="1" t="n">
        <v>45757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55980-2020</t>
        </is>
      </c>
      <c r="B844" s="1" t="n">
        <v>44133</v>
      </c>
      <c r="C844" s="1" t="n">
        <v>45757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56152-2020</t>
        </is>
      </c>
      <c r="B845" s="1" t="n">
        <v>44133</v>
      </c>
      <c r="C845" s="1" t="n">
        <v>45757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55978-2020</t>
        </is>
      </c>
      <c r="B846" s="1" t="n">
        <v>44133</v>
      </c>
      <c r="C846" s="1" t="n">
        <v>45757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56876-2020</t>
        </is>
      </c>
      <c r="B847" s="1" t="n">
        <v>44134</v>
      </c>
      <c r="C847" s="1" t="n">
        <v>45757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56629-2020</t>
        </is>
      </c>
      <c r="B848" s="1" t="n">
        <v>44137</v>
      </c>
      <c r="C848" s="1" t="n">
        <v>45757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56665-2020</t>
        </is>
      </c>
      <c r="B849" s="1" t="n">
        <v>44137</v>
      </c>
      <c r="C849" s="1" t="n">
        <v>45757</v>
      </c>
      <c r="D849" t="inlineStr">
        <is>
          <t>HALLANDS LÄN</t>
        </is>
      </c>
      <c r="E849" t="inlineStr">
        <is>
          <t>FALKENBERG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56981-2020</t>
        </is>
      </c>
      <c r="B850" s="1" t="n">
        <v>44138</v>
      </c>
      <c r="C850" s="1" t="n">
        <v>45757</v>
      </c>
      <c r="D850" t="inlineStr">
        <is>
          <t>HALLANDS LÄN</t>
        </is>
      </c>
      <c r="E850" t="inlineStr">
        <is>
          <t>VARBERG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56959-2020</t>
        </is>
      </c>
      <c r="B851" s="1" t="n">
        <v>44138</v>
      </c>
      <c r="C851" s="1" t="n">
        <v>45757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57615-2020</t>
        </is>
      </c>
      <c r="B852" s="1" t="n">
        <v>44140</v>
      </c>
      <c r="C852" s="1" t="n">
        <v>45757</v>
      </c>
      <c r="D852" t="inlineStr">
        <is>
          <t>HALLANDS LÄN</t>
        </is>
      </c>
      <c r="E852" t="inlineStr">
        <is>
          <t>VARBERG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57627-2020</t>
        </is>
      </c>
      <c r="B853" s="1" t="n">
        <v>44140</v>
      </c>
      <c r="C853" s="1" t="n">
        <v>45757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57426-2020</t>
        </is>
      </c>
      <c r="B854" s="1" t="n">
        <v>44140</v>
      </c>
      <c r="C854" s="1" t="n">
        <v>45757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57608-2020</t>
        </is>
      </c>
      <c r="B855" s="1" t="n">
        <v>44140</v>
      </c>
      <c r="C855" s="1" t="n">
        <v>45757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58081-2020</t>
        </is>
      </c>
      <c r="B856" s="1" t="n">
        <v>44140</v>
      </c>
      <c r="C856" s="1" t="n">
        <v>45757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45757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57849-2020</t>
        </is>
      </c>
      <c r="B858" s="1" t="n">
        <v>44141</v>
      </c>
      <c r="C858" s="1" t="n">
        <v>45757</v>
      </c>
      <c r="D858" t="inlineStr">
        <is>
          <t>HALLANDS LÄN</t>
        </is>
      </c>
      <c r="E858" t="inlineStr">
        <is>
          <t>HALMSTAD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58306-2020</t>
        </is>
      </c>
      <c r="B859" s="1" t="n">
        <v>44141</v>
      </c>
      <c r="C859" s="1" t="n">
        <v>45757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57743-2020</t>
        </is>
      </c>
      <c r="B860" s="1" t="n">
        <v>44141</v>
      </c>
      <c r="C860" s="1" t="n">
        <v>45757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58170-2020</t>
        </is>
      </c>
      <c r="B861" s="1" t="n">
        <v>44144</v>
      </c>
      <c r="C861" s="1" t="n">
        <v>45757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58165-2020</t>
        </is>
      </c>
      <c r="B862" s="1" t="n">
        <v>44144</v>
      </c>
      <c r="C862" s="1" t="n">
        <v>45757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58184-2020</t>
        </is>
      </c>
      <c r="B863" s="1" t="n">
        <v>44144</v>
      </c>
      <c r="C863" s="1" t="n">
        <v>45757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58227-2020</t>
        </is>
      </c>
      <c r="B864" s="1" t="n">
        <v>44144</v>
      </c>
      <c r="C864" s="1" t="n">
        <v>45757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58581-2020</t>
        </is>
      </c>
      <c r="B865" s="1" t="n">
        <v>44145</v>
      </c>
      <c r="C865" s="1" t="n">
        <v>45757</v>
      </c>
      <c r="D865" t="inlineStr">
        <is>
          <t>HALLANDS LÄN</t>
        </is>
      </c>
      <c r="E865" t="inlineStr">
        <is>
          <t>VARBERG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58373-2020</t>
        </is>
      </c>
      <c r="B866" s="1" t="n">
        <v>44145</v>
      </c>
      <c r="C866" s="1" t="n">
        <v>45757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58389-2020</t>
        </is>
      </c>
      <c r="B867" s="1" t="n">
        <v>44145</v>
      </c>
      <c r="C867" s="1" t="n">
        <v>45757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58655-2020</t>
        </is>
      </c>
      <c r="B868" s="1" t="n">
        <v>44145</v>
      </c>
      <c r="C868" s="1" t="n">
        <v>45757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58748-2020</t>
        </is>
      </c>
      <c r="B869" s="1" t="n">
        <v>44146</v>
      </c>
      <c r="C869" s="1" t="n">
        <v>45757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58757-2020</t>
        </is>
      </c>
      <c r="B870" s="1" t="n">
        <v>44146</v>
      </c>
      <c r="C870" s="1" t="n">
        <v>45757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45757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45757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45757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45757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45757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45757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45757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45757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45757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45757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45757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45757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45757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45757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45757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45757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45757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45757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45757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45757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45757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45757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45757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45757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45757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45757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45757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45757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45757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45757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45757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45757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45757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45757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45757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45757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45757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45757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45757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45757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45757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45757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45757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45757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45757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45757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45757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45757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45757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45757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45757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45757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45757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45757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45757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45757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45757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45757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45757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45757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45757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45757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45757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45757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45757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45757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45757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45757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45757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45757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45757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45757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45757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45757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45757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45757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45757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45757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45757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45757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45757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45757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45757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45757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45757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45757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45757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45757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45757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45757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45757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45757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45757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45757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45757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45757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45757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45757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45757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45757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45757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45757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45757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45757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45757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45757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45757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45757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45757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45757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45757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45757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45757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45757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45757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45757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45757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45757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45757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45757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45757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45757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45757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45757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45757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45757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45757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45757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45757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45757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45757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45757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45757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45757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45757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45757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45757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45757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45757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45757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45757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45757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45757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45757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45757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45757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45757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45757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45757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45757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45757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45757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45757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45757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45757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45757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45757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45757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45757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45757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45757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45757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45757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45757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45757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45757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45757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45757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45757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45757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45757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45757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45757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45757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45757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45757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45757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45757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45757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45757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45757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45757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45757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45757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45757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45757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45757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45757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45757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45757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45757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45757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45757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45757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45757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45757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45757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45757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45757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45757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45757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45757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45757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45757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45757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45757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45757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45757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45757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45757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45757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45757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45757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45757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45757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45757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45757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45757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45757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45757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45757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45757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45757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45757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45757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45757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45757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45757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45757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45757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45757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45757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45757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45757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45757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45757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45757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45757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45757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45757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45757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45757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45757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45757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45757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45757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45757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45757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45757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45757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45757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45757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45757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45757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45757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45757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45757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45757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45757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45757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45757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45757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45757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45757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45757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45757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45757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45757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45757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45757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45757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45757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45757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45757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45757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45757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45757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45757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45757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45757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45757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45757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45757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45757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45757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45757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45757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45757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45757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45757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45757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45757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45757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45757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45757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45757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45757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45757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45757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45757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45757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45757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45757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45757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45757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45757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45757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45757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45757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45757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45757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45757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45757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45757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45757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45757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45757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45757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45757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45757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45757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45757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45757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45757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45757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45757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45757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45757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45757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45757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45757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45757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45757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45757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45757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45757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45757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45757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45757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45757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45757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45757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45757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45757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45757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45757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45757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45757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45757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45757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45757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45757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45757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45757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45757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45757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45757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45757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45757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45757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45757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45757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45757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45757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45757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45757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45757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45757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45757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45757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45757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45757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45757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45757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45757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45757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45757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45757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45757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45757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45757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45757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45757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45757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45757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45757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45757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45757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45757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45757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45757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45757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45757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45757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45757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45757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45757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45757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45757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45757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45757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45757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45757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45757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45757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45757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45757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45757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45757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45757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45757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45757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45757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45757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45757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45757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45757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45757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45757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45757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45757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45757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45757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45757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45757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45757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45757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45757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45757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45757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45757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45757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45757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45757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45757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45757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45757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45757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45757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45757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45757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45757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45757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45757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45757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45757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45757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45757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45757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45757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45757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45757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45757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45757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45757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45757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45757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45757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45757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45757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45757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45757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45757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45757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45757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45757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45757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45757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45757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45757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45757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45757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45757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45757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45757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45757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45757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45757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45757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45757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45757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45757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45757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45757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45757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45757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45757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45757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45757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45757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45757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45757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45757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45757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45757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45757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45757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45757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45757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45757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45757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45757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45757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45757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45757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45757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45757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45757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45757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45757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45757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45757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45757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45757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45757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45757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45757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45757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45757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45757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45757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45757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45757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45757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45757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45757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45757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45757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45757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45757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45757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45757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45757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45757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45757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45757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45757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45757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45757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45757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45757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45757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45757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45757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45757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45757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45757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45757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45757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45757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45757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45757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45757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45757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45757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45757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45757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45757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45757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45757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45757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45757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45757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45757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45757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45757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45757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45757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45757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45757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45757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45757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45757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45757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45757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45757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45757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45757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45757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45757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45757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45757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45757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45757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45757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45757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45757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45757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45757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45757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45757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45757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45757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45757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45757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45757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45757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45757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45757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45757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45757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45757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45757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45757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45757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45757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45757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45757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45757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45757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45757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45757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45757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45757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45757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45757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45757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45757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45757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45757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45757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45757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45757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45757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45757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45757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45757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45757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45757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45757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45757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45757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45757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45757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45757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45757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45757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45757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45757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45757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45757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45757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45757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45757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45757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45757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45757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45757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45757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45757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45757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45757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45757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45757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45757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45757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45757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45757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45757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45757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45757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45757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45757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45757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45757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45757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45757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45757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45757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45757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45757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45757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45757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45757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45757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45757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45757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45757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45757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45757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45757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45757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45757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45757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45757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45757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45757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45757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45757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45757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45757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45757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45757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45757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45757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45757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45757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45757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45757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45757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45757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45757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45757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45757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45757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45757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45757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45757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45757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45757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45757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45757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45757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45757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45757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45757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45757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45757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45757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45757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45757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45757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45757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45757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45757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45757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45757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45757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45757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45757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45757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45757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45757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45757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45757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45757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45757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45757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45757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45757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45757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45757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45757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45757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45757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45757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45757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45757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45757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45757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45757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45757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45757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45757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45757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45757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45757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45757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45757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45757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45757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45757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45757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45757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45757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45757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45757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45757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45757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45757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45757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45757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45757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45757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45757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45757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45757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45757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45757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45757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45757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45757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45757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45757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45757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45757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45757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45757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45757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45757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45757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45757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45757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45757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45757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45757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45757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45757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45757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45757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45757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45757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45757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45757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45757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45757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45757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45757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45757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45757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45757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45757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45757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45757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45757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45757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45757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45757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45757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45757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45757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45757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45757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45757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45757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45757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45757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45757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45757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45757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45757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45757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45757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45757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45757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45757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45757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45757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45757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45757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45757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45757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45757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45757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45757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45757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45757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45757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45757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45757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45757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45757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45757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45757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45757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45757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45757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45757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45757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45757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45757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45757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45757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45757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45757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45757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45757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45757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45757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45757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45757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45757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45757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45757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45757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45757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45757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45757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45757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45757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45757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45757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45757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45757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45757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45757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45757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45757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45757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45757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45757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45757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45757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45757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45757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45757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45757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45757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45757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45757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45757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45757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45757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45757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45757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45757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45757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45757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45757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45757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45757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45757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45757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45757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45757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45757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45757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45757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45757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45757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45757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45757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45757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45757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45757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45757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45757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45757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45757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45757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45757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45757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45757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45757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45757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45757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45757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45757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45757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45757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45757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45757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45757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45757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45757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45757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45757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45757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45757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45757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45757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45757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45757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45757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45757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45757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45757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45757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45757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45757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45757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45757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45757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45757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45757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45757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45757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45757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45757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45757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45757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45757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45757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45757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45757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45757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45757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45757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45757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45757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45757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45757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45757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45757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45757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45757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45757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45757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45757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45757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45757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45757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45757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45757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45757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45757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45757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45757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45757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45757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45757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45757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45757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45757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45757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45757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45757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45757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45757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45757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45757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45757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45757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45757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45757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45757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45757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45757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45757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45757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45757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45757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45757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45757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45757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45757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45757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45757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45757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45757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45757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45757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45757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45757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45757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45757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45757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45757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45757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45757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45757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45757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45757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45757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45757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45757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45757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45757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45757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45757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45757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45757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45757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45757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45757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45757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45757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45757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45757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45757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45757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45757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45757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45757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45757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45757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45757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45757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45757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45757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45757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45757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45757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45757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45757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45757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45757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45757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45757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45757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45757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45757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45757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45757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45757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45757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45757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45757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45757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45757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45757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45757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45757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45757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45757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45757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45757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45757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45757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45757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45757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45757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45757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45757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45757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45757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45757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45757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45757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45757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45757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45757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45757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45757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45757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45757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45757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45757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45757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45757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45757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45757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45757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45757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45757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45757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45757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45757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45757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45757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45757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45757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45757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45757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45757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45757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45757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45757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45757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45757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45757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45757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45757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45757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45757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45757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45757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45757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45757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45757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45757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45757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45757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45757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45757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45757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45757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45757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45757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45757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45757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45757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45757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45757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45757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45757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45757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45757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45757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45757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45757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45757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45757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45757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45757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45757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45757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45757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45757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45757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45757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45757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45757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45757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45757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45757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45757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45757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45757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45757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45757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45757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45757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45757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45757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45757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45757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45757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45757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45757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45757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45757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45757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45757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45757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45757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45757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45757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45757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45757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45757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45757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45757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45757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45757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45757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45757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45757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45757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45757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45757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45757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45757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45757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45757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45757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45757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45757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45757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45757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45757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45757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45757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45757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45757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45757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45757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45757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45757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45757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45757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45757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45757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45757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45757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45757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45757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45757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45757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45757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45757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45757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45757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45757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45757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45757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45757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45757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45757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45757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45757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45757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45757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45757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45757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45757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45757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45757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45757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45757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45757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45757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45757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45757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45757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45757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45757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45757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45757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45757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45757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45757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45757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45757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45757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45757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45757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45757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45757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45757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45757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45757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45757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45757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45757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45757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45757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45757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45757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45757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45757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45757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45757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45757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45757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45757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45757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45757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45757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45757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45757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45757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45757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45757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45757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45757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45757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45757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45757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45757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45757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45757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45757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45757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45757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45757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45757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45757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45757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45757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45757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45757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45757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45757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45757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45757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45757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45757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45757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45757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45757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45757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45757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45757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45757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45757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45757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45757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45757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45757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45757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45757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45757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45757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45757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45757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45757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45757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45757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45757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45757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45757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45757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45757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45757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45757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45757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45757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45757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45757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45757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45757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45757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45757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45757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45757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45757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45757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45757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45757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45757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45757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45757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45757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45757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45757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45757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45757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45757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45757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45757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45757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45757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45757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45757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45757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45757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45757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45757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45757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45757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45757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45757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45757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45757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45757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45757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45757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45757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45757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45757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45757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45757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45757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45757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45757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45757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45757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45757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45757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45757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45757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45757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45757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45757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45757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45757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45757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45757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45757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45757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45757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45757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45757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45757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45757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45757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45757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45757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45757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45757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45757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45757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45757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45757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45757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45757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45757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45757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45757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45757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45757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45757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45757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45757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45757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45757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45757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45757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45757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45757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45757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45757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45757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45757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45757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45757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45757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45757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45757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45757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45757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45757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45757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45757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45757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45757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45757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45757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45757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45757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45757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45757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45757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45757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45757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45757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45757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45757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45757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45757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45757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45757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45757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45757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45757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45757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45757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45757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45757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45757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45757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45757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45757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45757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45757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45757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45757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45757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45757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45757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45757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45757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45757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45757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45757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45757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45757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45757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45757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45757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45757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45757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45757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45757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45757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45757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45757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45757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45757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45757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45757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45757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45757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45757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45757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45757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45757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45757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45757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45757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45757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45757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45757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45757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45757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45757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45757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45757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45757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45757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45757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45757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45757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45757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45757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45757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45757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45757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45757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45757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45757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45757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45757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45757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45757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45757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45757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45757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45757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45757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45757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45757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45757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45757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45757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45757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45757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45757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45757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45757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45757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45757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45757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45757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45757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45757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45757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45757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45757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45757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45757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45757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45757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45757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45757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45757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45757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45757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45757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45757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45757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45757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45757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45757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45757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45757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45757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45757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45757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45757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45757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45757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45757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45757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45757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45757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45757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45757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45757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45757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45757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45757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45757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45757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45757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45757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45757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45757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45757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45757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45757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45757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45757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45757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45757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45757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45757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45757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45757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45757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45757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45757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45757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45757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45757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45757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45757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45757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45757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45757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45757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45757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45757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45757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45757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45757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45757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45757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45757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45757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45757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45757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45757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45757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45757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45757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45757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45757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45757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45757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45757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45757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45757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45757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45757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45757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45757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45757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45757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45757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45757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45757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45757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45757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45757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45757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45757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45757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45757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45757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45757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45757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45757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45757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45757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45757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45757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45757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45757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45757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45757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45757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45757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45757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45757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45757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45757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45757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45757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45757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45757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45757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45757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45757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45757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45757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45757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45757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45757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45757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45757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45757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45757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45757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45757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45757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45757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45757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45757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45757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45757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45757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45757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45757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45757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45757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45757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45757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45757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45757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45757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45757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45757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45757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45757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45757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45757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45757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45757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45757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45757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45757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45757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45757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45757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45757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45757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45757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45757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45757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45757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45757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45757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45757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45757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45757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45757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45757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45757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45757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45757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45757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45757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45757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45757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45757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45757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45757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45757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45757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45757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45757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45757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45757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45757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45757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45757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45757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45757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45757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45757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45757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45757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45757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45757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45757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45757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45757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45757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45757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45757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45757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45757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45757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45757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45757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45757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45757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45757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45757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45757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45757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45757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45757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45757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45757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45757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45757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45757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45757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45757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45757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45757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45757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45757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45757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45757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45757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45757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45757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45757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45757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45757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45757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45757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45757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45757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45757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45757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45757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45757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45757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45757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45757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45757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45757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45757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45757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45757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45757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45757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45757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45757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45757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45757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45757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45757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45757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45757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45757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45757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45757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45757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45757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45757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45757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45757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45757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45757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45757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45757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45757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45757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45757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45757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45757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45757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45757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45757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45757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45757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45757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45757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45757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45757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45757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45757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45757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45757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45757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45757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45757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45757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45757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45757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45757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45757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45757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45757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45757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45757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45757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45757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45757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45757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45757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45757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45757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45757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45757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45757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45757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45757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45757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45757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45757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45757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45757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45757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45757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45757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45757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45757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45757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45757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45757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45757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45757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45757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45757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45757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45757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45757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45757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45757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45757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45757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45757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45757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45757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45757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45757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45757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45757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45757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45757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45757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45757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45757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45757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45757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45757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45757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45757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45757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45757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45757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45757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45757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45757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45757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45757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45757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45757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45757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45757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45757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45757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45757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45757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45757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45757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45757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45757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45757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45757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45757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45757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45757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45757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45757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45757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45757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45757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45757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45757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45757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45757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45757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45757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45757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45757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45757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45757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45757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45757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45757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45757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45757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45757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45757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45757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45757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45757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45757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45757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45757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45757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45757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45757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45757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45757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45757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45757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45757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45757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45757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45757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45757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45757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45757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45757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45757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45757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45757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45757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45757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45757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45757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45757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45757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45757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45757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45757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45757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45757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45757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45757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45757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45757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45757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45757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45757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45757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45757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45757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45757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45757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45757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45757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45757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45757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45757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45757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45757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45757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45757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45757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45757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45757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45757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45757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45757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45757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45757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45757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45757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45757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45757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45757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45757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45757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45757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45757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45757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45757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45757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45757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45757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45757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45757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45757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45757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45757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45757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45757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45757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45757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45757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45757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45757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45757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45757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45757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45757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45757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45757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45757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45757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45757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45757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45757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45757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45757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45757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45757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45757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45757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45757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45757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45757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45757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45757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45757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45757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45757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45757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45757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45757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45757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45757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45757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45757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45757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45757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45757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45757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45757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45757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45757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45757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45757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45757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45757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45757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45757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45757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45757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45757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45757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45757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45757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45757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45757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45757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45757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45757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45757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45757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45757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45757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45757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45757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45757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45757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45757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45757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45757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45757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45757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45757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45757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45757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45757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45757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45757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45757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45757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45757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45757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45757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45757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45757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45757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45757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45757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45757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45757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45757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45757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45757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45757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45757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45757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45757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45757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45757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45757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45757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45757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45757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45757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45757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45757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45757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45757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45757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45757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45757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45757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45757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45757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45757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45757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45757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45757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45757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45757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45757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45757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45757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45757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45757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45757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45757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45757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45757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45757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45757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45757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45757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45757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45757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45757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45757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45757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45757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45757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45757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45757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45757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45757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45757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45757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45757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45757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45757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45757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45757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45757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45757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45757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45757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45757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45757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45757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45757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45757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45757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45757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45757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45757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45757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45757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45757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45757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45757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45757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45757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45757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45757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45757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45757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45757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45757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45757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45757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45757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45757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45757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45757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45757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45757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45757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45757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45757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45757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45757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45757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45757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45757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45757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45757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45757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45757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45757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45757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45757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45757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45757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45757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45757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45757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45757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45757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45757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45757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45757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45757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45757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45757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45757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45757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45757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45757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45757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45757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45757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45757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45757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45757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45757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45757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45757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45757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45757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45757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45757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45757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45757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45757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45757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45757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45757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45757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45757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45757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45757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45757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45757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45757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45757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45757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45757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45757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45757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45757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45757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45757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45757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45757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45757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45757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45757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45757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45757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45757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45757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45757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45757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45757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45757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45757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45757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45757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45757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45757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45757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45757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45757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45757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45757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45757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45757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45757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45757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45757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45757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45757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45757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45757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45757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45757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45757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45757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45757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45757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45757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45757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45757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45757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45757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45757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45757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45757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45757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45757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45757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45757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45757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45757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45757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45757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45757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45757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45757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45757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45757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45757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45757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45757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45757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45757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45757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45757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45757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45757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45757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45757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45757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45757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45757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45757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45757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45757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45757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45757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45757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45757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45757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45757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45757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45757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45757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45757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45757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45757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45757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45757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45757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45757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45757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45757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45757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45757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45757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45757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45757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45757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45757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45757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45757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45757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45757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45757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45757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45757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45757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45757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45757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45757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45757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45757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45757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45757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45757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45757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45757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45757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45757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45757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45757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45757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45757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45757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45757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45757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45757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45757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45757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45757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45757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45757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45757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45757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45757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45757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45757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45757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45757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45757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45757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45757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45757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45757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45757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45757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45757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45757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45757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45757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45757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45757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45757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45757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45757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45757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45757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45757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45757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45757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45757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45757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45757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45757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45757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45757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45757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45757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45757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45757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45757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45757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45757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45757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45757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45757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45757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45757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45757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45757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45757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45757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45757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45757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45757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45757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45757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45757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45757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45757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45757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45757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45757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45757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45757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45757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45757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45757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45757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45757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45757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45757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45757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45757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45757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45757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45757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45757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45757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45757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45757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45757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45757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45757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45757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45757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45757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45757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45757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45757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45757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45757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45757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45757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45757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45757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45757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45757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45757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45757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45757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45757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45757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45757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45757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45757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45757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45757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45757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45757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45757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45757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45757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45757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45757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45757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45757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45757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45757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45757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45757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45757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45757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45757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45757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45757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45757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45757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45757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45757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45757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45757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45757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45757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45757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45757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45757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45757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45757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45757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45757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45757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45757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45757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45757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45757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45757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45757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45757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45757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45757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45757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45757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45757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45757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45757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45757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45757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45757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45757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45757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45757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45757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45757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45757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45757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45757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45757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45757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45757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45757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45757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45757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45757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45757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45757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45757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45757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45757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45757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45757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45757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45757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45757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45757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45757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45757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45757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45757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45757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45757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45757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45757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45757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45757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45757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45757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45757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45757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45757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45757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45757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45757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45757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45757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45757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45757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45757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45757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45757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45757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45757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45757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45757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45757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45757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45757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45757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45757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45757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45757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45757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45757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45757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45757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45757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45757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45757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45757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45757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45757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45757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45757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45757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45757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45757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45757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45757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45757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45757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45757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45757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45757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45757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45757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45757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45757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45757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45757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45757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45757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45757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45757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45757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45757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45757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45757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45757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45757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45757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45757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45757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45757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45757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45757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45757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45757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45757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45757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45757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45757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45757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45757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45757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45757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45757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45757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45757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45757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45757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45757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45757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45757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45757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45757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45757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45757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45757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45757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45757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45757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45757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45757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45757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45757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45757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45757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45757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45757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45757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45757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45757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45757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45757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45757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45757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45757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45757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45757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45757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45757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45757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45757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45757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45757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45757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45757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45757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45757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45757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45757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45757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45757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45757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45757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45757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45757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45757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45757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45757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45757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45757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45757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45757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45757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45757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45757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45757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45757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45757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45757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45757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45757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45757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45757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45757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45757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45757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45757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45757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45757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45757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45757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45757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45757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45757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45757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45757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45757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45757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45757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45757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45757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45757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45757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45757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45757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45757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45757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45757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45757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45757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45757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45757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45757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45757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45757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45757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45757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45757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45757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45757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45757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45757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45757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45757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45757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45757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45757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45757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45757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45757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45757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45757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45757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45757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45757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45757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45757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45757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45757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45757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45757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45757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45757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45757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45757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45757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45757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45757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45757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45757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45757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45757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45757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45757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45757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45757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45757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45757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45757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45757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45757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45757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45757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45757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45757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45757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45757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45757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45757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45757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45757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45757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45757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45757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45757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45757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45757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45757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45757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45757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45757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45757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45757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45757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45757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45757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45757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45757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45757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45757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45757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45757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45757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45757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45757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45757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45757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45757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45757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45757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45757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45757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45757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45757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45757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45757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45757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45757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45757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45757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45757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45757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45757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45757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45757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45757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45757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45757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45757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45757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45757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45757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45757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45757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45757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45757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45757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45757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45757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45757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45757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45757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45757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45757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45757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45757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45757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45757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45757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45757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45757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45757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45757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45757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45757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45757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45757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45757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45757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45757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45757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45757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45757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45757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45757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45757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45757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45757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45757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45757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45757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45757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45757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45757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45757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45757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45757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45757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45757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45757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45757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45757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45757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45757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45757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45757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45757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45757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45757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45757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45757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45757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45757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45757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45757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45757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45757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45757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45757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45757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45757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45757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45757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45757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45757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45757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45757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45757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45757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45757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45757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45757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45757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45757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45757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45757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45757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45757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45757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45757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45757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45757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45757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45757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45757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45757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45757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45757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45757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45757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45757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45757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45757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45757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45757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45757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45757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45757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45757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45757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45757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45757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45757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45757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45757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45757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45757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45757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45757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45757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45757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45757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45757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45757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45757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45757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45757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45757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45757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45757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45757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45757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45757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45757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45757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45757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45757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45757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45757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45757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45757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45757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45757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45757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45757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45757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45757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45757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45757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45757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45757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45757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45757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45757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45757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45757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45757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45757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45757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45757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45757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45757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45757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45757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45757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45757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45757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45757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45757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45757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45757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45757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45757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45757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45757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45757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45757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45757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45757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45757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45757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45757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45757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45757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45757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45757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45757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45757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45757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45757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45757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45757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45757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45757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45757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45757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45757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45757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45757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45757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45757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45757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45757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45757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45757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45757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45757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45757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45757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45757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45757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45757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45757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45757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45757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45757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45757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45757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45757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45757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45757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45757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45757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45757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45757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45757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45757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45757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45757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45757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45757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45757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45757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45757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45757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45757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45757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45757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45757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45757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45757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45757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45757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45757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45757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45757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45757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45757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45757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45757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45757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45757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45757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45757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45757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45757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45757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45757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45757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45757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45757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45757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45757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45757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45757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45757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45757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45757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45757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45757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45757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45757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45757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45757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45757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45757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45757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45757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45757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45757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45757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45757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45757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45757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45757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45757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45757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45757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45757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45757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45757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45757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45757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45757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45757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45757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45757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45757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45757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45757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45757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45757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45757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45757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45757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45757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45757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45757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45757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45757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45757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45757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45757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45757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45757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45757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45757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45757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45757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45757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45757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45757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45757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45757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45757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45757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45757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45757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45757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45757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45757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45757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45757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45757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45757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45757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45757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45757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45757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45757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45757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45757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45757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45757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45757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45757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45757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45757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45757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45757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45757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45757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45757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45757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45757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45757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45757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45757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45757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45757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45757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45757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45757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45757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45757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45757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45757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45757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45757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45757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45757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45757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45757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45757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45757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45757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45757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45757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45757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45757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45757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45757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45757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45757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45757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45757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45757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45757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45757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45757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45757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45757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45757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45757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45757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45757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45757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45757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45757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45757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45757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45757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45757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45757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45757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45757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45757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45757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45757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45757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45757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45757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45757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45757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45757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45757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45757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45757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45757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45757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45757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45757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45757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45757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45757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45757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45757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45757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45757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45757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45757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45757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45757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45757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45757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45757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45757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45757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45757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45757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45757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45757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45757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45757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45757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45757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45757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45757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45757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45757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45757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45757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45757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45757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45757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45757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45757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45757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45757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45757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45757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45757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45757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45757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45757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45757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45757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45757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45757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45757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45757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45757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45757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45757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45757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45757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45757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45757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45757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45757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45757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45757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45757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45757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45757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45757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45757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45757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45757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45757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45757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45757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45757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45757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45757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45757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45757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45757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45757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45757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45757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45757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45757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45757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45757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45757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45757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45757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45757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45757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45757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45757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45757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45757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45757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45757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45757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45757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45757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45757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45757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45757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45757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45757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45757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45757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45757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45757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45757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45757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45757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45757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45757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45757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45757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45757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45757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45757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45757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45757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45757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45757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45757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45757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45757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45757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45757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45757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45757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45757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45757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45757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45757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45757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45757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45757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45757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45757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45757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45757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45757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45757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45757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45757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45757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45757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45757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45757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45757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45757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45757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45757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45757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45757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45757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45757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45757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45757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45757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45757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45757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45757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45757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45757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45757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45757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45757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45757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45757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45757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45757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45757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45757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45757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45757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45757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45757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45757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45757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45757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45757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45757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45757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45757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45757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45757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45757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45757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45757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45757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45757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45757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45757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45757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45757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45757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45757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45757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45757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45757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45757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45757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45757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45757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45757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45757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45757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45757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45757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45757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45757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45757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45757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45757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45757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45757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45757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45757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45757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45757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45757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45757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45757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45757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45757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45757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45757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45757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45757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45757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45757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45757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45757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45757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45757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45757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45757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45757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45757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45757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45757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45757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45757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45757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45757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45757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45757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45757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45757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45757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45757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45757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45757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45757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45757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45757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45757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45757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45757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45757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45757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45757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45757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45757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45757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45757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45757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45757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45757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45757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45757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45757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45757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45757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45757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45757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45757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45757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45757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45757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45757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45757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45757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45757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45757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45757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45757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45757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45757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45757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45757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45757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45757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45757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45757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45757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45757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45757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45757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45757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45757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45757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45757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45757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45757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45757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45757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45757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45757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45757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45757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45757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45757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45757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45757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45757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45757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45757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45757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45757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45757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45757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45757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45757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45757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45757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45757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45757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45757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45757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45757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45757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45757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45757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45757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45757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45757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45757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45757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45757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45757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45757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45757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45757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45757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45757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45757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45757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45757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45757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45757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45757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45757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45757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45757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45757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45757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45757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45757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45757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45757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45757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45757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45757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45757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45757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45757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45757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45757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45757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45757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45757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45757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45757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45757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45757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45757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45757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45757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45757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45757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45757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45757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45757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45757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45757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45757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45757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45757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45757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45757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45757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45757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45757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45757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45757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45757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45757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45757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45757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45757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45757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45757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45757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45757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45757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45757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45757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45757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45757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45757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45757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45757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45757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45757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45757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45757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45757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45757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45757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45757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45757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45757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45757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45757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45757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45757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45757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45757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45757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45757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45757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45757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45757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45757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45757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45757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45757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45757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45757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45757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45757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45757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45757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45757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45757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45757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45757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45757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45757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45757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45757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45757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45757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45757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45757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45757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45757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45757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45757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45757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45757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45757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45757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45757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45757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45757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45757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45757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45757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45757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45757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45757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45757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45757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45757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45757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45757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45757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45757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45757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45757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45757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45757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45757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45757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45757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45757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45757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45757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45757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45757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45757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45757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45757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45757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45757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45757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45757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45757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45757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45757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45757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45757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45757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45757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45757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45757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45757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45757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45757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45757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45757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45757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45757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45757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45757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45757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45757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45757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45757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45757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45757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45757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45757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45757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45757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45757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45757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45757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45757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45757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45757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45757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45757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45757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45757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45757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45757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45757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45757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45757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45757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45757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45757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45757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45757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45757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45757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45757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45757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45757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45757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45757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45757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45757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45757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45757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45757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45757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45757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45757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45757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45757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45757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45757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45757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45757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45757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45757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45757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45757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45757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45757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45757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45757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45757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45757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45757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45757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45757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45757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45757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45757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45757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45757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45757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45757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45757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45757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45757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45757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45757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45757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45757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45757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45757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45757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45757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45757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45757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45757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45757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45757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45757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45757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45757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45757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45757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45757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45757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45757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45757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45757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45757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45757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45757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45757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45757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45757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45757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45757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45757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45757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45757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45757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45757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45757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45757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45757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45757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45757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45757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45757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45757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45757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45757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45757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45757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45757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45757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45757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45757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45757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45757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45757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45757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45757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45757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45757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45757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45757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45757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45757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45757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45757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45757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45757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45757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45757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45757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45757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45757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45757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45757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45757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45757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45757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45757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45757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45757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45757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45757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45757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45757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45757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45757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45757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45757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45757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45757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45757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45757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45757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45757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45757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45757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45757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45757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45757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45757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45757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45757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45757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45757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45757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45757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45757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45757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45757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45757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45757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45757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45757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45757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45757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45757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45757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45757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45757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45757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45757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45757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45757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45757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45757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45757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45757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45757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45757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45757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45757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45757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45757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45757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45757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45757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45757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45757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45757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45757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45757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45757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45757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45757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45757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45757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45757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45757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45757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45757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45757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45757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45757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45757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45757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45757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45757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45757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45757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45757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45757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45757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45757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45757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45757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45757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45757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45757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45757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45757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45757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45757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45757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45757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45757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45757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45757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45757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45757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45757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45757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45757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45757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45757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45757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45757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45757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45757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45757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45757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45757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45757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45757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45757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45757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45757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45757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45757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45757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45757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45757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45757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45757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45757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45757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45757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45757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45757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45757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45757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45757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45757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45757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45757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45757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45757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45757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45757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45757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11831-2025</t>
        </is>
      </c>
      <c r="B5085" s="1" t="n">
        <v>45728</v>
      </c>
      <c r="C5085" s="1" t="n">
        <v>45757</v>
      </c>
      <c r="D5085" t="inlineStr">
        <is>
          <t>HALLANDS LÄN</t>
        </is>
      </c>
      <c r="E5085" t="inlineStr">
        <is>
          <t>LAHOLM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45757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45757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45757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45757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45757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45757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45757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45757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45757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12186-2025</t>
        </is>
      </c>
      <c r="B5095" s="1" t="n">
        <v>45729</v>
      </c>
      <c r="C5095" s="1" t="n">
        <v>45757</v>
      </c>
      <c r="D5095" t="inlineStr">
        <is>
          <t>HALLANDS LÄN</t>
        </is>
      </c>
      <c r="E5095" t="inlineStr">
        <is>
          <t>FALKENBERG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12196-2025</t>
        </is>
      </c>
      <c r="B5096" s="1" t="n">
        <v>45729</v>
      </c>
      <c r="C5096" s="1" t="n">
        <v>45757</v>
      </c>
      <c r="D5096" t="inlineStr">
        <is>
          <t>HALLANDS LÄN</t>
        </is>
      </c>
      <c r="E5096" t="inlineStr">
        <is>
          <t>FALKENBERG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12304-2025</t>
        </is>
      </c>
      <c r="B5097" s="1" t="n">
        <v>45729</v>
      </c>
      <c r="C5097" s="1" t="n">
        <v>45757</v>
      </c>
      <c r="D5097" t="inlineStr">
        <is>
          <t>HALLANDS LÄN</t>
        </is>
      </c>
      <c r="E5097" t="inlineStr">
        <is>
          <t>HALMSTAD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45757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45757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45757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45757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12448-2025</t>
        </is>
      </c>
      <c r="B5102" s="1" t="n">
        <v>45730</v>
      </c>
      <c r="C5102" s="1" t="n">
        <v>45757</v>
      </c>
      <c r="D5102" t="inlineStr">
        <is>
          <t>HALLANDS LÄN</t>
        </is>
      </c>
      <c r="E5102" t="inlineStr">
        <is>
          <t>LAHOLM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45757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45757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45757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45757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45757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45757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12637-2025</t>
        </is>
      </c>
      <c r="B5109" s="1" t="n">
        <v>45733</v>
      </c>
      <c r="C5109" s="1" t="n">
        <v>45757</v>
      </c>
      <c r="D5109" t="inlineStr">
        <is>
          <t>HALLANDS LÄN</t>
        </is>
      </c>
      <c r="E5109" t="inlineStr">
        <is>
          <t>HALMSTAD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45757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45757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45757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45757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12979-2025</t>
        </is>
      </c>
      <c r="B5114" s="1" t="n">
        <v>45734</v>
      </c>
      <c r="C5114" s="1" t="n">
        <v>45757</v>
      </c>
      <c r="D5114" t="inlineStr">
        <is>
          <t>HALLANDS LÄN</t>
        </is>
      </c>
      <c r="E5114" t="inlineStr">
        <is>
          <t>KUNGSBACKA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13085-2025</t>
        </is>
      </c>
      <c r="B5115" s="1" t="n">
        <v>45734</v>
      </c>
      <c r="C5115" s="1" t="n">
        <v>45757</v>
      </c>
      <c r="D5115" t="inlineStr">
        <is>
          <t>HALLANDS LÄN</t>
        </is>
      </c>
      <c r="E5115" t="inlineStr">
        <is>
          <t>LAHOLM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13081-2025</t>
        </is>
      </c>
      <c r="B5116" s="1" t="n">
        <v>45734</v>
      </c>
      <c r="C5116" s="1" t="n">
        <v>45757</v>
      </c>
      <c r="D5116" t="inlineStr">
        <is>
          <t>HALLANDS LÄN</t>
        </is>
      </c>
      <c r="E5116" t="inlineStr">
        <is>
          <t>VARBERG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13086-2025</t>
        </is>
      </c>
      <c r="B5117" s="1" t="n">
        <v>45734</v>
      </c>
      <c r="C5117" s="1" t="n">
        <v>45757</v>
      </c>
      <c r="D5117" t="inlineStr">
        <is>
          <t>HALLANDS LÄN</t>
        </is>
      </c>
      <c r="E5117" t="inlineStr">
        <is>
          <t>LAHOLM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12960-2025</t>
        </is>
      </c>
      <c r="B5118" s="1" t="n">
        <v>45734</v>
      </c>
      <c r="C5118" s="1" t="n">
        <v>45757</v>
      </c>
      <c r="D5118" t="inlineStr">
        <is>
          <t>HALLANDS LÄN</t>
        </is>
      </c>
      <c r="E5118" t="inlineStr">
        <is>
          <t>HALMSTAD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45757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13038-2025</t>
        </is>
      </c>
      <c r="B5120" s="1" t="n">
        <v>45734</v>
      </c>
      <c r="C5120" s="1" t="n">
        <v>45757</v>
      </c>
      <c r="D5120" t="inlineStr">
        <is>
          <t>HALLANDS LÄN</t>
        </is>
      </c>
      <c r="E5120" t="inlineStr">
        <is>
          <t>LAHOLM</t>
        </is>
      </c>
      <c r="G5120" t="n">
        <v>6.6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45757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45757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13209-2025</t>
        </is>
      </c>
      <c r="B5123" s="1" t="n">
        <v>45735</v>
      </c>
      <c r="C5123" s="1" t="n">
        <v>45757</v>
      </c>
      <c r="D5123" t="inlineStr">
        <is>
          <t>HALLANDS LÄN</t>
        </is>
      </c>
      <c r="E5123" t="inlineStr">
        <is>
          <t>FALKENBERG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13210-2025</t>
        </is>
      </c>
      <c r="B5124" s="1" t="n">
        <v>45735</v>
      </c>
      <c r="C5124" s="1" t="n">
        <v>45757</v>
      </c>
      <c r="D5124" t="inlineStr">
        <is>
          <t>HALLANDS LÄN</t>
        </is>
      </c>
      <c r="E5124" t="inlineStr">
        <is>
          <t>FALKENBERG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13212-2025</t>
        </is>
      </c>
      <c r="B5125" s="1" t="n">
        <v>45735</v>
      </c>
      <c r="C5125" s="1" t="n">
        <v>45757</v>
      </c>
      <c r="D5125" t="inlineStr">
        <is>
          <t>HALLANDS LÄN</t>
        </is>
      </c>
      <c r="E5125" t="inlineStr">
        <is>
          <t>HALMSTAD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13213-2025</t>
        </is>
      </c>
      <c r="B5126" s="1" t="n">
        <v>45735</v>
      </c>
      <c r="C5126" s="1" t="n">
        <v>45757</v>
      </c>
      <c r="D5126" t="inlineStr">
        <is>
          <t>HALLANDS LÄN</t>
        </is>
      </c>
      <c r="E5126" t="inlineStr">
        <is>
          <t>FALKENBERG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13252-2025</t>
        </is>
      </c>
      <c r="B5127" s="1" t="n">
        <v>45735</v>
      </c>
      <c r="C5127" s="1" t="n">
        <v>45757</v>
      </c>
      <c r="D5127" t="inlineStr">
        <is>
          <t>HALLANDS LÄN</t>
        </is>
      </c>
      <c r="E5127" t="inlineStr">
        <is>
          <t>HALMSTAD</t>
        </is>
      </c>
      <c r="G5127" t="n">
        <v>6.4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45757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45757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45757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45757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45757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45757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45757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13269-2025</t>
        </is>
      </c>
      <c r="B5135" s="1" t="n">
        <v>45735</v>
      </c>
      <c r="C5135" s="1" t="n">
        <v>45757</v>
      </c>
      <c r="D5135" t="inlineStr">
        <is>
          <t>HALLANDS LÄN</t>
        </is>
      </c>
      <c r="E5135" t="inlineStr">
        <is>
          <t>HYLTE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45757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45757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45757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13459-2025</t>
        </is>
      </c>
      <c r="B5139" s="1" t="n">
        <v>45736</v>
      </c>
      <c r="C5139" s="1" t="n">
        <v>45757</v>
      </c>
      <c r="D5139" t="inlineStr">
        <is>
          <t>HALLANDS LÄN</t>
        </is>
      </c>
      <c r="E5139" t="inlineStr">
        <is>
          <t>VARBERG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13476-2025</t>
        </is>
      </c>
      <c r="B5140" s="1" t="n">
        <v>45736</v>
      </c>
      <c r="C5140" s="1" t="n">
        <v>45757</v>
      </c>
      <c r="D5140" t="inlineStr">
        <is>
          <t>HALLANDS LÄN</t>
        </is>
      </c>
      <c r="E5140" t="inlineStr">
        <is>
          <t>VARBERG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13595-2025</t>
        </is>
      </c>
      <c r="B5141" s="1" t="n">
        <v>45736</v>
      </c>
      <c r="C5141" s="1" t="n">
        <v>45757</v>
      </c>
      <c r="D5141" t="inlineStr">
        <is>
          <t>HALLANDS LÄN</t>
        </is>
      </c>
      <c r="E5141" t="inlineStr">
        <is>
          <t>FALKENBERG</t>
        </is>
      </c>
      <c r="F5141" t="inlineStr">
        <is>
          <t>Kyrkan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13600-2025</t>
        </is>
      </c>
      <c r="B5142" s="1" t="n">
        <v>45736</v>
      </c>
      <c r="C5142" s="1" t="n">
        <v>45757</v>
      </c>
      <c r="D5142" t="inlineStr">
        <is>
          <t>HALLANDS LÄN</t>
        </is>
      </c>
      <c r="E5142" t="inlineStr">
        <is>
          <t>VARBERG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45757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45757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45757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45757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13944-2025</t>
        </is>
      </c>
      <c r="B5147" s="1" t="n">
        <v>45737</v>
      </c>
      <c r="C5147" s="1" t="n">
        <v>45757</v>
      </c>
      <c r="D5147" t="inlineStr">
        <is>
          <t>HALLANDS LÄN</t>
        </is>
      </c>
      <c r="E5147" t="inlineStr">
        <is>
          <t>HYLTE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45757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45757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45757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45757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45757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45757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45757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45757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45757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45757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45757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14487-2025</t>
        </is>
      </c>
      <c r="B5159" s="1" t="n">
        <v>45741</v>
      </c>
      <c r="C5159" s="1" t="n">
        <v>45757</v>
      </c>
      <c r="D5159" t="inlineStr">
        <is>
          <t>HALLANDS LÄN</t>
        </is>
      </c>
      <c r="E5159" t="inlineStr">
        <is>
          <t>KUNGSBACKA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14538-2025</t>
        </is>
      </c>
      <c r="B5160" s="1" t="n">
        <v>45741</v>
      </c>
      <c r="C5160" s="1" t="n">
        <v>45757</v>
      </c>
      <c r="D5160" t="inlineStr">
        <is>
          <t>HALLANDS LÄN</t>
        </is>
      </c>
      <c r="E5160" t="inlineStr">
        <is>
          <t>VARBERG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14404-2025</t>
        </is>
      </c>
      <c r="B5161" s="1" t="n">
        <v>45741</v>
      </c>
      <c r="C5161" s="1" t="n">
        <v>45757</v>
      </c>
      <c r="D5161" t="inlineStr">
        <is>
          <t>HALLANDS LÄN</t>
        </is>
      </c>
      <c r="E5161" t="inlineStr">
        <is>
          <t>LAHOLM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45757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45757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45757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14486-2025</t>
        </is>
      </c>
      <c r="B5165" s="1" t="n">
        <v>45741</v>
      </c>
      <c r="C5165" s="1" t="n">
        <v>45757</v>
      </c>
      <c r="D5165" t="inlineStr">
        <is>
          <t>HALLANDS LÄN</t>
        </is>
      </c>
      <c r="E5165" t="inlineStr">
        <is>
          <t>HYLTE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45757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45757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45757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45757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14719-2025</t>
        </is>
      </c>
      <c r="B5170" s="1" t="n">
        <v>45742</v>
      </c>
      <c r="C5170" s="1" t="n">
        <v>45757</v>
      </c>
      <c r="D5170" t="inlineStr">
        <is>
          <t>HALLANDS LÄN</t>
        </is>
      </c>
      <c r="E5170" t="inlineStr">
        <is>
          <t>KUNGSBACKA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14577-2025</t>
        </is>
      </c>
      <c r="B5171" s="1" t="n">
        <v>45742</v>
      </c>
      <c r="C5171" s="1" t="n">
        <v>45757</v>
      </c>
      <c r="D5171" t="inlineStr">
        <is>
          <t>HALLANDS LÄN</t>
        </is>
      </c>
      <c r="E5171" t="inlineStr">
        <is>
          <t>VARBERG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14694-2025</t>
        </is>
      </c>
      <c r="B5172" s="1" t="n">
        <v>45742</v>
      </c>
      <c r="C5172" s="1" t="n">
        <v>45757</v>
      </c>
      <c r="D5172" t="inlineStr">
        <is>
          <t>HALLANDS LÄN</t>
        </is>
      </c>
      <c r="E5172" t="inlineStr">
        <is>
          <t>HALMSTAD</t>
        </is>
      </c>
      <c r="G5172" t="n">
        <v>4.7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14721-2025</t>
        </is>
      </c>
      <c r="B5173" s="1" t="n">
        <v>45742</v>
      </c>
      <c r="C5173" s="1" t="n">
        <v>45757</v>
      </c>
      <c r="D5173" t="inlineStr">
        <is>
          <t>HALLANDS LÄN</t>
        </is>
      </c>
      <c r="E5173" t="inlineStr">
        <is>
          <t>KUNGSBACKA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45757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45757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45757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45757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45757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45757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45757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14847-2025</t>
        </is>
      </c>
      <c r="B5181" s="1" t="n">
        <v>45743</v>
      </c>
      <c r="C5181" s="1" t="n">
        <v>45757</v>
      </c>
      <c r="D5181" t="inlineStr">
        <is>
          <t>HALLANDS LÄN</t>
        </is>
      </c>
      <c r="E5181" t="inlineStr">
        <is>
          <t>FALKENBERG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14857-2025</t>
        </is>
      </c>
      <c r="B5182" s="1" t="n">
        <v>45743</v>
      </c>
      <c r="C5182" s="1" t="n">
        <v>45757</v>
      </c>
      <c r="D5182" t="inlineStr">
        <is>
          <t>HALLANDS LÄN</t>
        </is>
      </c>
      <c r="E5182" t="inlineStr">
        <is>
          <t>VARBERG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14911-2025</t>
        </is>
      </c>
      <c r="B5183" s="1" t="n">
        <v>45743</v>
      </c>
      <c r="C5183" s="1" t="n">
        <v>45757</v>
      </c>
      <c r="D5183" t="inlineStr">
        <is>
          <t>HALLANDS LÄN</t>
        </is>
      </c>
      <c r="E5183" t="inlineStr">
        <is>
          <t>FALKENBERG</t>
        </is>
      </c>
      <c r="F5183" t="inlineStr">
        <is>
          <t>Kyrkan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45757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45757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45757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45757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15065-2025</t>
        </is>
      </c>
      <c r="B5188" s="1" t="n">
        <v>45743</v>
      </c>
      <c r="C5188" s="1" t="n">
        <v>45757</v>
      </c>
      <c r="D5188" t="inlineStr">
        <is>
          <t>HALLANDS LÄN</t>
        </is>
      </c>
      <c r="E5188" t="inlineStr">
        <is>
          <t>VARBERG</t>
        </is>
      </c>
      <c r="G5188" t="n">
        <v>5.9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15076-2025</t>
        </is>
      </c>
      <c r="B5189" s="1" t="n">
        <v>45743</v>
      </c>
      <c r="C5189" s="1" t="n">
        <v>45757</v>
      </c>
      <c r="D5189" t="inlineStr">
        <is>
          <t>HALLANDS LÄN</t>
        </is>
      </c>
      <c r="E5189" t="inlineStr">
        <is>
          <t>KUNGSBACKA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15062-2025</t>
        </is>
      </c>
      <c r="B5190" s="1" t="n">
        <v>45743</v>
      </c>
      <c r="C5190" s="1" t="n">
        <v>45757</v>
      </c>
      <c r="D5190" t="inlineStr">
        <is>
          <t>HALLANDS LÄN</t>
        </is>
      </c>
      <c r="E5190" t="inlineStr">
        <is>
          <t>KUNGSBACKA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15074-2025</t>
        </is>
      </c>
      <c r="B5191" s="1" t="n">
        <v>45743</v>
      </c>
      <c r="C5191" s="1" t="n">
        <v>45757</v>
      </c>
      <c r="D5191" t="inlineStr">
        <is>
          <t>HALLANDS LÄN</t>
        </is>
      </c>
      <c r="E5191" t="inlineStr">
        <is>
          <t>KUNGSBACKA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15008-2025</t>
        </is>
      </c>
      <c r="B5192" s="1" t="n">
        <v>45743</v>
      </c>
      <c r="C5192" s="1" t="n">
        <v>45757</v>
      </c>
      <c r="D5192" t="inlineStr">
        <is>
          <t>HALLANDS LÄN</t>
        </is>
      </c>
      <c r="E5192" t="inlineStr">
        <is>
          <t>HYLTE</t>
        </is>
      </c>
      <c r="F5192" t="inlineStr">
        <is>
          <t>Bergvik skog väst AB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15061-2025</t>
        </is>
      </c>
      <c r="B5193" s="1" t="n">
        <v>45743</v>
      </c>
      <c r="C5193" s="1" t="n">
        <v>45757</v>
      </c>
      <c r="D5193" t="inlineStr">
        <is>
          <t>HALLANDS LÄN</t>
        </is>
      </c>
      <c r="E5193" t="inlineStr">
        <is>
          <t>KUNGSBACKA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45757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45757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45757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15250-2025</t>
        </is>
      </c>
      <c r="B5197" s="1" t="n">
        <v>45744</v>
      </c>
      <c r="C5197" s="1" t="n">
        <v>45757</v>
      </c>
      <c r="D5197" t="inlineStr">
        <is>
          <t>HALLANDS LÄN</t>
        </is>
      </c>
      <c r="E5197" t="inlineStr">
        <is>
          <t>VARBERG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15092-2025</t>
        </is>
      </c>
      <c r="B5198" s="1" t="n">
        <v>45744</v>
      </c>
      <c r="C5198" s="1" t="n">
        <v>45757</v>
      </c>
      <c r="D5198" t="inlineStr">
        <is>
          <t>HALLANDS LÄN</t>
        </is>
      </c>
      <c r="E5198" t="inlineStr">
        <is>
          <t>VARBERG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15096-2025</t>
        </is>
      </c>
      <c r="B5199" s="1" t="n">
        <v>45744</v>
      </c>
      <c r="C5199" s="1" t="n">
        <v>45757</v>
      </c>
      <c r="D5199" t="inlineStr">
        <is>
          <t>HALLANDS LÄN</t>
        </is>
      </c>
      <c r="E5199" t="inlineStr">
        <is>
          <t>KUNGSBACKA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15110-2025</t>
        </is>
      </c>
      <c r="B5200" s="1" t="n">
        <v>45744</v>
      </c>
      <c r="C5200" s="1" t="n">
        <v>45757</v>
      </c>
      <c r="D5200" t="inlineStr">
        <is>
          <t>HALLANDS LÄN</t>
        </is>
      </c>
      <c r="E5200" t="inlineStr">
        <is>
          <t>KUNGSBACKA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45757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45757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45757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15383-2025</t>
        </is>
      </c>
      <c r="B5204" s="1" t="n">
        <v>45747</v>
      </c>
      <c r="C5204" s="1" t="n">
        <v>45757</v>
      </c>
      <c r="D5204" t="inlineStr">
        <is>
          <t>HALLANDS LÄN</t>
        </is>
      </c>
      <c r="E5204" t="inlineStr">
        <is>
          <t>HALMSTAD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45757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15517-2025</t>
        </is>
      </c>
      <c r="B5206" s="1" t="n">
        <v>45747</v>
      </c>
      <c r="C5206" s="1" t="n">
        <v>45757</v>
      </c>
      <c r="D5206" t="inlineStr">
        <is>
          <t>HALLANDS LÄN</t>
        </is>
      </c>
      <c r="E5206" t="inlineStr">
        <is>
          <t>FALKENBERG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45757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45757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15767-2025</t>
        </is>
      </c>
      <c r="B5209" s="1" t="n">
        <v>45748</v>
      </c>
      <c r="C5209" s="1" t="n">
        <v>45757</v>
      </c>
      <c r="D5209" t="inlineStr">
        <is>
          <t>HALLANDS LÄN</t>
        </is>
      </c>
      <c r="E5209" t="inlineStr">
        <is>
          <t>FALKENBERG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15713-2025</t>
        </is>
      </c>
      <c r="B5210" s="1" t="n">
        <v>45748</v>
      </c>
      <c r="C5210" s="1" t="n">
        <v>45757</v>
      </c>
      <c r="D5210" t="inlineStr">
        <is>
          <t>HALLANDS LÄN</t>
        </is>
      </c>
      <c r="E5210" t="inlineStr">
        <is>
          <t>HALMSTAD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15813-2025</t>
        </is>
      </c>
      <c r="B5211" s="1" t="n">
        <v>45748</v>
      </c>
      <c r="C5211" s="1" t="n">
        <v>45757</v>
      </c>
      <c r="D5211" t="inlineStr">
        <is>
          <t>HALLANDS LÄN</t>
        </is>
      </c>
      <c r="E5211" t="inlineStr">
        <is>
          <t>HYLTE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45757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15846-2025</t>
        </is>
      </c>
      <c r="B5213" s="1" t="n">
        <v>45748</v>
      </c>
      <c r="C5213" s="1" t="n">
        <v>45757</v>
      </c>
      <c r="D5213" t="inlineStr">
        <is>
          <t>HALLANDS LÄN</t>
        </is>
      </c>
      <c r="E5213" t="inlineStr">
        <is>
          <t>HYLTE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45757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45757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45757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45757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45757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16073-2025</t>
        </is>
      </c>
      <c r="B5219" s="1" t="n">
        <v>45749</v>
      </c>
      <c r="C5219" s="1" t="n">
        <v>45757</v>
      </c>
      <c r="D5219" t="inlineStr">
        <is>
          <t>HALLANDS LÄN</t>
        </is>
      </c>
      <c r="E5219" t="inlineStr">
        <is>
          <t>KUNGSBACKA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45757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45757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16221-2025</t>
        </is>
      </c>
      <c r="B5222" s="1" t="n">
        <v>45750</v>
      </c>
      <c r="C5222" s="1" t="n">
        <v>45757</v>
      </c>
      <c r="D5222" t="inlineStr">
        <is>
          <t>HALLANDS LÄN</t>
        </is>
      </c>
      <c r="E5222" t="inlineStr">
        <is>
          <t>VARBERG</t>
        </is>
      </c>
      <c r="G5222" t="n">
        <v>8.4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16194-2025</t>
        </is>
      </c>
      <c r="B5223" s="1" t="n">
        <v>45750</v>
      </c>
      <c r="C5223" s="1" t="n">
        <v>45757</v>
      </c>
      <c r="D5223" t="inlineStr">
        <is>
          <t>HALLANDS LÄN</t>
        </is>
      </c>
      <c r="E5223" t="inlineStr">
        <is>
          <t>FALKENBERG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16195-2025</t>
        </is>
      </c>
      <c r="B5224" s="1" t="n">
        <v>45750</v>
      </c>
      <c r="C5224" s="1" t="n">
        <v>45757</v>
      </c>
      <c r="D5224" t="inlineStr">
        <is>
          <t>HALLANDS LÄN</t>
        </is>
      </c>
      <c r="E5224" t="inlineStr">
        <is>
          <t>HALMSTAD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16155-2025</t>
        </is>
      </c>
      <c r="B5225" s="1" t="n">
        <v>45750</v>
      </c>
      <c r="C5225" s="1" t="n">
        <v>45757</v>
      </c>
      <c r="D5225" t="inlineStr">
        <is>
          <t>HALLANDS LÄN</t>
        </is>
      </c>
      <c r="E5225" t="inlineStr">
        <is>
          <t>LAHOLM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16270-2025</t>
        </is>
      </c>
      <c r="B5226" s="1" t="n">
        <v>45750</v>
      </c>
      <c r="C5226" s="1" t="n">
        <v>45757</v>
      </c>
      <c r="D5226" t="inlineStr">
        <is>
          <t>HALLANDS LÄN</t>
        </is>
      </c>
      <c r="E5226" t="inlineStr">
        <is>
          <t>HYLTE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16168-2025</t>
        </is>
      </c>
      <c r="B5227" s="1" t="n">
        <v>45750</v>
      </c>
      <c r="C5227" s="1" t="n">
        <v>45757</v>
      </c>
      <c r="D5227" t="inlineStr">
        <is>
          <t>HALLANDS LÄN</t>
        </is>
      </c>
      <c r="E5227" t="inlineStr">
        <is>
          <t>KUNGSBACKA</t>
        </is>
      </c>
      <c r="G5227" t="n">
        <v>3.9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16144-2025</t>
        </is>
      </c>
      <c r="B5228" s="1" t="n">
        <v>45750</v>
      </c>
      <c r="C5228" s="1" t="n">
        <v>45757</v>
      </c>
      <c r="D5228" t="inlineStr">
        <is>
          <t>HALLANDS LÄN</t>
        </is>
      </c>
      <c r="E5228" t="inlineStr">
        <is>
          <t>LAHOLM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16198-2025</t>
        </is>
      </c>
      <c r="B5229" s="1" t="n">
        <v>45750</v>
      </c>
      <c r="C5229" s="1" t="n">
        <v>45757</v>
      </c>
      <c r="D5229" t="inlineStr">
        <is>
          <t>HALLANDS LÄN</t>
        </is>
      </c>
      <c r="E5229" t="inlineStr">
        <is>
          <t>HALMSTAD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45757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16268-2025</t>
        </is>
      </c>
      <c r="B5231" s="1" t="n">
        <v>45750</v>
      </c>
      <c r="C5231" s="1" t="n">
        <v>45757</v>
      </c>
      <c r="D5231" t="inlineStr">
        <is>
          <t>HALLANDS LÄN</t>
        </is>
      </c>
      <c r="E5231" t="inlineStr">
        <is>
          <t>HALMSTAD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45757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45757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45757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45757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16428-2025</t>
        </is>
      </c>
      <c r="B5236" s="1" t="n">
        <v>45751</v>
      </c>
      <c r="C5236" s="1" t="n">
        <v>45757</v>
      </c>
      <c r="D5236" t="inlineStr">
        <is>
          <t>HALLANDS LÄN</t>
        </is>
      </c>
      <c r="E5236" t="inlineStr">
        <is>
          <t>HYLTE</t>
        </is>
      </c>
      <c r="F5236" t="inlineStr">
        <is>
          <t>Kyrkan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16350-2025</t>
        </is>
      </c>
      <c r="B5237" s="1" t="n">
        <v>45751</v>
      </c>
      <c r="C5237" s="1" t="n">
        <v>45757</v>
      </c>
      <c r="D5237" t="inlineStr">
        <is>
          <t>HALLANDS LÄN</t>
        </is>
      </c>
      <c r="E5237" t="inlineStr">
        <is>
          <t>LAHOLM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16406-2025</t>
        </is>
      </c>
      <c r="B5238" s="1" t="n">
        <v>45751</v>
      </c>
      <c r="C5238" s="1" t="n">
        <v>45757</v>
      </c>
      <c r="D5238" t="inlineStr">
        <is>
          <t>HALLANDS LÄN</t>
        </is>
      </c>
      <c r="E5238" t="inlineStr">
        <is>
          <t>FALKENBERG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45757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16405-2025</t>
        </is>
      </c>
      <c r="B5240" s="1" t="n">
        <v>45751</v>
      </c>
      <c r="C5240" s="1" t="n">
        <v>45757</v>
      </c>
      <c r="D5240" t="inlineStr">
        <is>
          <t>HALLANDS LÄN</t>
        </is>
      </c>
      <c r="E5240" t="inlineStr">
        <is>
          <t>FALKENBERG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45757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45757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45757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16705-2025</t>
        </is>
      </c>
      <c r="B5244" s="1" t="n">
        <v>45754</v>
      </c>
      <c r="C5244" s="1" t="n">
        <v>45757</v>
      </c>
      <c r="D5244" t="inlineStr">
        <is>
          <t>HALLANDS LÄN</t>
        </is>
      </c>
      <c r="E5244" t="inlineStr">
        <is>
          <t>HYLTE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16711-2025</t>
        </is>
      </c>
      <c r="B5245" s="1" t="n">
        <v>45754</v>
      </c>
      <c r="C5245" s="1" t="n">
        <v>45757</v>
      </c>
      <c r="D5245" t="inlineStr">
        <is>
          <t>HALLANDS LÄN</t>
        </is>
      </c>
      <c r="E5245" t="inlineStr">
        <is>
          <t>HYLTE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16739-2025</t>
        </is>
      </c>
      <c r="B5246" s="1" t="n">
        <v>45754</v>
      </c>
      <c r="C5246" s="1" t="n">
        <v>45757</v>
      </c>
      <c r="D5246" t="inlineStr">
        <is>
          <t>HALLANDS LÄN</t>
        </is>
      </c>
      <c r="E5246" t="inlineStr">
        <is>
          <t>VARBERG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45757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16658-2025</t>
        </is>
      </c>
      <c r="B5248" s="1" t="n">
        <v>45754</v>
      </c>
      <c r="C5248" s="1" t="n">
        <v>45757</v>
      </c>
      <c r="D5248" t="inlineStr">
        <is>
          <t>HALLANDS LÄN</t>
        </is>
      </c>
      <c r="E5248" t="inlineStr">
        <is>
          <t>LAHOLM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16677-2025</t>
        </is>
      </c>
      <c r="B5249" s="1" t="n">
        <v>45754</v>
      </c>
      <c r="C5249" s="1" t="n">
        <v>45757</v>
      </c>
      <c r="D5249" t="inlineStr">
        <is>
          <t>HALLANDS LÄN</t>
        </is>
      </c>
      <c r="E5249" t="inlineStr">
        <is>
          <t>FALKENBERG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16619-2025</t>
        </is>
      </c>
      <c r="B5250" s="1" t="n">
        <v>45754</v>
      </c>
      <c r="C5250" s="1" t="n">
        <v>45757</v>
      </c>
      <c r="D5250" t="inlineStr">
        <is>
          <t>HALLANDS LÄN</t>
        </is>
      </c>
      <c r="E5250" t="inlineStr">
        <is>
          <t>HYLTE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16620-2025</t>
        </is>
      </c>
      <c r="B5251" s="1" t="n">
        <v>45754</v>
      </c>
      <c r="C5251" s="1" t="n">
        <v>45757</v>
      </c>
      <c r="D5251" t="inlineStr">
        <is>
          <t>HALLANDS LÄN</t>
        </is>
      </c>
      <c r="E5251" t="inlineStr">
        <is>
          <t>HYLTE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16675-2025</t>
        </is>
      </c>
      <c r="B5252" s="1" t="n">
        <v>45754</v>
      </c>
      <c r="C5252" s="1" t="n">
        <v>45757</v>
      </c>
      <c r="D5252" t="inlineStr">
        <is>
          <t>HALLANDS LÄN</t>
        </is>
      </c>
      <c r="E5252" t="inlineStr">
        <is>
          <t>FALKENBERG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45757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45757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16993-2025</t>
        </is>
      </c>
      <c r="B5255" s="1" t="n">
        <v>45755</v>
      </c>
      <c r="C5255" s="1" t="n">
        <v>45757</v>
      </c>
      <c r="D5255" t="inlineStr">
        <is>
          <t>HALLANDS LÄN</t>
        </is>
      </c>
      <c r="E5255" t="inlineStr">
        <is>
          <t>FALKENBERG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16893-2025</t>
        </is>
      </c>
      <c r="B5256" s="1" t="n">
        <v>45755</v>
      </c>
      <c r="C5256" s="1" t="n">
        <v>45757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17151-2025</t>
        </is>
      </c>
      <c r="B5257" s="1" t="n">
        <v>45756</v>
      </c>
      <c r="C5257" s="1" t="n">
        <v>45757</v>
      </c>
      <c r="D5257" t="inlineStr">
        <is>
          <t>HALLANDS LÄN</t>
        </is>
      </c>
      <c r="E5257" t="inlineStr">
        <is>
          <t>KUNGSBACKA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17147-2025</t>
        </is>
      </c>
      <c r="B5258" s="1" t="n">
        <v>45756</v>
      </c>
      <c r="C5258" s="1" t="n">
        <v>45757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45757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45757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>
      <c r="A5261" t="inlineStr">
        <is>
          <t>A 17293-2025</t>
        </is>
      </c>
      <c r="B5261" s="1" t="n">
        <v>45756</v>
      </c>
      <c r="C5261" s="1" t="n">
        <v>45757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2025-04-10T16:18:22Z</dcterms:created>
  <dcterms:modified xmlns:dcterms="http://purl.org/dc/terms/" xmlns:xsi="http://www.w3.org/2001/XMLSchema-instance" xsi:type="dcterms:W3CDTF">2025-04-10T16:18:26Z</dcterms:modified>
</cp:coreProperties>
</file>