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45832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45832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45832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45832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45832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45832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45832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45832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45832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45832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45832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45832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45832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45832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45832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45832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45832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45832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45832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45832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45832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45832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45832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45832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45832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45832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45832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45832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45832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45832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45832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45832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45832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45832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45832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45832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45832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45832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45832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25537-2020</t>
        </is>
      </c>
      <c r="B60" s="1" t="n">
        <v>43983</v>
      </c>
      <c r="C60" s="1" t="n">
        <v>45832</v>
      </c>
      <c r="D60" t="inlineStr">
        <is>
          <t>HALLANDS LÄN</t>
        </is>
      </c>
      <c r="E60" t="inlineStr">
        <is>
          <t>HYLTE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Borsttåg</t>
        </is>
      </c>
      <c r="S60">
        <f>HYPERLINK("https://klasma.github.io/Logging_1315/artfynd/A 25537-2020 artfynd.xlsx", "A 25537-2020")</f>
        <v/>
      </c>
      <c r="T60">
        <f>HYPERLINK("https://klasma.github.io/Logging_1315/kartor/A 25537-2020 karta.png", "A 25537-2020")</f>
        <v/>
      </c>
      <c r="V60">
        <f>HYPERLINK("https://klasma.github.io/Logging_1315/klagomål/A 25537-2020 FSC-klagomål.docx", "A 25537-2020")</f>
        <v/>
      </c>
      <c r="W60">
        <f>HYPERLINK("https://klasma.github.io/Logging_1315/klagomålsmail/A 25537-2020 FSC-klagomål mail.docx", "A 25537-2020")</f>
        <v/>
      </c>
      <c r="X60">
        <f>HYPERLINK("https://klasma.github.io/Logging_1315/tillsyn/A 25537-2020 tillsynsbegäran.docx", "A 25537-2020")</f>
        <v/>
      </c>
      <c r="Y60">
        <f>HYPERLINK("https://klasma.github.io/Logging_1315/tillsynsmail/A 25537-2020 tillsynsbegäran mail.docx", "A 25537-2020")</f>
        <v/>
      </c>
    </row>
    <row r="61" ht="15" customHeight="1">
      <c r="A61" t="inlineStr">
        <is>
          <t>A 35100-2020</t>
        </is>
      </c>
      <c r="B61" s="1" t="n">
        <v>44040</v>
      </c>
      <c r="C61" s="1" t="n">
        <v>45832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35100-2020 artfynd.xlsx", "A 35100-2020")</f>
        <v/>
      </c>
      <c r="T61">
        <f>HYPERLINK("https://klasma.github.io/Logging_1380/kartor/A 35100-2020 karta.png", "A 35100-2020")</f>
        <v/>
      </c>
      <c r="V61">
        <f>HYPERLINK("https://klasma.github.io/Logging_1380/klagomål/A 35100-2020 FSC-klagomål.docx", "A 35100-2020")</f>
        <v/>
      </c>
      <c r="W61">
        <f>HYPERLINK("https://klasma.github.io/Logging_1380/klagomålsmail/A 35100-2020 FSC-klagomål mail.docx", "A 35100-2020")</f>
        <v/>
      </c>
      <c r="X61">
        <f>HYPERLINK("https://klasma.github.io/Logging_1380/tillsyn/A 35100-2020 tillsynsbegäran.docx", "A 35100-2020")</f>
        <v/>
      </c>
      <c r="Y61">
        <f>HYPERLINK("https://klasma.github.io/Logging_1380/tillsynsmail/A 35100-2020 tillsynsbegäran mail.docx", "A 35100-2020")</f>
        <v/>
      </c>
    </row>
    <row r="62" ht="15" customHeight="1">
      <c r="A62" t="inlineStr">
        <is>
          <t>A 50228-2020</t>
        </is>
      </c>
      <c r="B62" s="1" t="n">
        <v>44109</v>
      </c>
      <c r="C62" s="1" t="n">
        <v>45832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Trädlärka</t>
        </is>
      </c>
      <c r="S62">
        <f>HYPERLINK("https://klasma.github.io/Logging_1382/artfynd/A 50228-2020 artfynd.xlsx", "A 50228-2020")</f>
        <v/>
      </c>
      <c r="T62">
        <f>HYPERLINK("https://klasma.github.io/Logging_1382/kartor/A 50228-2020 karta.png", "A 50228-2020")</f>
        <v/>
      </c>
      <c r="V62">
        <f>HYPERLINK("https://klasma.github.io/Logging_1382/klagomål/A 50228-2020 FSC-klagomål.docx", "A 50228-2020")</f>
        <v/>
      </c>
      <c r="W62">
        <f>HYPERLINK("https://klasma.github.io/Logging_1382/klagomålsmail/A 50228-2020 FSC-klagomål mail.docx", "A 50228-2020")</f>
        <v/>
      </c>
      <c r="X62">
        <f>HYPERLINK("https://klasma.github.io/Logging_1382/tillsyn/A 50228-2020 tillsynsbegäran.docx", "A 50228-2020")</f>
        <v/>
      </c>
      <c r="Y62">
        <f>HYPERLINK("https://klasma.github.io/Logging_1382/tillsynsmail/A 50228-2020 tillsynsbegäran mail.docx", "A 50228-2020")</f>
        <v/>
      </c>
      <c r="Z62">
        <f>HYPERLINK("https://klasma.github.io/Logging_1382/fåglar/A 50228-2020 prioriterade fågelarter.docx", "A 50228-2020")</f>
        <v/>
      </c>
    </row>
    <row r="63" ht="15" customHeight="1">
      <c r="A63" t="inlineStr">
        <is>
          <t>A 52303-2020</t>
        </is>
      </c>
      <c r="B63" s="1" t="n">
        <v>44117</v>
      </c>
      <c r="C63" s="1" t="n">
        <v>45832</v>
      </c>
      <c r="D63" t="inlineStr">
        <is>
          <t>HALLANDS LÄN</t>
        </is>
      </c>
      <c r="E63" t="inlineStr">
        <is>
          <t>KUNGSBACKA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HYPERLINK("https://klasma.github.io/Logging_1384/artfynd/A 52303-2020 artfynd.xlsx", "A 52303-2020")</f>
        <v/>
      </c>
      <c r="T63">
        <f>HYPERLINK("https://klasma.github.io/Logging_1384/kartor/A 52303-2020 karta.png", "A 52303-2020")</f>
        <v/>
      </c>
      <c r="V63">
        <f>HYPERLINK("https://klasma.github.io/Logging_1384/klagomål/A 52303-2020 FSC-klagomål.docx", "A 52303-2020")</f>
        <v/>
      </c>
      <c r="W63">
        <f>HYPERLINK("https://klasma.github.io/Logging_1384/klagomålsmail/A 52303-2020 FSC-klagomål mail.docx", "A 52303-2020")</f>
        <v/>
      </c>
      <c r="X63">
        <f>HYPERLINK("https://klasma.github.io/Logging_1384/tillsyn/A 52303-2020 tillsynsbegäran.docx", "A 52303-2020")</f>
        <v/>
      </c>
      <c r="Y63">
        <f>HYPERLINK("https://klasma.github.io/Logging_1384/tillsynsmail/A 52303-2020 tillsynsbegäran mail.docx", "A 52303-2020")</f>
        <v/>
      </c>
    </row>
    <row r="64" ht="15" customHeight="1">
      <c r="A64" t="inlineStr">
        <is>
          <t>A 58682-2020</t>
        </is>
      </c>
      <c r="B64" s="1" t="n">
        <v>44146</v>
      </c>
      <c r="C64" s="1" t="n">
        <v>45832</v>
      </c>
      <c r="D64" t="inlineStr">
        <is>
          <t>HALLANDS LÄN</t>
        </is>
      </c>
      <c r="E64" t="inlineStr">
        <is>
          <t>FALKENBERG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Springkorn</t>
        </is>
      </c>
      <c r="S64">
        <f>HYPERLINK("https://klasma.github.io/Logging_1382/artfynd/A 58682-2020 artfynd.xlsx", "A 58682-2020")</f>
        <v/>
      </c>
      <c r="T64">
        <f>HYPERLINK("https://klasma.github.io/Logging_1382/kartor/A 58682-2020 karta.png", "A 58682-2020")</f>
        <v/>
      </c>
      <c r="V64">
        <f>HYPERLINK("https://klasma.github.io/Logging_1382/klagomål/A 58682-2020 FSC-klagomål.docx", "A 58682-2020")</f>
        <v/>
      </c>
      <c r="W64">
        <f>HYPERLINK("https://klasma.github.io/Logging_1382/klagomålsmail/A 58682-2020 FSC-klagomål mail.docx", "A 58682-2020")</f>
        <v/>
      </c>
      <c r="X64">
        <f>HYPERLINK("https://klasma.github.io/Logging_1382/tillsyn/A 58682-2020 tillsynsbegäran.docx", "A 58682-2020")</f>
        <v/>
      </c>
      <c r="Y64">
        <f>HYPERLINK("https://klasma.github.io/Logging_1382/tillsynsmail/A 58682-2020 tillsynsbegäran mail.docx", "A 58682-2020")</f>
        <v/>
      </c>
    </row>
    <row r="65" ht="15" customHeight="1">
      <c r="A65" t="inlineStr">
        <is>
          <t>A 62200-2020</t>
        </is>
      </c>
      <c r="B65" s="1" t="n">
        <v>44159</v>
      </c>
      <c r="C65" s="1" t="n">
        <v>45832</v>
      </c>
      <c r="D65" t="inlineStr">
        <is>
          <t>HALLANDS LÄN</t>
        </is>
      </c>
      <c r="E65" t="inlineStr">
        <is>
          <t>FALKENBERG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Jättesvampmal</t>
        </is>
      </c>
      <c r="S65">
        <f>HYPERLINK("https://klasma.github.io/Logging_1382/artfynd/A 62200-2020 artfynd.xlsx", "A 62200-2020")</f>
        <v/>
      </c>
      <c r="T65">
        <f>HYPERLINK("https://klasma.github.io/Logging_1382/kartor/A 62200-2020 karta.png", "A 62200-2020")</f>
        <v/>
      </c>
      <c r="V65">
        <f>HYPERLINK("https://klasma.github.io/Logging_1382/klagomål/A 62200-2020 FSC-klagomål.docx", "A 62200-2020")</f>
        <v/>
      </c>
      <c r="W65">
        <f>HYPERLINK("https://klasma.github.io/Logging_1382/klagomålsmail/A 62200-2020 FSC-klagomål mail.docx", "A 62200-2020")</f>
        <v/>
      </c>
      <c r="X65">
        <f>HYPERLINK("https://klasma.github.io/Logging_1382/tillsyn/A 62200-2020 tillsynsbegäran.docx", "A 62200-2020")</f>
        <v/>
      </c>
      <c r="Y65">
        <f>HYPERLINK("https://klasma.github.io/Logging_1382/tillsynsmail/A 62200-2020 tillsynsbegäran mail.docx", "A 62200-2020")</f>
        <v/>
      </c>
    </row>
    <row r="66" ht="15" customHeight="1">
      <c r="A66" t="inlineStr">
        <is>
          <t>A 68882-2020</t>
        </is>
      </c>
      <c r="B66" s="1" t="n">
        <v>44187</v>
      </c>
      <c r="C66" s="1" t="n">
        <v>45832</v>
      </c>
      <c r="D66" t="inlineStr">
        <is>
          <t>HALLANDS LÄN</t>
        </is>
      </c>
      <c r="E66" t="inlineStr">
        <is>
          <t>VARBERG</t>
        </is>
      </c>
      <c r="G66" t="n">
        <v>5.5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68882-2020 artfynd.xlsx", "A 68882-2020")</f>
        <v/>
      </c>
      <c r="T66">
        <f>HYPERLINK("https://klasma.github.io/Logging_1383/kartor/A 68882-2020 karta.png", "A 68882-2020")</f>
        <v/>
      </c>
      <c r="V66">
        <f>HYPERLINK("https://klasma.github.io/Logging_1383/klagomål/A 68882-2020 FSC-klagomål.docx", "A 68882-2020")</f>
        <v/>
      </c>
      <c r="W66">
        <f>HYPERLINK("https://klasma.github.io/Logging_1383/klagomålsmail/A 68882-2020 FSC-klagomål mail.docx", "A 68882-2020")</f>
        <v/>
      </c>
      <c r="X66">
        <f>HYPERLINK("https://klasma.github.io/Logging_1383/tillsyn/A 68882-2020 tillsynsbegäran.docx", "A 68882-2020")</f>
        <v/>
      </c>
      <c r="Y66">
        <f>HYPERLINK("https://klasma.github.io/Logging_1383/tillsynsmail/A 68882-2020 tillsynsbegäran mail.docx", "A 68882-2020")</f>
        <v/>
      </c>
    </row>
    <row r="67" ht="15" customHeight="1">
      <c r="A67" t="inlineStr">
        <is>
          <t>A 69344-2020</t>
        </is>
      </c>
      <c r="B67" s="1" t="n">
        <v>44193</v>
      </c>
      <c r="C67" s="1" t="n">
        <v>45832</v>
      </c>
      <c r="D67" t="inlineStr">
        <is>
          <t>HALLANDS LÄN</t>
        </is>
      </c>
      <c r="E67" t="inlineStr">
        <is>
          <t>VARBERG</t>
        </is>
      </c>
      <c r="G67" t="n">
        <v>22.9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HYPERLINK("https://klasma.github.io/Logging_1383/artfynd/A 69344-2020 artfynd.xlsx", "A 69344-2020")</f>
        <v/>
      </c>
      <c r="T67">
        <f>HYPERLINK("https://klasma.github.io/Logging_1383/kartor/A 69344-2020 karta.png", "A 69344-2020")</f>
        <v/>
      </c>
      <c r="V67">
        <f>HYPERLINK("https://klasma.github.io/Logging_1383/klagomål/A 69344-2020 FSC-klagomål.docx", "A 69344-2020")</f>
        <v/>
      </c>
      <c r="W67">
        <f>HYPERLINK("https://klasma.github.io/Logging_1383/klagomålsmail/A 69344-2020 FSC-klagomål mail.docx", "A 69344-2020")</f>
        <v/>
      </c>
      <c r="X67">
        <f>HYPERLINK("https://klasma.github.io/Logging_1383/tillsyn/A 69344-2020 tillsynsbegäran.docx", "A 69344-2020")</f>
        <v/>
      </c>
      <c r="Y67">
        <f>HYPERLINK("https://klasma.github.io/Logging_1383/tillsynsmail/A 69344-2020 tillsynsbegäran mail.docx", "A 69344-2020")</f>
        <v/>
      </c>
    </row>
    <row r="68" ht="15" customHeight="1">
      <c r="A68" t="inlineStr">
        <is>
          <t>A 4831-2021</t>
        </is>
      </c>
      <c r="B68" s="1" t="n">
        <v>44225</v>
      </c>
      <c r="C68" s="1" t="n">
        <v>45832</v>
      </c>
      <c r="D68" t="inlineStr">
        <is>
          <t>HALLANDS LÄN</t>
        </is>
      </c>
      <c r="E68" t="inlineStr">
        <is>
          <t>KUNGSBACKA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HYPERLINK("https://klasma.github.io/Logging_1384/artfynd/A 4831-2021 artfynd.xlsx", "A 4831-2021")</f>
        <v/>
      </c>
      <c r="T68">
        <f>HYPERLINK("https://klasma.github.io/Logging_1384/kartor/A 4831-2021 karta.png", "A 4831-2021")</f>
        <v/>
      </c>
      <c r="V68">
        <f>HYPERLINK("https://klasma.github.io/Logging_1384/klagomål/A 4831-2021 FSC-klagomål.docx", "A 4831-2021")</f>
        <v/>
      </c>
      <c r="W68">
        <f>HYPERLINK("https://klasma.github.io/Logging_1384/klagomålsmail/A 4831-2021 FSC-klagomål mail.docx", "A 4831-2021")</f>
        <v/>
      </c>
      <c r="X68">
        <f>HYPERLINK("https://klasma.github.io/Logging_1384/tillsyn/A 4831-2021 tillsynsbegäran.docx", "A 4831-2021")</f>
        <v/>
      </c>
      <c r="Y68">
        <f>HYPERLINK("https://klasma.github.io/Logging_1384/tillsynsmail/A 4831-2021 tillsynsbegäran mail.docx", "A 4831-2021")</f>
        <v/>
      </c>
    </row>
    <row r="69" ht="15" customHeight="1">
      <c r="A69" t="inlineStr">
        <is>
          <t>A 9371-2021</t>
        </is>
      </c>
      <c r="B69" s="1" t="n">
        <v>44250</v>
      </c>
      <c r="C69" s="1" t="n">
        <v>45832</v>
      </c>
      <c r="D69" t="inlineStr">
        <is>
          <t>HALLANDS LÄN</t>
        </is>
      </c>
      <c r="E69" t="inlineStr">
        <is>
          <t>VARBERG</t>
        </is>
      </c>
      <c r="G69" t="n">
        <v>18.9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HYPERLINK("https://klasma.github.io/Logging_1383/artfynd/A 9371-2021 artfynd.xlsx", "A 9371-2021")</f>
        <v/>
      </c>
      <c r="T69">
        <f>HYPERLINK("https://klasma.github.io/Logging_1383/kartor/A 9371-2021 karta.png", "A 9371-2021")</f>
        <v/>
      </c>
      <c r="V69">
        <f>HYPERLINK("https://klasma.github.io/Logging_1383/klagomål/A 9371-2021 FSC-klagomål.docx", "A 9371-2021")</f>
        <v/>
      </c>
      <c r="W69">
        <f>HYPERLINK("https://klasma.github.io/Logging_1383/klagomålsmail/A 9371-2021 FSC-klagomål mail.docx", "A 9371-2021")</f>
        <v/>
      </c>
      <c r="X69">
        <f>HYPERLINK("https://klasma.github.io/Logging_1383/tillsyn/A 9371-2021 tillsynsbegäran.docx", "A 9371-2021")</f>
        <v/>
      </c>
      <c r="Y69">
        <f>HYPERLINK("https://klasma.github.io/Logging_1383/tillsynsmail/A 9371-2021 tillsynsbegäran mail.docx", "A 9371-2021")</f>
        <v/>
      </c>
      <c r="Z69">
        <f>HYPERLINK("https://klasma.github.io/Logging_1383/fåglar/A 9371-2021 prioriterade fågelarter.docx", "A 9371-2021")</f>
        <v/>
      </c>
    </row>
    <row r="70" ht="15" customHeight="1">
      <c r="A70" t="inlineStr">
        <is>
          <t>A 17350-2021</t>
        </is>
      </c>
      <c r="B70" s="1" t="n">
        <v>44298</v>
      </c>
      <c r="C70" s="1" t="n">
        <v>45832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HYPERLINK("https://klasma.github.io/Logging_1380/artfynd/A 17350-2021 artfynd.xlsx", "A 17350-2021")</f>
        <v/>
      </c>
      <c r="T70">
        <f>HYPERLINK("https://klasma.github.io/Logging_1380/kartor/A 17350-2021 karta.png", "A 17350-2021")</f>
        <v/>
      </c>
      <c r="V70">
        <f>HYPERLINK("https://klasma.github.io/Logging_1380/klagomål/A 17350-2021 FSC-klagomål.docx", "A 17350-2021")</f>
        <v/>
      </c>
      <c r="W70">
        <f>HYPERLINK("https://klasma.github.io/Logging_1380/klagomålsmail/A 17350-2021 FSC-klagomål mail.docx", "A 17350-2021")</f>
        <v/>
      </c>
      <c r="X70">
        <f>HYPERLINK("https://klasma.github.io/Logging_1380/tillsyn/A 17350-2021 tillsynsbegäran.docx", "A 17350-2021")</f>
        <v/>
      </c>
      <c r="Y70">
        <f>HYPERLINK("https://klasma.github.io/Logging_1380/tillsynsmail/A 17350-2021 tillsynsbegäran mail.docx", "A 17350-2021")</f>
        <v/>
      </c>
    </row>
    <row r="71" ht="15" customHeight="1">
      <c r="A71" t="inlineStr">
        <is>
          <t>A 23166-2021</t>
        </is>
      </c>
      <c r="B71" s="1" t="n">
        <v>44332</v>
      </c>
      <c r="C71" s="1" t="n">
        <v>45832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HYPERLINK("https://klasma.github.io/Logging_1315/artfynd/A 23166-2021 artfynd.xlsx", "A 23166-2021")</f>
        <v/>
      </c>
      <c r="T71">
        <f>HYPERLINK("https://klasma.github.io/Logging_1315/kartor/A 23166-2021 karta.png", "A 23166-2021")</f>
        <v/>
      </c>
      <c r="U71">
        <f>HYPERLINK("https://klasma.github.io/Logging_1315/knärot/A 23166-2021 karta knärot.png", "A 23166-2021")</f>
        <v/>
      </c>
      <c r="V71">
        <f>HYPERLINK("https://klasma.github.io/Logging_1315/klagomål/A 23166-2021 FSC-klagomål.docx", "A 23166-2021")</f>
        <v/>
      </c>
      <c r="W71">
        <f>HYPERLINK("https://klasma.github.io/Logging_1315/klagomålsmail/A 23166-2021 FSC-klagomål mail.docx", "A 23166-2021")</f>
        <v/>
      </c>
      <c r="X71">
        <f>HYPERLINK("https://klasma.github.io/Logging_1315/tillsyn/A 23166-2021 tillsynsbegäran.docx", "A 23166-2021")</f>
        <v/>
      </c>
      <c r="Y71">
        <f>HYPERLINK("https://klasma.github.io/Logging_1315/tillsynsmail/A 23166-2021 tillsynsbegäran mail.docx", "A 23166-2021")</f>
        <v/>
      </c>
    </row>
    <row r="72" ht="15" customHeight="1">
      <c r="A72" t="inlineStr">
        <is>
          <t>A 30534-2021</t>
        </is>
      </c>
      <c r="B72" s="1" t="n">
        <v>44364</v>
      </c>
      <c r="C72" s="1" t="n">
        <v>45832</v>
      </c>
      <c r="D72" t="inlineStr">
        <is>
          <t>HALLANDS LÄN</t>
        </is>
      </c>
      <c r="E72" t="inlineStr">
        <is>
          <t>VARBERG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HYPERLINK("https://klasma.github.io/Logging_1383/artfynd/A 30534-2021 artfynd.xlsx", "A 30534-2021")</f>
        <v/>
      </c>
      <c r="T72">
        <f>HYPERLINK("https://klasma.github.io/Logging_1383/kartor/A 30534-2021 karta.png", "A 30534-2021")</f>
        <v/>
      </c>
      <c r="V72">
        <f>HYPERLINK("https://klasma.github.io/Logging_1383/klagomål/A 30534-2021 FSC-klagomål.docx", "A 30534-2021")</f>
        <v/>
      </c>
      <c r="W72">
        <f>HYPERLINK("https://klasma.github.io/Logging_1383/klagomålsmail/A 30534-2021 FSC-klagomål mail.docx", "A 30534-2021")</f>
        <v/>
      </c>
      <c r="X72">
        <f>HYPERLINK("https://klasma.github.io/Logging_1383/tillsyn/A 30534-2021 tillsynsbegäran.docx", "A 30534-2021")</f>
        <v/>
      </c>
      <c r="Y72">
        <f>HYPERLINK("https://klasma.github.io/Logging_1383/tillsynsmail/A 30534-2021 tillsynsbegäran mail.docx", "A 30534-2021")</f>
        <v/>
      </c>
    </row>
    <row r="73" ht="15" customHeight="1">
      <c r="A73" t="inlineStr">
        <is>
          <t>A 35502-2021</t>
        </is>
      </c>
      <c r="B73" s="1" t="n">
        <v>44385</v>
      </c>
      <c r="C73" s="1" t="n">
        <v>45832</v>
      </c>
      <c r="D73" t="inlineStr">
        <is>
          <t>HALLANDS LÄN</t>
        </is>
      </c>
      <c r="E73" t="inlineStr">
        <is>
          <t>HALMSTAD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1</v>
      </c>
      <c r="P73" t="n">
        <v>0</v>
      </c>
      <c r="Q73" t="n">
        <v>1</v>
      </c>
      <c r="R73" s="2" t="inlineStr">
        <is>
          <t>Praktgrusmossa</t>
        </is>
      </c>
      <c r="S73">
        <f>HYPERLINK("https://klasma.github.io/Logging_1380/artfynd/A 35502-2021 artfynd.xlsx", "A 35502-2021")</f>
        <v/>
      </c>
      <c r="T73">
        <f>HYPERLINK("https://klasma.github.io/Logging_1380/kartor/A 35502-2021 karta.png", "A 35502-2021")</f>
        <v/>
      </c>
      <c r="V73">
        <f>HYPERLINK("https://klasma.github.io/Logging_1380/klagomål/A 35502-2021 FSC-klagomål.docx", "A 35502-2021")</f>
        <v/>
      </c>
      <c r="W73">
        <f>HYPERLINK("https://klasma.github.io/Logging_1380/klagomålsmail/A 35502-2021 FSC-klagomål mail.docx", "A 35502-2021")</f>
        <v/>
      </c>
      <c r="X73">
        <f>HYPERLINK("https://klasma.github.io/Logging_1380/tillsyn/A 35502-2021 tillsynsbegäran.docx", "A 35502-2021")</f>
        <v/>
      </c>
      <c r="Y73">
        <f>HYPERLINK("https://klasma.github.io/Logging_1380/tillsynsmail/A 35502-2021 tillsynsbegäran mail.docx", "A 35502-2021")</f>
        <v/>
      </c>
    </row>
    <row r="74" ht="15" customHeight="1">
      <c r="A74" t="inlineStr">
        <is>
          <t>A 44540-2021</t>
        </is>
      </c>
      <c r="B74" s="1" t="n">
        <v>44435</v>
      </c>
      <c r="C74" s="1" t="n">
        <v>45832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HYPERLINK("https://klasma.github.io/Logging_1382/artfynd/A 44540-2021 artfynd.xlsx", "A 44540-2021")</f>
        <v/>
      </c>
      <c r="T74">
        <f>HYPERLINK("https://klasma.github.io/Logging_1382/kartor/A 44540-2021 karta.png", "A 44540-2021")</f>
        <v/>
      </c>
      <c r="V74">
        <f>HYPERLINK("https://klasma.github.io/Logging_1382/klagomål/A 44540-2021 FSC-klagomål.docx", "A 44540-2021")</f>
        <v/>
      </c>
      <c r="W74">
        <f>HYPERLINK("https://klasma.github.io/Logging_1382/klagomålsmail/A 44540-2021 FSC-klagomål mail.docx", "A 44540-2021")</f>
        <v/>
      </c>
      <c r="X74">
        <f>HYPERLINK("https://klasma.github.io/Logging_1382/tillsyn/A 44540-2021 tillsynsbegäran.docx", "A 44540-2021")</f>
        <v/>
      </c>
      <c r="Y74">
        <f>HYPERLINK("https://klasma.github.io/Logging_1382/tillsynsmail/A 44540-2021 tillsynsbegäran mail.docx", "A 44540-2021")</f>
        <v/>
      </c>
    </row>
    <row r="75" ht="15" customHeight="1">
      <c r="A75" t="inlineStr">
        <is>
          <t>A 50645-2021</t>
        </is>
      </c>
      <c r="B75" s="1" t="n">
        <v>44459</v>
      </c>
      <c r="C75" s="1" t="n">
        <v>45832</v>
      </c>
      <c r="D75" t="inlineStr">
        <is>
          <t>HALLANDS LÄN</t>
        </is>
      </c>
      <c r="E75" t="inlineStr">
        <is>
          <t>LAHOLM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Hårginst</t>
        </is>
      </c>
      <c r="S75">
        <f>HYPERLINK("https://klasma.github.io/Logging_1381/artfynd/A 50645-2021 artfynd.xlsx", "A 50645-2021")</f>
        <v/>
      </c>
      <c r="T75">
        <f>HYPERLINK("https://klasma.github.io/Logging_1381/kartor/A 50645-2021 karta.png", "A 50645-2021")</f>
        <v/>
      </c>
      <c r="V75">
        <f>HYPERLINK("https://klasma.github.io/Logging_1381/klagomål/A 50645-2021 FSC-klagomål.docx", "A 50645-2021")</f>
        <v/>
      </c>
      <c r="W75">
        <f>HYPERLINK("https://klasma.github.io/Logging_1381/klagomålsmail/A 50645-2021 FSC-klagomål mail.docx", "A 50645-2021")</f>
        <v/>
      </c>
      <c r="X75">
        <f>HYPERLINK("https://klasma.github.io/Logging_1381/tillsyn/A 50645-2021 tillsynsbegäran.docx", "A 50645-2021")</f>
        <v/>
      </c>
      <c r="Y75">
        <f>HYPERLINK("https://klasma.github.io/Logging_1381/tillsynsmail/A 50645-2021 tillsynsbegäran mail.docx", "A 50645-2021")</f>
        <v/>
      </c>
    </row>
    <row r="76" ht="15" customHeight="1">
      <c r="A76" t="inlineStr">
        <is>
          <t>A 50998-2021</t>
        </is>
      </c>
      <c r="B76" s="1" t="n">
        <v>44460</v>
      </c>
      <c r="C76" s="1" t="n">
        <v>45832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HYPERLINK("https://klasma.github.io/Logging_1382/artfynd/A 50998-2021 artfynd.xlsx", "A 50998-2021")</f>
        <v/>
      </c>
      <c r="T76">
        <f>HYPERLINK("https://klasma.github.io/Logging_1382/kartor/A 50998-2021 karta.png", "A 50998-2021")</f>
        <v/>
      </c>
      <c r="V76">
        <f>HYPERLINK("https://klasma.github.io/Logging_1382/klagomål/A 50998-2021 FSC-klagomål.docx", "A 50998-2021")</f>
        <v/>
      </c>
      <c r="W76">
        <f>HYPERLINK("https://klasma.github.io/Logging_1382/klagomålsmail/A 50998-2021 FSC-klagomål mail.docx", "A 50998-2021")</f>
        <v/>
      </c>
      <c r="X76">
        <f>HYPERLINK("https://klasma.github.io/Logging_1382/tillsyn/A 50998-2021 tillsynsbegäran.docx", "A 50998-2021")</f>
        <v/>
      </c>
      <c r="Y76">
        <f>HYPERLINK("https://klasma.github.io/Logging_1382/tillsynsmail/A 50998-2021 tillsynsbegäran mail.docx", "A 50998-2021")</f>
        <v/>
      </c>
    </row>
    <row r="77" ht="15" customHeight="1">
      <c r="A77" t="inlineStr">
        <is>
          <t>A 53915-2021</t>
        </is>
      </c>
      <c r="B77" s="1" t="n">
        <v>44469</v>
      </c>
      <c r="C77" s="1" t="n">
        <v>45832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Entita</t>
        </is>
      </c>
      <c r="S77">
        <f>HYPERLINK("https://klasma.github.io/Logging_1383/artfynd/A 53915-2021 artfynd.xlsx", "A 53915-2021")</f>
        <v/>
      </c>
      <c r="T77">
        <f>HYPERLINK("https://klasma.github.io/Logging_1383/kartor/A 53915-2021 karta.png", "A 53915-2021")</f>
        <v/>
      </c>
      <c r="V77">
        <f>HYPERLINK("https://klasma.github.io/Logging_1383/klagomål/A 53915-2021 FSC-klagomål.docx", "A 53915-2021")</f>
        <v/>
      </c>
      <c r="W77">
        <f>HYPERLINK("https://klasma.github.io/Logging_1383/klagomålsmail/A 53915-2021 FSC-klagomål mail.docx", "A 53915-2021")</f>
        <v/>
      </c>
      <c r="X77">
        <f>HYPERLINK("https://klasma.github.io/Logging_1383/tillsyn/A 53915-2021 tillsynsbegäran.docx", "A 53915-2021")</f>
        <v/>
      </c>
      <c r="Y77">
        <f>HYPERLINK("https://klasma.github.io/Logging_1383/tillsynsmail/A 53915-2021 tillsynsbegäran mail.docx", "A 53915-2021")</f>
        <v/>
      </c>
      <c r="Z77">
        <f>HYPERLINK("https://klasma.github.io/Logging_1383/fåglar/A 53915-2021 prioriterade fågelarter.docx", "A 53915-2021")</f>
        <v/>
      </c>
    </row>
    <row r="78" ht="15" customHeight="1">
      <c r="A78" t="inlineStr">
        <is>
          <t>A 66137-2021</t>
        </is>
      </c>
      <c r="B78" s="1" t="n">
        <v>44517</v>
      </c>
      <c r="C78" s="1" t="n">
        <v>45832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HYPERLINK("https://klasma.github.io/Logging_1382/artfynd/A 66137-2021 artfynd.xlsx", "A 66137-2021")</f>
        <v/>
      </c>
      <c r="T78">
        <f>HYPERLINK("https://klasma.github.io/Logging_1382/kartor/A 66137-2021 karta.png", "A 66137-2021")</f>
        <v/>
      </c>
      <c r="V78">
        <f>HYPERLINK("https://klasma.github.io/Logging_1382/klagomål/A 66137-2021 FSC-klagomål.docx", "A 66137-2021")</f>
        <v/>
      </c>
      <c r="W78">
        <f>HYPERLINK("https://klasma.github.io/Logging_1382/klagomålsmail/A 66137-2021 FSC-klagomål mail.docx", "A 66137-2021")</f>
        <v/>
      </c>
      <c r="X78">
        <f>HYPERLINK("https://klasma.github.io/Logging_1382/tillsyn/A 66137-2021 tillsynsbegäran.docx", "A 66137-2021")</f>
        <v/>
      </c>
      <c r="Y78">
        <f>HYPERLINK("https://klasma.github.io/Logging_1382/tillsynsmail/A 66137-2021 tillsynsbegäran mail.docx", "A 66137-2021")</f>
        <v/>
      </c>
    </row>
    <row r="79" ht="15" customHeight="1">
      <c r="A79" t="inlineStr">
        <is>
          <t>A 70738-2021</t>
        </is>
      </c>
      <c r="B79" s="1" t="n">
        <v>44537</v>
      </c>
      <c r="C79" s="1" t="n">
        <v>45832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Hårginst</t>
        </is>
      </c>
      <c r="S79">
        <f>HYPERLINK("https://klasma.github.io/Logging_1380/artfynd/A 70738-2021 artfynd.xlsx", "A 70738-2021")</f>
        <v/>
      </c>
      <c r="T79">
        <f>HYPERLINK("https://klasma.github.io/Logging_1380/kartor/A 70738-2021 karta.png", "A 70738-2021")</f>
        <v/>
      </c>
      <c r="V79">
        <f>HYPERLINK("https://klasma.github.io/Logging_1380/klagomål/A 70738-2021 FSC-klagomål.docx", "A 70738-2021")</f>
        <v/>
      </c>
      <c r="W79">
        <f>HYPERLINK("https://klasma.github.io/Logging_1380/klagomålsmail/A 70738-2021 FSC-klagomål mail.docx", "A 70738-2021")</f>
        <v/>
      </c>
      <c r="X79">
        <f>HYPERLINK("https://klasma.github.io/Logging_1380/tillsyn/A 70738-2021 tillsynsbegäran.docx", "A 70738-2021")</f>
        <v/>
      </c>
      <c r="Y79">
        <f>HYPERLINK("https://klasma.github.io/Logging_1380/tillsynsmail/A 70738-2021 tillsynsbegäran mail.docx", "A 70738-2021")</f>
        <v/>
      </c>
    </row>
    <row r="80" ht="15" customHeight="1">
      <c r="A80" t="inlineStr">
        <is>
          <t>A 70769-2021</t>
        </is>
      </c>
      <c r="B80" s="1" t="n">
        <v>44537</v>
      </c>
      <c r="C80" s="1" t="n">
        <v>45832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HYPERLINK("https://klasma.github.io/Logging_1380/artfynd/A 70769-2021 artfynd.xlsx", "A 70769-2021")</f>
        <v/>
      </c>
      <c r="T80">
        <f>HYPERLINK("https://klasma.github.io/Logging_1380/kartor/A 70769-2021 karta.png", "A 70769-2021")</f>
        <v/>
      </c>
      <c r="V80">
        <f>HYPERLINK("https://klasma.github.io/Logging_1380/klagomål/A 70769-2021 FSC-klagomål.docx", "A 70769-2021")</f>
        <v/>
      </c>
      <c r="W80">
        <f>HYPERLINK("https://klasma.github.io/Logging_1380/klagomålsmail/A 70769-2021 FSC-klagomål mail.docx", "A 70769-2021")</f>
        <v/>
      </c>
      <c r="X80">
        <f>HYPERLINK("https://klasma.github.io/Logging_1380/tillsyn/A 70769-2021 tillsynsbegäran.docx", "A 70769-2021")</f>
        <v/>
      </c>
      <c r="Y80">
        <f>HYPERLINK("https://klasma.github.io/Logging_1380/tillsynsmail/A 70769-2021 tillsynsbegäran mail.docx", "A 70769-2021")</f>
        <v/>
      </c>
    </row>
    <row r="81" ht="15" customHeight="1">
      <c r="A81" t="inlineStr">
        <is>
          <t>A 6626-2022</t>
        </is>
      </c>
      <c r="B81" s="1" t="n">
        <v>44601</v>
      </c>
      <c r="C81" s="1" t="n">
        <v>45832</v>
      </c>
      <c r="D81" t="inlineStr">
        <is>
          <t>HALLANDS LÄN</t>
        </is>
      </c>
      <c r="E81" t="inlineStr">
        <is>
          <t>HYLTE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HYPERLINK("https://klasma.github.io/Logging_1315/artfynd/A 6626-2022 artfynd.xlsx", "A 6626-2022")</f>
        <v/>
      </c>
      <c r="T81">
        <f>HYPERLINK("https://klasma.github.io/Logging_1315/kartor/A 6626-2022 karta.png", "A 6626-2022")</f>
        <v/>
      </c>
      <c r="V81">
        <f>HYPERLINK("https://klasma.github.io/Logging_1315/klagomål/A 6626-2022 FSC-klagomål.docx", "A 6626-2022")</f>
        <v/>
      </c>
      <c r="W81">
        <f>HYPERLINK("https://klasma.github.io/Logging_1315/klagomålsmail/A 6626-2022 FSC-klagomål mail.docx", "A 6626-2022")</f>
        <v/>
      </c>
      <c r="X81">
        <f>HYPERLINK("https://klasma.github.io/Logging_1315/tillsyn/A 6626-2022 tillsynsbegäran.docx", "A 6626-2022")</f>
        <v/>
      </c>
      <c r="Y81">
        <f>HYPERLINK("https://klasma.github.io/Logging_1315/tillsynsmail/A 6626-2022 tillsynsbegäran mail.docx", "A 6626-2022")</f>
        <v/>
      </c>
    </row>
    <row r="82" ht="15" customHeight="1">
      <c r="A82" t="inlineStr">
        <is>
          <t>A 8071-2022</t>
        </is>
      </c>
      <c r="B82" s="1" t="n">
        <v>44609</v>
      </c>
      <c r="C82" s="1" t="n">
        <v>45832</v>
      </c>
      <c r="D82" t="inlineStr">
        <is>
          <t>HALLANDS LÄN</t>
        </is>
      </c>
      <c r="E82" t="inlineStr">
        <is>
          <t>HALMSTAD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HYPERLINK("https://klasma.github.io/Logging_1380/artfynd/A 8071-2022 artfynd.xlsx", "A 8071-2022")</f>
        <v/>
      </c>
      <c r="T82">
        <f>HYPERLINK("https://klasma.github.io/Logging_1380/kartor/A 8071-2022 karta.png", "A 8071-2022")</f>
        <v/>
      </c>
      <c r="V82">
        <f>HYPERLINK("https://klasma.github.io/Logging_1380/klagomål/A 8071-2022 FSC-klagomål.docx", "A 8071-2022")</f>
        <v/>
      </c>
      <c r="W82">
        <f>HYPERLINK("https://klasma.github.io/Logging_1380/klagomålsmail/A 8071-2022 FSC-klagomål mail.docx", "A 8071-2022")</f>
        <v/>
      </c>
      <c r="X82">
        <f>HYPERLINK("https://klasma.github.io/Logging_1380/tillsyn/A 8071-2022 tillsynsbegäran.docx", "A 8071-2022")</f>
        <v/>
      </c>
      <c r="Y82">
        <f>HYPERLINK("https://klasma.github.io/Logging_1380/tillsynsmail/A 8071-2022 tillsynsbegäran mail.docx", "A 8071-2022")</f>
        <v/>
      </c>
    </row>
    <row r="83" ht="15" customHeight="1">
      <c r="A83" t="inlineStr">
        <is>
          <t>A 10567-2022</t>
        </is>
      </c>
      <c r="B83" s="1" t="n">
        <v>44624</v>
      </c>
      <c r="C83" s="1" t="n">
        <v>45832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14.3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HYPERLINK("https://klasma.github.io/Logging_1381/artfynd/A 10567-2022 artfynd.xlsx", "A 10567-2022")</f>
        <v/>
      </c>
      <c r="T83">
        <f>HYPERLINK("https://klasma.github.io/Logging_1381/kartor/A 10567-2022 karta.png", "A 10567-2022")</f>
        <v/>
      </c>
      <c r="V83">
        <f>HYPERLINK("https://klasma.github.io/Logging_1381/klagomål/A 10567-2022 FSC-klagomål.docx", "A 10567-2022")</f>
        <v/>
      </c>
      <c r="W83">
        <f>HYPERLINK("https://klasma.github.io/Logging_1381/klagomålsmail/A 10567-2022 FSC-klagomål mail.docx", "A 10567-2022")</f>
        <v/>
      </c>
      <c r="X83">
        <f>HYPERLINK("https://klasma.github.io/Logging_1381/tillsyn/A 10567-2022 tillsynsbegäran.docx", "A 10567-2022")</f>
        <v/>
      </c>
      <c r="Y83">
        <f>HYPERLINK("https://klasma.github.io/Logging_1381/tillsynsmail/A 10567-2022 tillsynsbegäran mail.docx", "A 10567-2022")</f>
        <v/>
      </c>
    </row>
    <row r="84" ht="15" customHeight="1">
      <c r="A84" t="inlineStr">
        <is>
          <t>A 13434-2022</t>
        </is>
      </c>
      <c r="B84" s="1" t="n">
        <v>44645</v>
      </c>
      <c r="C84" s="1" t="n">
        <v>45832</v>
      </c>
      <c r="D84" t="inlineStr">
        <is>
          <t>HALLANDS LÄN</t>
        </is>
      </c>
      <c r="E84" t="inlineStr">
        <is>
          <t>KUNGSBACKA</t>
        </is>
      </c>
      <c r="G84" t="n">
        <v>4.6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HYPERLINK("https://klasma.github.io/Logging_1384/artfynd/A 13434-2022 artfynd.xlsx", "A 13434-2022")</f>
        <v/>
      </c>
      <c r="T84">
        <f>HYPERLINK("https://klasma.github.io/Logging_1384/kartor/A 13434-2022 karta.png", "A 13434-2022")</f>
        <v/>
      </c>
      <c r="V84">
        <f>HYPERLINK("https://klasma.github.io/Logging_1384/klagomål/A 13434-2022 FSC-klagomål.docx", "A 13434-2022")</f>
        <v/>
      </c>
      <c r="W84">
        <f>HYPERLINK("https://klasma.github.io/Logging_1384/klagomålsmail/A 13434-2022 FSC-klagomål mail.docx", "A 13434-2022")</f>
        <v/>
      </c>
      <c r="X84">
        <f>HYPERLINK("https://klasma.github.io/Logging_1384/tillsyn/A 13434-2022 tillsynsbegäran.docx", "A 13434-2022")</f>
        <v/>
      </c>
      <c r="Y84">
        <f>HYPERLINK("https://klasma.github.io/Logging_1384/tillsynsmail/A 13434-2022 tillsynsbegäran mail.docx", "A 13434-2022")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45832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24399-2022</t>
        </is>
      </c>
      <c r="B86" s="1" t="n">
        <v>44726</v>
      </c>
      <c r="C86" s="1" t="n">
        <v>45832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24399-2022 artfynd.xlsx", "A 24399-2022")</f>
        <v/>
      </c>
      <c r="T86">
        <f>HYPERLINK("https://klasma.github.io/Logging_1381/kartor/A 24399-2022 karta.png", "A 24399-2022")</f>
        <v/>
      </c>
      <c r="V86">
        <f>HYPERLINK("https://klasma.github.io/Logging_1381/klagomål/A 24399-2022 FSC-klagomål.docx", "A 24399-2022")</f>
        <v/>
      </c>
      <c r="W86">
        <f>HYPERLINK("https://klasma.github.io/Logging_1381/klagomålsmail/A 24399-2022 FSC-klagomål mail.docx", "A 24399-2022")</f>
        <v/>
      </c>
      <c r="X86">
        <f>HYPERLINK("https://klasma.github.io/Logging_1381/tillsyn/A 24399-2022 tillsynsbegäran.docx", "A 24399-2022")</f>
        <v/>
      </c>
      <c r="Y86">
        <f>HYPERLINK("https://klasma.github.io/Logging_1381/tillsynsmail/A 24399-2022 tillsynsbegäran mail.docx", "A 24399-2022")</f>
        <v/>
      </c>
    </row>
    <row r="87" ht="15" customHeight="1">
      <c r="A87" t="inlineStr">
        <is>
          <t>A 42421-2022</t>
        </is>
      </c>
      <c r="B87" s="1" t="n">
        <v>44831</v>
      </c>
      <c r="C87" s="1" t="n">
        <v>45832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42421-2022 artfynd.xlsx", "A 42421-2022")</f>
        <v/>
      </c>
      <c r="T87">
        <f>HYPERLINK("https://klasma.github.io/Logging_1381/kartor/A 42421-2022 karta.png", "A 42421-2022")</f>
        <v/>
      </c>
      <c r="V87">
        <f>HYPERLINK("https://klasma.github.io/Logging_1381/klagomål/A 42421-2022 FSC-klagomål.docx", "A 42421-2022")</f>
        <v/>
      </c>
      <c r="W87">
        <f>HYPERLINK("https://klasma.github.io/Logging_1381/klagomålsmail/A 42421-2022 FSC-klagomål mail.docx", "A 42421-2022")</f>
        <v/>
      </c>
      <c r="X87">
        <f>HYPERLINK("https://klasma.github.io/Logging_1381/tillsyn/A 42421-2022 tillsynsbegäran.docx", "A 42421-2022")</f>
        <v/>
      </c>
      <c r="Y87">
        <f>HYPERLINK("https://klasma.github.io/Logging_1381/tillsynsmail/A 42421-2022 tillsynsbegäran mail.docx", "A 42421-2022")</f>
        <v/>
      </c>
    </row>
    <row r="88" ht="15" customHeight="1">
      <c r="A88" t="inlineStr">
        <is>
          <t>A 43362-2022</t>
        </is>
      </c>
      <c r="B88" s="1" t="n">
        <v>44834</v>
      </c>
      <c r="C88" s="1" t="n">
        <v>45832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Dvärgpipistrell</t>
        </is>
      </c>
      <c r="S88">
        <f>HYPERLINK("https://klasma.github.io/Logging_1383/artfynd/A 43362-2022 artfynd.xlsx", "A 43362-2022")</f>
        <v/>
      </c>
      <c r="T88">
        <f>HYPERLINK("https://klasma.github.io/Logging_1383/kartor/A 43362-2022 karta.png", "A 43362-2022")</f>
        <v/>
      </c>
      <c r="V88">
        <f>HYPERLINK("https://klasma.github.io/Logging_1383/klagomål/A 43362-2022 FSC-klagomål.docx", "A 43362-2022")</f>
        <v/>
      </c>
      <c r="W88">
        <f>HYPERLINK("https://klasma.github.io/Logging_1383/klagomålsmail/A 43362-2022 FSC-klagomål mail.docx", "A 43362-2022")</f>
        <v/>
      </c>
      <c r="X88">
        <f>HYPERLINK("https://klasma.github.io/Logging_1383/tillsyn/A 43362-2022 tillsynsbegäran.docx", "A 43362-2022")</f>
        <v/>
      </c>
      <c r="Y88">
        <f>HYPERLINK("https://klasma.github.io/Logging_1383/tillsynsmail/A 43362-2022 tillsynsbegäran mail.docx", "A 43362-2022")</f>
        <v/>
      </c>
    </row>
    <row r="89" ht="15" customHeight="1">
      <c r="A89" t="inlineStr">
        <is>
          <t>A 44937-2022</t>
        </is>
      </c>
      <c r="B89" s="1" t="n">
        <v>44840</v>
      </c>
      <c r="C89" s="1" t="n">
        <v>45832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Granbräken</t>
        </is>
      </c>
      <c r="S89">
        <f>HYPERLINK("https://klasma.github.io/Logging_1380/artfynd/A 44937-2022 artfynd.xlsx", "A 44937-2022")</f>
        <v/>
      </c>
      <c r="T89">
        <f>HYPERLINK("https://klasma.github.io/Logging_1380/kartor/A 44937-2022 karta.png", "A 44937-2022")</f>
        <v/>
      </c>
      <c r="V89">
        <f>HYPERLINK("https://klasma.github.io/Logging_1380/klagomål/A 44937-2022 FSC-klagomål.docx", "A 44937-2022")</f>
        <v/>
      </c>
      <c r="W89">
        <f>HYPERLINK("https://klasma.github.io/Logging_1380/klagomålsmail/A 44937-2022 FSC-klagomål mail.docx", "A 44937-2022")</f>
        <v/>
      </c>
      <c r="X89">
        <f>HYPERLINK("https://klasma.github.io/Logging_1380/tillsyn/A 44937-2022 tillsynsbegäran.docx", "A 44937-2022")</f>
        <v/>
      </c>
      <c r="Y89">
        <f>HYPERLINK("https://klasma.github.io/Logging_1380/tillsynsmail/A 44937-2022 tillsynsbegäran mail.docx", "A 44937-2022")</f>
        <v/>
      </c>
    </row>
    <row r="90" ht="15" customHeight="1">
      <c r="A90" t="inlineStr">
        <is>
          <t>A 49551-2022</t>
        </is>
      </c>
      <c r="B90" s="1" t="n">
        <v>44862</v>
      </c>
      <c r="C90" s="1" t="n">
        <v>45832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Guldlockmossa</t>
        </is>
      </c>
      <c r="S90">
        <f>HYPERLINK("https://klasma.github.io/Logging_1383/artfynd/A 49551-2022 artfynd.xlsx", "A 49551-2022")</f>
        <v/>
      </c>
      <c r="T90">
        <f>HYPERLINK("https://klasma.github.io/Logging_1383/kartor/A 49551-2022 karta.png", "A 49551-2022")</f>
        <v/>
      </c>
      <c r="V90">
        <f>HYPERLINK("https://klasma.github.io/Logging_1383/klagomål/A 49551-2022 FSC-klagomål.docx", "A 49551-2022")</f>
        <v/>
      </c>
      <c r="W90">
        <f>HYPERLINK("https://klasma.github.io/Logging_1383/klagomålsmail/A 49551-2022 FSC-klagomål mail.docx", "A 49551-2022")</f>
        <v/>
      </c>
      <c r="X90">
        <f>HYPERLINK("https://klasma.github.io/Logging_1383/tillsyn/A 49551-2022 tillsynsbegäran.docx", "A 49551-2022")</f>
        <v/>
      </c>
      <c r="Y90">
        <f>HYPERLINK("https://klasma.github.io/Logging_1383/tillsynsmail/A 49551-2022 tillsynsbegäran mail.docx", "A 49551-2022")</f>
        <v/>
      </c>
    </row>
    <row r="91" ht="15" customHeight="1">
      <c r="A91" t="inlineStr">
        <is>
          <t>A 52318-2022</t>
        </is>
      </c>
      <c r="B91" s="1" t="n">
        <v>44873</v>
      </c>
      <c r="C91" s="1" t="n">
        <v>45832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HYPERLINK("https://klasma.github.io/Logging_1384/artfynd/A 52318-2022 artfynd.xlsx", "A 52318-2022")</f>
        <v/>
      </c>
      <c r="T91">
        <f>HYPERLINK("https://klasma.github.io/Logging_1384/kartor/A 52318-2022 karta.png", "A 52318-2022")</f>
        <v/>
      </c>
      <c r="V91">
        <f>HYPERLINK("https://klasma.github.io/Logging_1384/klagomål/A 52318-2022 FSC-klagomål.docx", "A 52318-2022")</f>
        <v/>
      </c>
      <c r="W91">
        <f>HYPERLINK("https://klasma.github.io/Logging_1384/klagomålsmail/A 52318-2022 FSC-klagomål mail.docx", "A 52318-2022")</f>
        <v/>
      </c>
      <c r="X91">
        <f>HYPERLINK("https://klasma.github.io/Logging_1384/tillsyn/A 52318-2022 tillsynsbegäran.docx", "A 52318-2022")</f>
        <v/>
      </c>
      <c r="Y91">
        <f>HYPERLINK("https://klasma.github.io/Logging_1384/tillsynsmail/A 52318-2022 tillsynsbegäran mail.docx", "A 52318-2022")</f>
        <v/>
      </c>
    </row>
    <row r="92" ht="15" customHeight="1">
      <c r="A92" t="inlineStr">
        <is>
          <t>A 53584-2022</t>
        </is>
      </c>
      <c r="B92" s="1" t="n">
        <v>44879</v>
      </c>
      <c r="C92" s="1" t="n">
        <v>45832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53584-2022 artfynd.xlsx", "A 53584-2022")</f>
        <v/>
      </c>
      <c r="T92">
        <f>HYPERLINK("https://klasma.github.io/Logging_1381/kartor/A 53584-2022 karta.png", "A 53584-2022")</f>
        <v/>
      </c>
      <c r="V92">
        <f>HYPERLINK("https://klasma.github.io/Logging_1381/klagomål/A 53584-2022 FSC-klagomål.docx", "A 53584-2022")</f>
        <v/>
      </c>
      <c r="W92">
        <f>HYPERLINK("https://klasma.github.io/Logging_1381/klagomålsmail/A 53584-2022 FSC-klagomål mail.docx", "A 53584-2022")</f>
        <v/>
      </c>
      <c r="X92">
        <f>HYPERLINK("https://klasma.github.io/Logging_1381/tillsyn/A 53584-2022 tillsynsbegäran.docx", "A 53584-2022")</f>
        <v/>
      </c>
      <c r="Y92">
        <f>HYPERLINK("https://klasma.github.io/Logging_1381/tillsynsmail/A 53584-2022 tillsynsbegäran mail.docx", "A 53584-2022")</f>
        <v/>
      </c>
      <c r="Z92">
        <f>HYPERLINK("https://klasma.github.io/Logging_1381/fåglar/A 53584-2022 prioriterade fågelarter.docx", "A 53584-2022")</f>
        <v/>
      </c>
    </row>
    <row r="93" ht="15" customHeight="1">
      <c r="A93" t="inlineStr">
        <is>
          <t>A 57564-2022</t>
        </is>
      </c>
      <c r="B93" s="1" t="n">
        <v>44896</v>
      </c>
      <c r="C93" s="1" t="n">
        <v>45832</v>
      </c>
      <c r="D93" t="inlineStr">
        <is>
          <t>HALLANDS LÄN</t>
        </is>
      </c>
      <c r="E93" t="inlineStr">
        <is>
          <t>VARBERG</t>
        </is>
      </c>
      <c r="G93" t="n">
        <v>3.1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HYPERLINK("https://klasma.github.io/Logging_1383/artfynd/A 57564-2022 artfynd.xlsx", "A 57564-2022")</f>
        <v/>
      </c>
      <c r="T93">
        <f>HYPERLINK("https://klasma.github.io/Logging_1383/kartor/A 57564-2022 karta.png", "A 57564-2022")</f>
        <v/>
      </c>
      <c r="V93">
        <f>HYPERLINK("https://klasma.github.io/Logging_1383/klagomål/A 57564-2022 FSC-klagomål.docx", "A 57564-2022")</f>
        <v/>
      </c>
      <c r="W93">
        <f>HYPERLINK("https://klasma.github.io/Logging_1383/klagomålsmail/A 57564-2022 FSC-klagomål mail.docx", "A 57564-2022")</f>
        <v/>
      </c>
      <c r="X93">
        <f>HYPERLINK("https://klasma.github.io/Logging_1383/tillsyn/A 57564-2022 tillsynsbegäran.docx", "A 57564-2022")</f>
        <v/>
      </c>
      <c r="Y93">
        <f>HYPERLINK("https://klasma.github.io/Logging_1383/tillsynsmail/A 57564-2022 tillsynsbegäran mail.docx", "A 57564-2022")</f>
        <v/>
      </c>
      <c r="Z93">
        <f>HYPERLINK("https://klasma.github.io/Logging_1383/fåglar/A 57564-2022 prioriterade fågelarter.docx", "A 57564-2022")</f>
        <v/>
      </c>
    </row>
    <row r="94" ht="15" customHeight="1">
      <c r="A94" t="inlineStr">
        <is>
          <t>A 3062-2023</t>
        </is>
      </c>
      <c r="B94" s="1" t="n">
        <v>44946</v>
      </c>
      <c r="C94" s="1" t="n">
        <v>45832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Loppstarr</t>
        </is>
      </c>
      <c r="S94">
        <f>HYPERLINK("https://klasma.github.io/Logging_1382/artfynd/A 3062-2023 artfynd.xlsx", "A 3062-2023")</f>
        <v/>
      </c>
      <c r="T94">
        <f>HYPERLINK("https://klasma.github.io/Logging_1382/kartor/A 3062-2023 karta.png", "A 3062-2023")</f>
        <v/>
      </c>
      <c r="V94">
        <f>HYPERLINK("https://klasma.github.io/Logging_1382/klagomål/A 3062-2023 FSC-klagomål.docx", "A 3062-2023")</f>
        <v/>
      </c>
      <c r="W94">
        <f>HYPERLINK("https://klasma.github.io/Logging_1382/klagomålsmail/A 3062-2023 FSC-klagomål mail.docx", "A 3062-2023")</f>
        <v/>
      </c>
      <c r="X94">
        <f>HYPERLINK("https://klasma.github.io/Logging_1382/tillsyn/A 3062-2023 tillsynsbegäran.docx", "A 3062-2023")</f>
        <v/>
      </c>
      <c r="Y94">
        <f>HYPERLINK("https://klasma.github.io/Logging_1382/tillsynsmail/A 3062-2023 tillsynsbegäran mail.docx", "A 3062-2023")</f>
        <v/>
      </c>
    </row>
    <row r="95" ht="15" customHeight="1">
      <c r="A95" t="inlineStr">
        <is>
          <t>A 9006-2023</t>
        </is>
      </c>
      <c r="B95" s="1" t="n">
        <v>44979</v>
      </c>
      <c r="C95" s="1" t="n">
        <v>45832</v>
      </c>
      <c r="D95" t="inlineStr">
        <is>
          <t>HALLANDS LÄN</t>
        </is>
      </c>
      <c r="E95" t="inlineStr">
        <is>
          <t>KUNGSBACKA</t>
        </is>
      </c>
      <c r="G95" t="n">
        <v>13.5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Hedjohannesört</t>
        </is>
      </c>
      <c r="S95">
        <f>HYPERLINK("https://klasma.github.io/Logging_1384/artfynd/A 9006-2023 artfynd.xlsx", "A 9006-2023")</f>
        <v/>
      </c>
      <c r="T95">
        <f>HYPERLINK("https://klasma.github.io/Logging_1384/kartor/A 9006-2023 karta.png", "A 9006-2023")</f>
        <v/>
      </c>
      <c r="V95">
        <f>HYPERLINK("https://klasma.github.io/Logging_1384/klagomål/A 9006-2023 FSC-klagomål.docx", "A 9006-2023")</f>
        <v/>
      </c>
      <c r="W95">
        <f>HYPERLINK("https://klasma.github.io/Logging_1384/klagomålsmail/A 9006-2023 FSC-klagomål mail.docx", "A 9006-2023")</f>
        <v/>
      </c>
      <c r="X95">
        <f>HYPERLINK("https://klasma.github.io/Logging_1384/tillsyn/A 9006-2023 tillsynsbegäran.docx", "A 9006-2023")</f>
        <v/>
      </c>
      <c r="Y95">
        <f>HYPERLINK("https://klasma.github.io/Logging_1384/tillsynsmail/A 9006-2023 tillsynsbegäran mail.docx", "A 9006-2023")</f>
        <v/>
      </c>
    </row>
    <row r="96" ht="15" customHeight="1">
      <c r="A96" t="inlineStr">
        <is>
          <t>A 12185-2023</t>
        </is>
      </c>
      <c r="B96" s="1" t="n">
        <v>44998</v>
      </c>
      <c r="C96" s="1" t="n">
        <v>45832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HYPERLINK("https://klasma.github.io/Logging_1380/artfynd/A 12185-2023 artfynd.xlsx", "A 12185-2023")</f>
        <v/>
      </c>
      <c r="T96">
        <f>HYPERLINK("https://klasma.github.io/Logging_1380/kartor/A 12185-2023 karta.png", "A 12185-2023")</f>
        <v/>
      </c>
      <c r="V96">
        <f>HYPERLINK("https://klasma.github.io/Logging_1380/klagomål/A 12185-2023 FSC-klagomål.docx", "A 12185-2023")</f>
        <v/>
      </c>
      <c r="W96">
        <f>HYPERLINK("https://klasma.github.io/Logging_1380/klagomålsmail/A 12185-2023 FSC-klagomål mail.docx", "A 12185-2023")</f>
        <v/>
      </c>
      <c r="X96">
        <f>HYPERLINK("https://klasma.github.io/Logging_1380/tillsyn/A 12185-2023 tillsynsbegäran.docx", "A 12185-2023")</f>
        <v/>
      </c>
      <c r="Y96">
        <f>HYPERLINK("https://klasma.github.io/Logging_1380/tillsynsmail/A 12185-2023 tillsynsbegäran mail.docx", "A 12185-2023")</f>
        <v/>
      </c>
    </row>
    <row r="97" ht="15" customHeight="1">
      <c r="A97" t="inlineStr">
        <is>
          <t>A 23050-2023</t>
        </is>
      </c>
      <c r="B97" s="1" t="n">
        <v>45075</v>
      </c>
      <c r="C97" s="1" t="n">
        <v>45832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HYPERLINK("https://klasma.github.io/Logging_1383/artfynd/A 23050-2023 artfynd.xlsx", "A 23050-2023")</f>
        <v/>
      </c>
      <c r="T97">
        <f>HYPERLINK("https://klasma.github.io/Logging_1383/kartor/A 23050-2023 karta.png", "A 23050-2023")</f>
        <v/>
      </c>
      <c r="V97">
        <f>HYPERLINK("https://klasma.github.io/Logging_1383/klagomål/A 23050-2023 FSC-klagomål.docx", "A 23050-2023")</f>
        <v/>
      </c>
      <c r="W97">
        <f>HYPERLINK("https://klasma.github.io/Logging_1383/klagomålsmail/A 23050-2023 FSC-klagomål mail.docx", "A 23050-2023")</f>
        <v/>
      </c>
      <c r="X97">
        <f>HYPERLINK("https://klasma.github.io/Logging_1383/tillsyn/A 23050-2023 tillsynsbegäran.docx", "A 23050-2023")</f>
        <v/>
      </c>
      <c r="Y97">
        <f>HYPERLINK("https://klasma.github.io/Logging_1383/tillsynsmail/A 23050-2023 tillsynsbegäran mail.docx", "A 23050-2023")</f>
        <v/>
      </c>
    </row>
    <row r="98" ht="15" customHeight="1">
      <c r="A98" t="inlineStr">
        <is>
          <t>A 30046-2023</t>
        </is>
      </c>
      <c r="B98" s="1" t="n">
        <v>45099</v>
      </c>
      <c r="C98" s="1" t="n">
        <v>45832</v>
      </c>
      <c r="D98" t="inlineStr">
        <is>
          <t>HALLANDS LÄN</t>
        </is>
      </c>
      <c r="E98" t="inlineStr">
        <is>
          <t>HALMSTAD</t>
        </is>
      </c>
      <c r="G98" t="n">
        <v>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30046-2023 artfynd.xlsx", "A 30046-2023")</f>
        <v/>
      </c>
      <c r="T98">
        <f>HYPERLINK("https://klasma.github.io/Logging_1380/kartor/A 30046-2023 karta.png", "A 30046-2023")</f>
        <v/>
      </c>
      <c r="V98">
        <f>HYPERLINK("https://klasma.github.io/Logging_1380/klagomål/A 30046-2023 FSC-klagomål.docx", "A 30046-2023")</f>
        <v/>
      </c>
      <c r="W98">
        <f>HYPERLINK("https://klasma.github.io/Logging_1380/klagomålsmail/A 30046-2023 FSC-klagomål mail.docx", "A 30046-2023")</f>
        <v/>
      </c>
      <c r="X98">
        <f>HYPERLINK("https://klasma.github.io/Logging_1380/tillsyn/A 30046-2023 tillsynsbegäran.docx", "A 30046-2023")</f>
        <v/>
      </c>
      <c r="Y98">
        <f>HYPERLINK("https://klasma.github.io/Logging_1380/tillsynsmail/A 30046-2023 tillsynsbegäran mail.docx", "A 30046-2023")</f>
        <v/>
      </c>
      <c r="Z98">
        <f>HYPERLINK("https://klasma.github.io/Logging_1380/fåglar/A 30046-2023 prioriterade fågelarter.docx", "A 30046-2023")</f>
        <v/>
      </c>
    </row>
    <row r="99" ht="15" customHeight="1">
      <c r="A99" t="inlineStr">
        <is>
          <t>A 33757-2023</t>
        </is>
      </c>
      <c r="B99" s="1" t="n">
        <v>45120</v>
      </c>
      <c r="C99" s="1" t="n">
        <v>45832</v>
      </c>
      <c r="D99" t="inlineStr">
        <is>
          <t>HALLANDS LÄN</t>
        </is>
      </c>
      <c r="E99" t="inlineStr">
        <is>
          <t>HALMSTAD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33757-2023 artfynd.xlsx", "A 33757-2023")</f>
        <v/>
      </c>
      <c r="T99">
        <f>HYPERLINK("https://klasma.github.io/Logging_1380/kartor/A 33757-2023 karta.png", "A 33757-2023")</f>
        <v/>
      </c>
      <c r="V99">
        <f>HYPERLINK("https://klasma.github.io/Logging_1380/klagomål/A 33757-2023 FSC-klagomål.docx", "A 33757-2023")</f>
        <v/>
      </c>
      <c r="W99">
        <f>HYPERLINK("https://klasma.github.io/Logging_1380/klagomålsmail/A 33757-2023 FSC-klagomål mail.docx", "A 33757-2023")</f>
        <v/>
      </c>
      <c r="X99">
        <f>HYPERLINK("https://klasma.github.io/Logging_1380/tillsyn/A 33757-2023 tillsynsbegäran.docx", "A 33757-2023")</f>
        <v/>
      </c>
      <c r="Y99">
        <f>HYPERLINK("https://klasma.github.io/Logging_1380/tillsynsmail/A 33757-2023 tillsynsbegäran mail.docx", "A 33757-2023")</f>
        <v/>
      </c>
    </row>
    <row r="100" ht="15" customHeight="1">
      <c r="A100" t="inlineStr">
        <is>
          <t>A 34831-2023</t>
        </is>
      </c>
      <c r="B100" s="1" t="n">
        <v>45141</v>
      </c>
      <c r="C100" s="1" t="n">
        <v>45832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HYPERLINK("https://klasma.github.io/Logging_1383/artfynd/A 34831-2023 artfynd.xlsx", "A 34831-2023")</f>
        <v/>
      </c>
      <c r="T100">
        <f>HYPERLINK("https://klasma.github.io/Logging_1383/kartor/A 34831-2023 karta.png", "A 34831-2023")</f>
        <v/>
      </c>
      <c r="V100">
        <f>HYPERLINK("https://klasma.github.io/Logging_1383/klagomål/A 34831-2023 FSC-klagomål.docx", "A 34831-2023")</f>
        <v/>
      </c>
      <c r="W100">
        <f>HYPERLINK("https://klasma.github.io/Logging_1383/klagomålsmail/A 34831-2023 FSC-klagomål mail.docx", "A 34831-2023")</f>
        <v/>
      </c>
      <c r="X100">
        <f>HYPERLINK("https://klasma.github.io/Logging_1383/tillsyn/A 34831-2023 tillsynsbegäran.docx", "A 34831-2023")</f>
        <v/>
      </c>
      <c r="Y100">
        <f>HYPERLINK("https://klasma.github.io/Logging_1383/tillsynsmail/A 34831-2023 tillsynsbegäran mail.docx", "A 34831-2023")</f>
        <v/>
      </c>
    </row>
    <row r="101" ht="15" customHeight="1">
      <c r="A101" t="inlineStr">
        <is>
          <t>A 34833-2023</t>
        </is>
      </c>
      <c r="B101" s="1" t="n">
        <v>45141</v>
      </c>
      <c r="C101" s="1" t="n">
        <v>45832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HYPERLINK("https://klasma.github.io/Logging_1383/artfynd/A 34833-2023 artfynd.xlsx", "A 34833-2023")</f>
        <v/>
      </c>
      <c r="T101">
        <f>HYPERLINK("https://klasma.github.io/Logging_1383/kartor/A 34833-2023 karta.png", "A 34833-2023")</f>
        <v/>
      </c>
      <c r="V101">
        <f>HYPERLINK("https://klasma.github.io/Logging_1383/klagomål/A 34833-2023 FSC-klagomål.docx", "A 34833-2023")</f>
        <v/>
      </c>
      <c r="W101">
        <f>HYPERLINK("https://klasma.github.io/Logging_1383/klagomålsmail/A 34833-2023 FSC-klagomål mail.docx", "A 34833-2023")</f>
        <v/>
      </c>
      <c r="X101">
        <f>HYPERLINK("https://klasma.github.io/Logging_1383/tillsyn/A 34833-2023 tillsynsbegäran.docx", "A 34833-2023")</f>
        <v/>
      </c>
      <c r="Y101">
        <f>HYPERLINK("https://klasma.github.io/Logging_1383/tillsynsmail/A 34833-2023 tillsynsbegäran mail.docx", "A 34833-2023")</f>
        <v/>
      </c>
    </row>
    <row r="102" ht="15" customHeight="1">
      <c r="A102" t="inlineStr">
        <is>
          <t>A 35453-2023</t>
        </is>
      </c>
      <c r="B102" s="1" t="n">
        <v>45146</v>
      </c>
      <c r="C102" s="1" t="n">
        <v>45832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36068-2023</t>
        </is>
      </c>
      <c r="B103" s="1" t="n">
        <v>45149</v>
      </c>
      <c r="C103" s="1" t="n">
        <v>45832</v>
      </c>
      <c r="D103" t="inlineStr">
        <is>
          <t>HALLANDS LÄN</t>
        </is>
      </c>
      <c r="E103" t="inlineStr">
        <is>
          <t>KUNGSBACKA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HYPERLINK("https://klasma.github.io/Logging_1384/artfynd/A 36068-2023 artfynd.xlsx", "A 36068-2023")</f>
        <v/>
      </c>
      <c r="T103">
        <f>HYPERLINK("https://klasma.github.io/Logging_1384/kartor/A 36068-2023 karta.png", "A 36068-2023")</f>
        <v/>
      </c>
      <c r="V103">
        <f>HYPERLINK("https://klasma.github.io/Logging_1384/klagomål/A 36068-2023 FSC-klagomål.docx", "A 36068-2023")</f>
        <v/>
      </c>
      <c r="W103">
        <f>HYPERLINK("https://klasma.github.io/Logging_1384/klagomålsmail/A 36068-2023 FSC-klagomål mail.docx", "A 36068-2023")</f>
        <v/>
      </c>
      <c r="X103">
        <f>HYPERLINK("https://klasma.github.io/Logging_1384/tillsyn/A 36068-2023 tillsynsbegäran.docx", "A 36068-2023")</f>
        <v/>
      </c>
      <c r="Y103">
        <f>HYPERLINK("https://klasma.github.io/Logging_1384/tillsynsmail/A 36068-2023 tillsynsbegäran mail.docx", "A 36068-2023")</f>
        <v/>
      </c>
      <c r="Z103">
        <f>HYPERLINK("https://klasma.github.io/Logging_1384/fåglar/A 36068-2023 prioriterade fågelarter.docx", "A 36068-2023")</f>
        <v/>
      </c>
    </row>
    <row r="104" ht="15" customHeight="1">
      <c r="A104" t="inlineStr">
        <is>
          <t>A 37556-2023</t>
        </is>
      </c>
      <c r="B104" s="1" t="n">
        <v>45159</v>
      </c>
      <c r="C104" s="1" t="n">
        <v>45832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Vildris</t>
        </is>
      </c>
      <c r="S104">
        <f>HYPERLINK("https://klasma.github.io/Logging_1381/artfynd/A 37556-2023 artfynd.xlsx", "A 37556-2023")</f>
        <v/>
      </c>
      <c r="T104">
        <f>HYPERLINK("https://klasma.github.io/Logging_1381/kartor/A 37556-2023 karta.png", "A 37556-2023")</f>
        <v/>
      </c>
      <c r="V104">
        <f>HYPERLINK("https://klasma.github.io/Logging_1381/klagomål/A 37556-2023 FSC-klagomål.docx", "A 37556-2023")</f>
        <v/>
      </c>
      <c r="W104">
        <f>HYPERLINK("https://klasma.github.io/Logging_1381/klagomålsmail/A 37556-2023 FSC-klagomål mail.docx", "A 37556-2023")</f>
        <v/>
      </c>
      <c r="X104">
        <f>HYPERLINK("https://klasma.github.io/Logging_1381/tillsyn/A 37556-2023 tillsynsbegäran.docx", "A 37556-2023")</f>
        <v/>
      </c>
      <c r="Y104">
        <f>HYPERLINK("https://klasma.github.io/Logging_1381/tillsynsmail/A 37556-2023 tillsynsbegäran mail.docx", "A 37556-2023")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45832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40523-2023</t>
        </is>
      </c>
      <c r="B106" s="1" t="n">
        <v>45168</v>
      </c>
      <c r="C106" s="1" t="n">
        <v>45832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40523-2023 artfynd.xlsx", "A 40523-2023")</f>
        <v/>
      </c>
      <c r="T106">
        <f>HYPERLINK("https://klasma.github.io/Logging_1380/kartor/A 40523-2023 karta.png", "A 40523-2023")</f>
        <v/>
      </c>
      <c r="V106">
        <f>HYPERLINK("https://klasma.github.io/Logging_1380/klagomål/A 40523-2023 FSC-klagomål.docx", "A 40523-2023")</f>
        <v/>
      </c>
      <c r="W106">
        <f>HYPERLINK("https://klasma.github.io/Logging_1380/klagomålsmail/A 40523-2023 FSC-klagomål mail.docx", "A 40523-2023")</f>
        <v/>
      </c>
      <c r="X106">
        <f>HYPERLINK("https://klasma.github.io/Logging_1380/tillsyn/A 40523-2023 tillsynsbegäran.docx", "A 40523-2023")</f>
        <v/>
      </c>
      <c r="Y106">
        <f>HYPERLINK("https://klasma.github.io/Logging_1380/tillsynsmail/A 40523-2023 tillsynsbegäran mail.docx", "A 40523-2023")</f>
        <v/>
      </c>
      <c r="Z106">
        <f>HYPERLINK("https://klasma.github.io/Logging_1380/fåglar/A 40523-2023 prioriterade fågelarter.docx", "A 40523-2023")</f>
        <v/>
      </c>
    </row>
    <row r="107" ht="15" customHeight="1">
      <c r="A107" t="inlineStr">
        <is>
          <t>A 40650-2023</t>
        </is>
      </c>
      <c r="B107" s="1" t="n">
        <v>45168</v>
      </c>
      <c r="C107" s="1" t="n">
        <v>45832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HYPERLINK("https://klasma.github.io/Logging_1380/artfynd/A 40650-2023 artfynd.xlsx", "A 40650-2023")</f>
        <v/>
      </c>
      <c r="T107">
        <f>HYPERLINK("https://klasma.github.io/Logging_1380/kartor/A 40650-2023 karta.png", "A 40650-2023")</f>
        <v/>
      </c>
      <c r="V107">
        <f>HYPERLINK("https://klasma.github.io/Logging_1380/klagomål/A 40650-2023 FSC-klagomål.docx", "A 40650-2023")</f>
        <v/>
      </c>
      <c r="W107">
        <f>HYPERLINK("https://klasma.github.io/Logging_1380/klagomålsmail/A 40650-2023 FSC-klagomål mail.docx", "A 40650-2023")</f>
        <v/>
      </c>
      <c r="X107">
        <f>HYPERLINK("https://klasma.github.io/Logging_1380/tillsyn/A 40650-2023 tillsynsbegäran.docx", "A 40650-2023")</f>
        <v/>
      </c>
      <c r="Y107">
        <f>HYPERLINK("https://klasma.github.io/Logging_1380/tillsynsmail/A 40650-2023 tillsynsbegäran mail.docx", "A 40650-2023")</f>
        <v/>
      </c>
    </row>
    <row r="108" ht="15" customHeight="1">
      <c r="A108" t="inlineStr">
        <is>
          <t>A 40531-2023</t>
        </is>
      </c>
      <c r="B108" s="1" t="n">
        <v>45168</v>
      </c>
      <c r="C108" s="1" t="n">
        <v>45832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4.2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40531-2023 artfynd.xlsx", "A 40531-2023")</f>
        <v/>
      </c>
      <c r="T108">
        <f>HYPERLINK("https://klasma.github.io/Logging_1380/kartor/A 40531-2023 karta.png", "A 40531-2023")</f>
        <v/>
      </c>
      <c r="V108">
        <f>HYPERLINK("https://klasma.github.io/Logging_1380/klagomål/A 40531-2023 FSC-klagomål.docx", "A 40531-2023")</f>
        <v/>
      </c>
      <c r="W108">
        <f>HYPERLINK("https://klasma.github.io/Logging_1380/klagomålsmail/A 40531-2023 FSC-klagomål mail.docx", "A 40531-2023")</f>
        <v/>
      </c>
      <c r="X108">
        <f>HYPERLINK("https://klasma.github.io/Logging_1380/tillsyn/A 40531-2023 tillsynsbegäran.docx", "A 40531-2023")</f>
        <v/>
      </c>
      <c r="Y108">
        <f>HYPERLINK("https://klasma.github.io/Logging_1380/tillsynsmail/A 40531-2023 tillsynsbegäran mail.docx", "A 40531-2023")</f>
        <v/>
      </c>
      <c r="Z108">
        <f>HYPERLINK("https://klasma.github.io/Logging_1380/fåglar/A 40531-2023 prioriterade fågelarter.docx", "A 40531-2023")</f>
        <v/>
      </c>
    </row>
    <row r="109" ht="15" customHeight="1">
      <c r="A109" t="inlineStr">
        <is>
          <t>A 42311-2023</t>
        </is>
      </c>
      <c r="B109" s="1" t="n">
        <v>45175</v>
      </c>
      <c r="C109" s="1" t="n">
        <v>45832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42311-2023 artfynd.xlsx", "A 42311-2023")</f>
        <v/>
      </c>
      <c r="T109">
        <f>HYPERLINK("https://klasma.github.io/Logging_1380/kartor/A 42311-2023 karta.png", "A 42311-2023")</f>
        <v/>
      </c>
      <c r="V109">
        <f>HYPERLINK("https://klasma.github.io/Logging_1380/klagomål/A 42311-2023 FSC-klagomål.docx", "A 42311-2023")</f>
        <v/>
      </c>
      <c r="W109">
        <f>HYPERLINK("https://klasma.github.io/Logging_1380/klagomålsmail/A 42311-2023 FSC-klagomål mail.docx", "A 42311-2023")</f>
        <v/>
      </c>
      <c r="X109">
        <f>HYPERLINK("https://klasma.github.io/Logging_1380/tillsyn/A 42311-2023 tillsynsbegäran.docx", "A 42311-2023")</f>
        <v/>
      </c>
      <c r="Y109">
        <f>HYPERLINK("https://klasma.github.io/Logging_1380/tillsynsmail/A 42311-2023 tillsynsbegäran mail.docx", "A 42311-2023")</f>
        <v/>
      </c>
    </row>
    <row r="110" ht="15" customHeight="1">
      <c r="A110" t="inlineStr">
        <is>
          <t>A 46459-2023</t>
        </is>
      </c>
      <c r="B110" s="1" t="n">
        <v>45197</v>
      </c>
      <c r="C110" s="1" t="n">
        <v>45832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5.4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Drillsnäppa</t>
        </is>
      </c>
      <c r="S110">
        <f>HYPERLINK("https://klasma.github.io/Logging_1384/artfynd/A 46459-2023 artfynd.xlsx", "A 46459-2023")</f>
        <v/>
      </c>
      <c r="T110">
        <f>HYPERLINK("https://klasma.github.io/Logging_1384/kartor/A 46459-2023 karta.png", "A 46459-2023")</f>
        <v/>
      </c>
      <c r="V110">
        <f>HYPERLINK("https://klasma.github.io/Logging_1384/klagomål/A 46459-2023 FSC-klagomål.docx", "A 46459-2023")</f>
        <v/>
      </c>
      <c r="W110">
        <f>HYPERLINK("https://klasma.github.io/Logging_1384/klagomålsmail/A 46459-2023 FSC-klagomål mail.docx", "A 46459-2023")</f>
        <v/>
      </c>
      <c r="X110">
        <f>HYPERLINK("https://klasma.github.io/Logging_1384/tillsyn/A 46459-2023 tillsynsbegäran.docx", "A 46459-2023")</f>
        <v/>
      </c>
      <c r="Y110">
        <f>HYPERLINK("https://klasma.github.io/Logging_1384/tillsynsmail/A 46459-2023 tillsynsbegäran mail.docx", "A 46459-2023")</f>
        <v/>
      </c>
    </row>
    <row r="111" ht="15" customHeight="1">
      <c r="A111" t="inlineStr">
        <is>
          <t>A 47773-2023</t>
        </is>
      </c>
      <c r="B111" s="1" t="n">
        <v>45203</v>
      </c>
      <c r="C111" s="1" t="n">
        <v>45832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HYPERLINK("https://klasma.github.io/Logging_1380/artfynd/A 47773-2023 artfynd.xlsx", "A 47773-2023")</f>
        <v/>
      </c>
      <c r="T111">
        <f>HYPERLINK("https://klasma.github.io/Logging_1380/kartor/A 47773-2023 karta.png", "A 47773-2023")</f>
        <v/>
      </c>
      <c r="V111">
        <f>HYPERLINK("https://klasma.github.io/Logging_1380/klagomål/A 47773-2023 FSC-klagomål.docx", "A 47773-2023")</f>
        <v/>
      </c>
      <c r="W111">
        <f>HYPERLINK("https://klasma.github.io/Logging_1380/klagomålsmail/A 47773-2023 FSC-klagomål mail.docx", "A 47773-2023")</f>
        <v/>
      </c>
      <c r="X111">
        <f>HYPERLINK("https://klasma.github.io/Logging_1380/tillsyn/A 47773-2023 tillsynsbegäran.docx", "A 47773-2023")</f>
        <v/>
      </c>
      <c r="Y111">
        <f>HYPERLINK("https://klasma.github.io/Logging_1380/tillsynsmail/A 47773-2023 tillsynsbegäran mail.docx", "A 47773-2023")</f>
        <v/>
      </c>
    </row>
    <row r="112" ht="15" customHeight="1">
      <c r="A112" t="inlineStr">
        <is>
          <t>A 47997-2023</t>
        </is>
      </c>
      <c r="B112" s="1" t="n">
        <v>45204</v>
      </c>
      <c r="C112" s="1" t="n">
        <v>45832</v>
      </c>
      <c r="D112" t="inlineStr">
        <is>
          <t>HALLANDS LÄN</t>
        </is>
      </c>
      <c r="E112" t="inlineStr">
        <is>
          <t>HALMSTAD</t>
        </is>
      </c>
      <c r="G112" t="n">
        <v>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HYPERLINK("https://klasma.github.io/Logging_1380/artfynd/A 47997-2023 artfynd.xlsx", "A 47997-2023")</f>
        <v/>
      </c>
      <c r="T112">
        <f>HYPERLINK("https://klasma.github.io/Logging_1380/kartor/A 47997-2023 karta.png", "A 47997-2023")</f>
        <v/>
      </c>
      <c r="V112">
        <f>HYPERLINK("https://klasma.github.io/Logging_1380/klagomål/A 47997-2023 FSC-klagomål.docx", "A 47997-2023")</f>
        <v/>
      </c>
      <c r="W112">
        <f>HYPERLINK("https://klasma.github.io/Logging_1380/klagomålsmail/A 47997-2023 FSC-klagomål mail.docx", "A 47997-2023")</f>
        <v/>
      </c>
      <c r="X112">
        <f>HYPERLINK("https://klasma.github.io/Logging_1380/tillsyn/A 47997-2023 tillsynsbegäran.docx", "A 47997-2023")</f>
        <v/>
      </c>
      <c r="Y112">
        <f>HYPERLINK("https://klasma.github.io/Logging_1380/tillsynsmail/A 47997-2023 tillsynsbegäran mail.docx", "A 47997-2023")</f>
        <v/>
      </c>
    </row>
    <row r="113" ht="15" customHeight="1">
      <c r="A113" t="inlineStr">
        <is>
          <t>A 48281-2023</t>
        </is>
      </c>
      <c r="B113" s="1" t="n">
        <v>45205</v>
      </c>
      <c r="C113" s="1" t="n">
        <v>45832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HYPERLINK("https://klasma.github.io/Logging_1381/artfynd/A 48281-2023 artfynd.xlsx", "A 48281-2023")</f>
        <v/>
      </c>
      <c r="T113">
        <f>HYPERLINK("https://klasma.github.io/Logging_1381/kartor/A 48281-2023 karta.png", "A 48281-2023")</f>
        <v/>
      </c>
      <c r="V113">
        <f>HYPERLINK("https://klasma.github.io/Logging_1381/klagomål/A 48281-2023 FSC-klagomål.docx", "A 48281-2023")</f>
        <v/>
      </c>
      <c r="W113">
        <f>HYPERLINK("https://klasma.github.io/Logging_1381/klagomålsmail/A 48281-2023 FSC-klagomål mail.docx", "A 48281-2023")</f>
        <v/>
      </c>
      <c r="X113">
        <f>HYPERLINK("https://klasma.github.io/Logging_1381/tillsyn/A 48281-2023 tillsynsbegäran.docx", "A 48281-2023")</f>
        <v/>
      </c>
      <c r="Y113">
        <f>HYPERLINK("https://klasma.github.io/Logging_1381/tillsynsmail/A 48281-2023 tillsynsbegäran mail.docx", "A 48281-2023")</f>
        <v/>
      </c>
    </row>
    <row r="114" ht="15" customHeight="1">
      <c r="A114" t="inlineStr">
        <is>
          <t>A 55580-2023</t>
        </is>
      </c>
      <c r="B114" s="1" t="n">
        <v>45238</v>
      </c>
      <c r="C114" s="1" t="n">
        <v>45832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HYPERLINK("https://klasma.github.io/Logging_1380/artfynd/A 55580-2023 artfynd.xlsx", "A 55580-2023")</f>
        <v/>
      </c>
      <c r="T114">
        <f>HYPERLINK("https://klasma.github.io/Logging_1380/kartor/A 55580-2023 karta.png", "A 55580-2023")</f>
        <v/>
      </c>
      <c r="V114">
        <f>HYPERLINK("https://klasma.github.io/Logging_1380/klagomål/A 55580-2023 FSC-klagomål.docx", "A 55580-2023")</f>
        <v/>
      </c>
      <c r="W114">
        <f>HYPERLINK("https://klasma.github.io/Logging_1380/klagomålsmail/A 55580-2023 FSC-klagomål mail.docx", "A 55580-2023")</f>
        <v/>
      </c>
      <c r="X114">
        <f>HYPERLINK("https://klasma.github.io/Logging_1380/tillsyn/A 55580-2023 tillsynsbegäran.docx", "A 55580-2023")</f>
        <v/>
      </c>
      <c r="Y114">
        <f>HYPERLINK("https://klasma.github.io/Logging_1380/tillsynsmail/A 55580-2023 tillsynsbegäran mail.docx", "A 55580-2023")</f>
        <v/>
      </c>
    </row>
    <row r="115" ht="15" customHeight="1">
      <c r="A115" t="inlineStr">
        <is>
          <t>A 55880-2023</t>
        </is>
      </c>
      <c r="B115" s="1" t="n">
        <v>45239</v>
      </c>
      <c r="C115" s="1" t="n">
        <v>45832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HYPERLINK("https://klasma.github.io/Logging_1382/artfynd/A 55880-2023 artfynd.xlsx", "A 55880-2023")</f>
        <v/>
      </c>
      <c r="T115">
        <f>HYPERLINK("https://klasma.github.io/Logging_1382/kartor/A 55880-2023 karta.png", "A 55880-2023")</f>
        <v/>
      </c>
      <c r="V115">
        <f>HYPERLINK("https://klasma.github.io/Logging_1382/klagomål/A 55880-2023 FSC-klagomål.docx", "A 55880-2023")</f>
        <v/>
      </c>
      <c r="W115">
        <f>HYPERLINK("https://klasma.github.io/Logging_1382/klagomålsmail/A 55880-2023 FSC-klagomål mail.docx", "A 55880-2023")</f>
        <v/>
      </c>
      <c r="X115">
        <f>HYPERLINK("https://klasma.github.io/Logging_1382/tillsyn/A 55880-2023 tillsynsbegäran.docx", "A 55880-2023")</f>
        <v/>
      </c>
      <c r="Y115">
        <f>HYPERLINK("https://klasma.github.io/Logging_1382/tillsynsmail/A 55880-2023 tillsynsbegäran mail.docx", "A 55880-2023")</f>
        <v/>
      </c>
    </row>
    <row r="116" ht="15" customHeight="1">
      <c r="A116" t="inlineStr">
        <is>
          <t>A 57230-2023</t>
        </is>
      </c>
      <c r="B116" s="1" t="n">
        <v>45245</v>
      </c>
      <c r="C116" s="1" t="n">
        <v>45832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HYPERLINK("https://klasma.github.io/Logging_1315/artfynd/A 57230-2023 artfynd.xlsx", "A 57230-2023")</f>
        <v/>
      </c>
      <c r="T116">
        <f>HYPERLINK("https://klasma.github.io/Logging_1315/kartor/A 57230-2023 karta.png", "A 57230-2023")</f>
        <v/>
      </c>
      <c r="V116">
        <f>HYPERLINK("https://klasma.github.io/Logging_1315/klagomål/A 57230-2023 FSC-klagomål.docx", "A 57230-2023")</f>
        <v/>
      </c>
      <c r="W116">
        <f>HYPERLINK("https://klasma.github.io/Logging_1315/klagomålsmail/A 57230-2023 FSC-klagomål mail.docx", "A 57230-2023")</f>
        <v/>
      </c>
      <c r="X116">
        <f>HYPERLINK("https://klasma.github.io/Logging_1315/tillsyn/A 57230-2023 tillsynsbegäran.docx", "A 57230-2023")</f>
        <v/>
      </c>
      <c r="Y116">
        <f>HYPERLINK("https://klasma.github.io/Logging_1315/tillsynsmail/A 57230-2023 tillsynsbegäran mail.docx", "A 57230-2023")</f>
        <v/>
      </c>
    </row>
    <row r="117" ht="15" customHeight="1">
      <c r="A117" t="inlineStr">
        <is>
          <t>A 58664-2023</t>
        </is>
      </c>
      <c r="B117" s="1" t="n">
        <v>45251</v>
      </c>
      <c r="C117" s="1" t="n">
        <v>45832</v>
      </c>
      <c r="D117" t="inlineStr">
        <is>
          <t>HALLANDS LÄN</t>
        </is>
      </c>
      <c r="E117" t="inlineStr">
        <is>
          <t>FALKENBERG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58664-2023 artfynd.xlsx", "A 58664-2023")</f>
        <v/>
      </c>
      <c r="T117">
        <f>HYPERLINK("https://klasma.github.io/Logging_1382/kartor/A 58664-2023 karta.png", "A 58664-2023")</f>
        <v/>
      </c>
      <c r="V117">
        <f>HYPERLINK("https://klasma.github.io/Logging_1382/klagomål/A 58664-2023 FSC-klagomål.docx", "A 58664-2023")</f>
        <v/>
      </c>
      <c r="W117">
        <f>HYPERLINK("https://klasma.github.io/Logging_1382/klagomålsmail/A 58664-2023 FSC-klagomål mail.docx", "A 58664-2023")</f>
        <v/>
      </c>
      <c r="X117">
        <f>HYPERLINK("https://klasma.github.io/Logging_1382/tillsyn/A 58664-2023 tillsynsbegäran.docx", "A 58664-2023")</f>
        <v/>
      </c>
      <c r="Y117">
        <f>HYPERLINK("https://klasma.github.io/Logging_1382/tillsynsmail/A 58664-2023 tillsynsbegäran mail.docx", "A 58664-2023")</f>
        <v/>
      </c>
    </row>
    <row r="118" ht="15" customHeight="1">
      <c r="A118" t="inlineStr">
        <is>
          <t>A 60387-2023</t>
        </is>
      </c>
      <c r="B118" s="1" t="n">
        <v>45259</v>
      </c>
      <c r="C118" s="1" t="n">
        <v>45832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HYPERLINK("https://klasma.github.io/Logging_1380/artfynd/A 60387-2023 artfynd.xlsx", "A 60387-2023")</f>
        <v/>
      </c>
      <c r="T118">
        <f>HYPERLINK("https://klasma.github.io/Logging_1380/kartor/A 60387-2023 karta.png", "A 60387-2023")</f>
        <v/>
      </c>
      <c r="V118">
        <f>HYPERLINK("https://klasma.github.io/Logging_1380/klagomål/A 60387-2023 FSC-klagomål.docx", "A 60387-2023")</f>
        <v/>
      </c>
      <c r="W118">
        <f>HYPERLINK("https://klasma.github.io/Logging_1380/klagomålsmail/A 60387-2023 FSC-klagomål mail.docx", "A 60387-2023")</f>
        <v/>
      </c>
      <c r="X118">
        <f>HYPERLINK("https://klasma.github.io/Logging_1380/tillsyn/A 60387-2023 tillsynsbegäran.docx", "A 60387-2023")</f>
        <v/>
      </c>
      <c r="Y118">
        <f>HYPERLINK("https://klasma.github.io/Logging_1380/tillsynsmail/A 60387-2023 tillsynsbegäran mail.docx", "A 60387-2023")</f>
        <v/>
      </c>
      <c r="Z118">
        <f>HYPERLINK("https://klasma.github.io/Logging_1380/fåglar/A 60387-2023 prioriterade fågelarter.docx", "A 60387-2023")</f>
        <v/>
      </c>
    </row>
    <row r="119" ht="15" customHeight="1">
      <c r="A119" t="inlineStr">
        <is>
          <t>A 61519-2023</t>
        </is>
      </c>
      <c r="B119" s="1" t="n">
        <v>45265</v>
      </c>
      <c r="C119" s="1" t="n">
        <v>45832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15.9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61519-2023 artfynd.xlsx", "A 61519-2023")</f>
        <v/>
      </c>
      <c r="T119">
        <f>HYPERLINK("https://klasma.github.io/Logging_1381/kartor/A 61519-2023 karta.png", "A 61519-2023")</f>
        <v/>
      </c>
      <c r="V119">
        <f>HYPERLINK("https://klasma.github.io/Logging_1381/klagomål/A 61519-2023 FSC-klagomål.docx", "A 61519-2023")</f>
        <v/>
      </c>
      <c r="W119">
        <f>HYPERLINK("https://klasma.github.io/Logging_1381/klagomålsmail/A 61519-2023 FSC-klagomål mail.docx", "A 61519-2023")</f>
        <v/>
      </c>
      <c r="X119">
        <f>HYPERLINK("https://klasma.github.io/Logging_1381/tillsyn/A 61519-2023 tillsynsbegäran.docx", "A 61519-2023")</f>
        <v/>
      </c>
      <c r="Y119">
        <f>HYPERLINK("https://klasma.github.io/Logging_1381/tillsynsmail/A 61519-2023 tillsynsbegäran mail.docx", "A 61519-2023")</f>
        <v/>
      </c>
      <c r="Z119">
        <f>HYPERLINK("https://klasma.github.io/Logging_1381/fåglar/A 61519-2023 prioriterade fågelarter.docx", "A 61519-2023")</f>
        <v/>
      </c>
    </row>
    <row r="120" ht="15" customHeight="1">
      <c r="A120" t="inlineStr">
        <is>
          <t>A 63247-2023</t>
        </is>
      </c>
      <c r="B120" s="1" t="n">
        <v>45273</v>
      </c>
      <c r="C120" s="1" t="n">
        <v>45832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Myskbock</t>
        </is>
      </c>
      <c r="S120">
        <f>HYPERLINK("https://klasma.github.io/Logging_1382/artfynd/A 63247-2023 artfynd.xlsx", "A 63247-2023")</f>
        <v/>
      </c>
      <c r="T120">
        <f>HYPERLINK("https://klasma.github.io/Logging_1382/kartor/A 63247-2023 karta.png", "A 63247-2023")</f>
        <v/>
      </c>
      <c r="V120">
        <f>HYPERLINK("https://klasma.github.io/Logging_1382/klagomål/A 63247-2023 FSC-klagomål.docx", "A 63247-2023")</f>
        <v/>
      </c>
      <c r="W120">
        <f>HYPERLINK("https://klasma.github.io/Logging_1382/klagomålsmail/A 63247-2023 FSC-klagomål mail.docx", "A 63247-2023")</f>
        <v/>
      </c>
      <c r="X120">
        <f>HYPERLINK("https://klasma.github.io/Logging_1382/tillsyn/A 63247-2023 tillsynsbegäran.docx", "A 63247-2023")</f>
        <v/>
      </c>
      <c r="Y120">
        <f>HYPERLINK("https://klasma.github.io/Logging_1382/tillsynsmail/A 63247-2023 tillsynsbegäran mail.docx", "A 63247-2023")</f>
        <v/>
      </c>
    </row>
    <row r="121" ht="15" customHeight="1">
      <c r="A121" t="inlineStr">
        <is>
          <t>A 2988-2024</t>
        </is>
      </c>
      <c r="B121" s="1" t="n">
        <v>45315</v>
      </c>
      <c r="C121" s="1" t="n">
        <v>45832</v>
      </c>
      <c r="D121" t="inlineStr">
        <is>
          <t>HALLANDS LÄN</t>
        </is>
      </c>
      <c r="E121" t="inlineStr">
        <is>
          <t>KUNGSBACKA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HYPERLINK("https://klasma.github.io/Logging_1384/artfynd/A 2988-2024 artfynd.xlsx", "A 2988-2024")</f>
        <v/>
      </c>
      <c r="T121">
        <f>HYPERLINK("https://klasma.github.io/Logging_1384/kartor/A 2988-2024 karta.png", "A 2988-2024")</f>
        <v/>
      </c>
      <c r="V121">
        <f>HYPERLINK("https://klasma.github.io/Logging_1384/klagomål/A 2988-2024 FSC-klagomål.docx", "A 2988-2024")</f>
        <v/>
      </c>
      <c r="W121">
        <f>HYPERLINK("https://klasma.github.io/Logging_1384/klagomålsmail/A 2988-2024 FSC-klagomål mail.docx", "A 2988-2024")</f>
        <v/>
      </c>
      <c r="X121">
        <f>HYPERLINK("https://klasma.github.io/Logging_1384/tillsyn/A 2988-2024 tillsynsbegäran.docx", "A 2988-2024")</f>
        <v/>
      </c>
      <c r="Y121">
        <f>HYPERLINK("https://klasma.github.io/Logging_1384/tillsynsmail/A 2988-2024 tillsynsbegäran mail.docx", "A 2988-2024")</f>
        <v/>
      </c>
    </row>
    <row r="122" ht="15" customHeight="1">
      <c r="A122" t="inlineStr">
        <is>
          <t>A 2994-2024</t>
        </is>
      </c>
      <c r="B122" s="1" t="n">
        <v>45315</v>
      </c>
      <c r="C122" s="1" t="n">
        <v>45832</v>
      </c>
      <c r="D122" t="inlineStr">
        <is>
          <t>HALLANDS LÄN</t>
        </is>
      </c>
      <c r="E122" t="inlineStr">
        <is>
          <t>HALMSTAD</t>
        </is>
      </c>
      <c r="G122" t="n">
        <v>7.9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HYPERLINK("https://klasma.github.io/Logging_1380/artfynd/A 2994-2024 artfynd.xlsx", "A 2994-2024")</f>
        <v/>
      </c>
      <c r="T122">
        <f>HYPERLINK("https://klasma.github.io/Logging_1380/kartor/A 2994-2024 karta.png", "A 2994-2024")</f>
        <v/>
      </c>
      <c r="V122">
        <f>HYPERLINK("https://klasma.github.io/Logging_1380/klagomål/A 2994-2024 FSC-klagomål.docx", "A 2994-2024")</f>
        <v/>
      </c>
      <c r="W122">
        <f>HYPERLINK("https://klasma.github.io/Logging_1380/klagomålsmail/A 2994-2024 FSC-klagomål mail.docx", "A 2994-2024")</f>
        <v/>
      </c>
      <c r="X122">
        <f>HYPERLINK("https://klasma.github.io/Logging_1380/tillsyn/A 2994-2024 tillsynsbegäran.docx", "A 2994-2024")</f>
        <v/>
      </c>
      <c r="Y122">
        <f>HYPERLINK("https://klasma.github.io/Logging_1380/tillsynsmail/A 2994-2024 tillsynsbegäran mail.docx", "A 2994-2024")</f>
        <v/>
      </c>
    </row>
    <row r="123" ht="15" customHeight="1">
      <c r="A123" t="inlineStr">
        <is>
          <t>A 3369-2024</t>
        </is>
      </c>
      <c r="B123" s="1" t="n">
        <v>45317</v>
      </c>
      <c r="C123" s="1" t="n">
        <v>45832</v>
      </c>
      <c r="D123" t="inlineStr">
        <is>
          <t>HALLANDS LÄN</t>
        </is>
      </c>
      <c r="E123" t="inlineStr">
        <is>
          <t>VARBERG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Brödmärgsticka</t>
        </is>
      </c>
      <c r="S123">
        <f>HYPERLINK("https://klasma.github.io/Logging_1383/artfynd/A 3369-2024 artfynd.xlsx", "A 3369-2024")</f>
        <v/>
      </c>
      <c r="T123">
        <f>HYPERLINK("https://klasma.github.io/Logging_1383/kartor/A 3369-2024 karta.png", "A 3369-2024")</f>
        <v/>
      </c>
      <c r="V123">
        <f>HYPERLINK("https://klasma.github.io/Logging_1383/klagomål/A 3369-2024 FSC-klagomål.docx", "A 3369-2024")</f>
        <v/>
      </c>
      <c r="W123">
        <f>HYPERLINK("https://klasma.github.io/Logging_1383/klagomålsmail/A 3369-2024 FSC-klagomål mail.docx", "A 3369-2024")</f>
        <v/>
      </c>
      <c r="X123">
        <f>HYPERLINK("https://klasma.github.io/Logging_1383/tillsyn/A 3369-2024 tillsynsbegäran.docx", "A 3369-2024")</f>
        <v/>
      </c>
      <c r="Y123">
        <f>HYPERLINK("https://klasma.github.io/Logging_1383/tillsynsmail/A 3369-2024 tillsynsbegäran mail.docx", "A 3369-2024")</f>
        <v/>
      </c>
    </row>
    <row r="124" ht="15" customHeight="1">
      <c r="A124" t="inlineStr">
        <is>
          <t>A 7006-2024</t>
        </is>
      </c>
      <c r="B124" s="1" t="n">
        <v>45343</v>
      </c>
      <c r="C124" s="1" t="n">
        <v>45832</v>
      </c>
      <c r="D124" t="inlineStr">
        <is>
          <t>HALLANDS LÄN</t>
        </is>
      </c>
      <c r="E124" t="inlineStr">
        <is>
          <t>HYLTE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HYPERLINK("https://klasma.github.io/Logging_1315/artfynd/A 7006-2024 artfynd.xlsx", "A 7006-2024")</f>
        <v/>
      </c>
      <c r="T124">
        <f>HYPERLINK("https://klasma.github.io/Logging_1315/kartor/A 7006-2024 karta.png", "A 7006-2024")</f>
        <v/>
      </c>
      <c r="V124">
        <f>HYPERLINK("https://klasma.github.io/Logging_1315/klagomål/A 7006-2024 FSC-klagomål.docx", "A 7006-2024")</f>
        <v/>
      </c>
      <c r="W124">
        <f>HYPERLINK("https://klasma.github.io/Logging_1315/klagomålsmail/A 7006-2024 FSC-klagomål mail.docx", "A 7006-2024")</f>
        <v/>
      </c>
      <c r="X124">
        <f>HYPERLINK("https://klasma.github.io/Logging_1315/tillsyn/A 7006-2024 tillsynsbegäran.docx", "A 7006-2024")</f>
        <v/>
      </c>
      <c r="Y124">
        <f>HYPERLINK("https://klasma.github.io/Logging_1315/tillsynsmail/A 7006-2024 tillsynsbegäran mail.docx", "A 7006-2024")</f>
        <v/>
      </c>
    </row>
    <row r="125" ht="15" customHeight="1">
      <c r="A125" t="inlineStr">
        <is>
          <t>A 8102-2024</t>
        </is>
      </c>
      <c r="B125" s="1" t="n">
        <v>45351</v>
      </c>
      <c r="C125" s="1" t="n">
        <v>45832</v>
      </c>
      <c r="D125" t="inlineStr">
        <is>
          <t>HALLANDS LÄN</t>
        </is>
      </c>
      <c r="E125" t="inlineStr">
        <is>
          <t>HALMSTAD</t>
        </is>
      </c>
      <c r="G125" t="n">
        <v>7.6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Fjällvråk</t>
        </is>
      </c>
      <c r="S125">
        <f>HYPERLINK("https://klasma.github.io/Logging_1380/artfynd/A 8102-2024 artfynd.xlsx", "A 8102-2024")</f>
        <v/>
      </c>
      <c r="T125">
        <f>HYPERLINK("https://klasma.github.io/Logging_1380/kartor/A 8102-2024 karta.png", "A 8102-2024")</f>
        <v/>
      </c>
      <c r="V125">
        <f>HYPERLINK("https://klasma.github.io/Logging_1380/klagomål/A 8102-2024 FSC-klagomål.docx", "A 8102-2024")</f>
        <v/>
      </c>
      <c r="W125">
        <f>HYPERLINK("https://klasma.github.io/Logging_1380/klagomålsmail/A 8102-2024 FSC-klagomål mail.docx", "A 8102-2024")</f>
        <v/>
      </c>
      <c r="X125">
        <f>HYPERLINK("https://klasma.github.io/Logging_1380/tillsyn/A 8102-2024 tillsynsbegäran.docx", "A 8102-2024")</f>
        <v/>
      </c>
      <c r="Y125">
        <f>HYPERLINK("https://klasma.github.io/Logging_1380/tillsynsmail/A 8102-2024 tillsynsbegäran mail.docx", "A 8102-2024")</f>
        <v/>
      </c>
      <c r="Z125">
        <f>HYPERLINK("https://klasma.github.io/Logging_1380/fåglar/A 8102-2024 prioriterade fågelarter.docx", "A 8102-2024")</f>
        <v/>
      </c>
    </row>
    <row r="126" ht="15" customHeight="1">
      <c r="A126" t="inlineStr">
        <is>
          <t>A 9999-2024</t>
        </is>
      </c>
      <c r="B126" s="1" t="n">
        <v>45363</v>
      </c>
      <c r="C126" s="1" t="n">
        <v>45832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Åkerfibbla</t>
        </is>
      </c>
      <c r="S126">
        <f>HYPERLINK("https://klasma.github.io/Logging_1382/artfynd/A 9999-2024 artfynd.xlsx", "A 9999-2024")</f>
        <v/>
      </c>
      <c r="T126">
        <f>HYPERLINK("https://klasma.github.io/Logging_1382/kartor/A 9999-2024 karta.png", "A 9999-2024")</f>
        <v/>
      </c>
      <c r="V126">
        <f>HYPERLINK("https://klasma.github.io/Logging_1382/klagomål/A 9999-2024 FSC-klagomål.docx", "A 9999-2024")</f>
        <v/>
      </c>
      <c r="W126">
        <f>HYPERLINK("https://klasma.github.io/Logging_1382/klagomålsmail/A 9999-2024 FSC-klagomål mail.docx", "A 9999-2024")</f>
        <v/>
      </c>
      <c r="X126">
        <f>HYPERLINK("https://klasma.github.io/Logging_1382/tillsyn/A 9999-2024 tillsynsbegäran.docx", "A 9999-2024")</f>
        <v/>
      </c>
      <c r="Y126">
        <f>HYPERLINK("https://klasma.github.io/Logging_1382/tillsynsmail/A 9999-2024 tillsynsbegäran mail.docx", "A 9999-2024")</f>
        <v/>
      </c>
    </row>
    <row r="127" ht="15" customHeight="1">
      <c r="A127" t="inlineStr">
        <is>
          <t>A 10229-2024</t>
        </is>
      </c>
      <c r="B127" s="1" t="n">
        <v>45365</v>
      </c>
      <c r="C127" s="1" t="n">
        <v>45832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Trind spretmossa</t>
        </is>
      </c>
      <c r="S127">
        <f>HYPERLINK("https://klasma.github.io/Logging_1380/artfynd/A 10229-2024 artfynd.xlsx", "A 10229-2024")</f>
        <v/>
      </c>
      <c r="T127">
        <f>HYPERLINK("https://klasma.github.io/Logging_1380/kartor/A 10229-2024 karta.png", "A 10229-2024")</f>
        <v/>
      </c>
      <c r="V127">
        <f>HYPERLINK("https://klasma.github.io/Logging_1380/klagomål/A 10229-2024 FSC-klagomål.docx", "A 10229-2024")</f>
        <v/>
      </c>
      <c r="W127">
        <f>HYPERLINK("https://klasma.github.io/Logging_1380/klagomålsmail/A 10229-2024 FSC-klagomål mail.docx", "A 10229-2024")</f>
        <v/>
      </c>
      <c r="X127">
        <f>HYPERLINK("https://klasma.github.io/Logging_1380/tillsyn/A 10229-2024 tillsynsbegäran.docx", "A 10229-2024")</f>
        <v/>
      </c>
      <c r="Y127">
        <f>HYPERLINK("https://klasma.github.io/Logging_1380/tillsynsmail/A 10229-2024 tillsynsbegäran mail.docx", "A 10229-2024")</f>
        <v/>
      </c>
    </row>
    <row r="128" ht="15" customHeight="1">
      <c r="A128" t="inlineStr">
        <is>
          <t>A 21622-2024</t>
        </is>
      </c>
      <c r="B128" s="1" t="n">
        <v>45442</v>
      </c>
      <c r="C128" s="1" t="n">
        <v>45832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Barbastell</t>
        </is>
      </c>
      <c r="S128">
        <f>HYPERLINK("https://klasma.github.io/Logging_1380/artfynd/A 21622-2024 artfynd.xlsx", "A 21622-2024")</f>
        <v/>
      </c>
      <c r="T128">
        <f>HYPERLINK("https://klasma.github.io/Logging_1380/kartor/A 21622-2024 karta.png", "A 21622-2024")</f>
        <v/>
      </c>
      <c r="V128">
        <f>HYPERLINK("https://klasma.github.io/Logging_1380/klagomål/A 21622-2024 FSC-klagomål.docx", "A 21622-2024")</f>
        <v/>
      </c>
      <c r="W128">
        <f>HYPERLINK("https://klasma.github.io/Logging_1380/klagomålsmail/A 21622-2024 FSC-klagomål mail.docx", "A 21622-2024")</f>
        <v/>
      </c>
      <c r="X128">
        <f>HYPERLINK("https://klasma.github.io/Logging_1380/tillsyn/A 21622-2024 tillsynsbegäran.docx", "A 21622-2024")</f>
        <v/>
      </c>
      <c r="Y128">
        <f>HYPERLINK("https://klasma.github.io/Logging_1380/tillsynsmail/A 21622-2024 tillsynsbegäran mail.docx", "A 21622-2024")</f>
        <v/>
      </c>
    </row>
    <row r="129" ht="15" customHeight="1">
      <c r="A129" t="inlineStr">
        <is>
          <t>A 34740-2024</t>
        </is>
      </c>
      <c r="B129" s="1" t="n">
        <v>45526</v>
      </c>
      <c r="C129" s="1" t="n">
        <v>45832</v>
      </c>
      <c r="D129" t="inlineStr">
        <is>
          <t>HALLANDS LÄN</t>
        </is>
      </c>
      <c r="E129" t="inlineStr">
        <is>
          <t>KUNGSBACKA</t>
        </is>
      </c>
      <c r="G129" t="n">
        <v>7.3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34740-2024 artfynd.xlsx", "A 34740-2024")</f>
        <v/>
      </c>
      <c r="T129">
        <f>HYPERLINK("https://klasma.github.io/Logging_1384/kartor/A 34740-2024 karta.png", "A 34740-2024")</f>
        <v/>
      </c>
      <c r="V129">
        <f>HYPERLINK("https://klasma.github.io/Logging_1384/klagomål/A 34740-2024 FSC-klagomål.docx", "A 34740-2024")</f>
        <v/>
      </c>
      <c r="W129">
        <f>HYPERLINK("https://klasma.github.io/Logging_1384/klagomålsmail/A 34740-2024 FSC-klagomål mail.docx", "A 34740-2024")</f>
        <v/>
      </c>
      <c r="X129">
        <f>HYPERLINK("https://klasma.github.io/Logging_1384/tillsyn/A 34740-2024 tillsynsbegäran.docx", "A 34740-2024")</f>
        <v/>
      </c>
      <c r="Y129">
        <f>HYPERLINK("https://klasma.github.io/Logging_1384/tillsynsmail/A 34740-2024 tillsynsbegäran mail.docx", "A 34740-2024")</f>
        <v/>
      </c>
    </row>
    <row r="130" ht="15" customHeight="1">
      <c r="A130" t="inlineStr">
        <is>
          <t>A 34772-2024</t>
        </is>
      </c>
      <c r="B130" s="1" t="n">
        <v>45526</v>
      </c>
      <c r="C130" s="1" t="n">
        <v>45832</v>
      </c>
      <c r="D130" t="inlineStr">
        <is>
          <t>HALLANDS LÄN</t>
        </is>
      </c>
      <c r="E130" t="inlineStr">
        <is>
          <t>KUNGSBACKA</t>
        </is>
      </c>
      <c r="G130" t="n">
        <v>13.2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34772-2024 artfynd.xlsx", "A 34772-2024")</f>
        <v/>
      </c>
      <c r="T130">
        <f>HYPERLINK("https://klasma.github.io/Logging_1384/kartor/A 34772-2024 karta.png", "A 34772-2024")</f>
        <v/>
      </c>
      <c r="V130">
        <f>HYPERLINK("https://klasma.github.io/Logging_1384/klagomål/A 34772-2024 FSC-klagomål.docx", "A 34772-2024")</f>
        <v/>
      </c>
      <c r="W130">
        <f>HYPERLINK("https://klasma.github.io/Logging_1384/klagomålsmail/A 34772-2024 FSC-klagomål mail.docx", "A 34772-2024")</f>
        <v/>
      </c>
      <c r="X130">
        <f>HYPERLINK("https://klasma.github.io/Logging_1384/tillsyn/A 34772-2024 tillsynsbegäran.docx", "A 34772-2024")</f>
        <v/>
      </c>
      <c r="Y130">
        <f>HYPERLINK("https://klasma.github.io/Logging_1384/tillsynsmail/A 34772-2024 tillsynsbegäran mail.docx", "A 34772-2024")</f>
        <v/>
      </c>
    </row>
    <row r="131" ht="15" customHeight="1">
      <c r="A131" t="inlineStr">
        <is>
          <t>A 37600-2024</t>
        </is>
      </c>
      <c r="B131" s="1" t="n">
        <v>45541</v>
      </c>
      <c r="C131" s="1" t="n">
        <v>45832</v>
      </c>
      <c r="D131" t="inlineStr">
        <is>
          <t>HALLANDS LÄN</t>
        </is>
      </c>
      <c r="E131" t="inlineStr">
        <is>
          <t>HALMSTAD</t>
        </is>
      </c>
      <c r="G131" t="n">
        <v>23.1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Kambräken</t>
        </is>
      </c>
      <c r="S131">
        <f>HYPERLINK("https://klasma.github.io/Logging_1380/artfynd/A 37600-2024 artfynd.xlsx", "A 37600-2024")</f>
        <v/>
      </c>
      <c r="T131">
        <f>HYPERLINK("https://klasma.github.io/Logging_1380/kartor/A 37600-2024 karta.png", "A 37600-2024")</f>
        <v/>
      </c>
      <c r="V131">
        <f>HYPERLINK("https://klasma.github.io/Logging_1380/klagomål/A 37600-2024 FSC-klagomål.docx", "A 37600-2024")</f>
        <v/>
      </c>
      <c r="W131">
        <f>HYPERLINK("https://klasma.github.io/Logging_1380/klagomålsmail/A 37600-2024 FSC-klagomål mail.docx", "A 37600-2024")</f>
        <v/>
      </c>
      <c r="X131">
        <f>HYPERLINK("https://klasma.github.io/Logging_1380/tillsyn/A 37600-2024 tillsynsbegäran.docx", "A 37600-2024")</f>
        <v/>
      </c>
      <c r="Y131">
        <f>HYPERLINK("https://klasma.github.io/Logging_1380/tillsynsmail/A 37600-2024 tillsynsbegäran mail.docx", "A 37600-2024")</f>
        <v/>
      </c>
    </row>
    <row r="132" ht="15" customHeight="1">
      <c r="A132" t="inlineStr">
        <is>
          <t>A 38642-2024</t>
        </is>
      </c>
      <c r="B132" s="1" t="n">
        <v>45546</v>
      </c>
      <c r="C132" s="1" t="n">
        <v>45832</v>
      </c>
      <c r="D132" t="inlineStr">
        <is>
          <t>HALLANDS LÄN</t>
        </is>
      </c>
      <c r="E132" t="inlineStr">
        <is>
          <t>VARBERG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Åkergroda</t>
        </is>
      </c>
      <c r="S132">
        <f>HYPERLINK("https://klasma.github.io/Logging_1383/artfynd/A 38642-2024 artfynd.xlsx", "A 38642-2024")</f>
        <v/>
      </c>
      <c r="T132">
        <f>HYPERLINK("https://klasma.github.io/Logging_1383/kartor/A 38642-2024 karta.png", "A 38642-2024")</f>
        <v/>
      </c>
      <c r="V132">
        <f>HYPERLINK("https://klasma.github.io/Logging_1383/klagomål/A 38642-2024 FSC-klagomål.docx", "A 38642-2024")</f>
        <v/>
      </c>
      <c r="W132">
        <f>HYPERLINK("https://klasma.github.io/Logging_1383/klagomålsmail/A 38642-2024 FSC-klagomål mail.docx", "A 38642-2024")</f>
        <v/>
      </c>
      <c r="X132">
        <f>HYPERLINK("https://klasma.github.io/Logging_1383/tillsyn/A 38642-2024 tillsynsbegäran.docx", "A 38642-2024")</f>
        <v/>
      </c>
      <c r="Y132">
        <f>HYPERLINK("https://klasma.github.io/Logging_1383/tillsynsmail/A 38642-2024 tillsynsbegäran mail.docx", "A 38642-2024")</f>
        <v/>
      </c>
    </row>
    <row r="133" ht="15" customHeight="1">
      <c r="A133" t="inlineStr">
        <is>
          <t>A 42732-2024</t>
        </is>
      </c>
      <c r="B133" s="1" t="n">
        <v>45566</v>
      </c>
      <c r="C133" s="1" t="n">
        <v>45832</v>
      </c>
      <c r="D133" t="inlineStr">
        <is>
          <t>HALLANDS LÄN</t>
        </is>
      </c>
      <c r="E133" t="inlineStr">
        <is>
          <t>HALMSTAD</t>
        </is>
      </c>
      <c r="G133" t="n">
        <v>13.9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HYPERLINK("https://klasma.github.io/Logging_1380/artfynd/A 42732-2024 artfynd.xlsx", "A 42732-2024")</f>
        <v/>
      </c>
      <c r="T133">
        <f>HYPERLINK("https://klasma.github.io/Logging_1380/kartor/A 42732-2024 karta.png", "A 42732-2024")</f>
        <v/>
      </c>
      <c r="V133">
        <f>HYPERLINK("https://klasma.github.io/Logging_1380/klagomål/A 42732-2024 FSC-klagomål.docx", "A 42732-2024")</f>
        <v/>
      </c>
      <c r="W133">
        <f>HYPERLINK("https://klasma.github.io/Logging_1380/klagomålsmail/A 42732-2024 FSC-klagomål mail.docx", "A 42732-2024")</f>
        <v/>
      </c>
      <c r="X133">
        <f>HYPERLINK("https://klasma.github.io/Logging_1380/tillsyn/A 42732-2024 tillsynsbegäran.docx", "A 42732-2024")</f>
        <v/>
      </c>
      <c r="Y133">
        <f>HYPERLINK("https://klasma.github.io/Logging_1380/tillsynsmail/A 42732-2024 tillsynsbegäran mail.docx", "A 42732-2024")</f>
        <v/>
      </c>
    </row>
    <row r="134" ht="15" customHeight="1">
      <c r="A134" t="inlineStr">
        <is>
          <t>A 46562-2024</t>
        </is>
      </c>
      <c r="B134" s="1" t="n">
        <v>45582</v>
      </c>
      <c r="C134" s="1" t="n">
        <v>45832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Hårginst</t>
        </is>
      </c>
      <c r="S134">
        <f>HYPERLINK("https://klasma.github.io/Logging_1381/artfynd/A 46562-2024 artfynd.xlsx", "A 46562-2024")</f>
        <v/>
      </c>
      <c r="T134">
        <f>HYPERLINK("https://klasma.github.io/Logging_1381/kartor/A 46562-2024 karta.png", "A 46562-2024")</f>
        <v/>
      </c>
      <c r="V134">
        <f>HYPERLINK("https://klasma.github.io/Logging_1381/klagomål/A 46562-2024 FSC-klagomål.docx", "A 46562-2024")</f>
        <v/>
      </c>
      <c r="W134">
        <f>HYPERLINK("https://klasma.github.io/Logging_1381/klagomålsmail/A 46562-2024 FSC-klagomål mail.docx", "A 46562-2024")</f>
        <v/>
      </c>
      <c r="X134">
        <f>HYPERLINK("https://klasma.github.io/Logging_1381/tillsyn/A 46562-2024 tillsynsbegäran.docx", "A 46562-2024")</f>
        <v/>
      </c>
      <c r="Y134">
        <f>HYPERLINK("https://klasma.github.io/Logging_1381/tillsynsmail/A 46562-2024 tillsynsbegäran mail.docx", "A 46562-2024")</f>
        <v/>
      </c>
    </row>
    <row r="135" ht="15" customHeight="1">
      <c r="A135" t="inlineStr">
        <is>
          <t>A 50273-2024</t>
        </is>
      </c>
      <c r="B135" s="1" t="n">
        <v>45600</v>
      </c>
      <c r="C135" s="1" t="n">
        <v>45832</v>
      </c>
      <c r="D135" t="inlineStr">
        <is>
          <t>HALLANDS LÄN</t>
        </is>
      </c>
      <c r="E135" t="inlineStr">
        <is>
          <t>FALKENBERG</t>
        </is>
      </c>
      <c r="G135" t="n">
        <v>2.7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HYPERLINK("https://klasma.github.io/Logging_1382/artfynd/A 50273-2024 artfynd.xlsx", "A 50273-2024")</f>
        <v/>
      </c>
      <c r="T135">
        <f>HYPERLINK("https://klasma.github.io/Logging_1382/kartor/A 50273-2024 karta.png", "A 50273-2024")</f>
        <v/>
      </c>
      <c r="V135">
        <f>HYPERLINK("https://klasma.github.io/Logging_1382/klagomål/A 50273-2024 FSC-klagomål.docx", "A 50273-2024")</f>
        <v/>
      </c>
      <c r="W135">
        <f>HYPERLINK("https://klasma.github.io/Logging_1382/klagomålsmail/A 50273-2024 FSC-klagomål mail.docx", "A 50273-2024")</f>
        <v/>
      </c>
      <c r="X135">
        <f>HYPERLINK("https://klasma.github.io/Logging_1382/tillsyn/A 50273-2024 tillsynsbegäran.docx", "A 50273-2024")</f>
        <v/>
      </c>
      <c r="Y135">
        <f>HYPERLINK("https://klasma.github.io/Logging_1382/tillsynsmail/A 50273-2024 tillsynsbegäran mail.docx", "A 50273-2024")</f>
        <v/>
      </c>
    </row>
    <row r="136" ht="15" customHeight="1">
      <c r="A136" t="inlineStr">
        <is>
          <t>A 54338-2024</t>
        </is>
      </c>
      <c r="B136" s="1" t="n">
        <v>45617</v>
      </c>
      <c r="C136" s="1" t="n">
        <v>45832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Sydfibbla</t>
        </is>
      </c>
      <c r="S136">
        <f>HYPERLINK("https://klasma.github.io/Logging_1381/artfynd/A 54338-2024 artfynd.xlsx", "A 54338-2024")</f>
        <v/>
      </c>
      <c r="T136">
        <f>HYPERLINK("https://klasma.github.io/Logging_1381/kartor/A 54338-2024 karta.png", "A 54338-2024")</f>
        <v/>
      </c>
      <c r="V136">
        <f>HYPERLINK("https://klasma.github.io/Logging_1381/klagomål/A 54338-2024 FSC-klagomål.docx", "A 54338-2024")</f>
        <v/>
      </c>
      <c r="W136">
        <f>HYPERLINK("https://klasma.github.io/Logging_1381/klagomålsmail/A 54338-2024 FSC-klagomål mail.docx", "A 54338-2024")</f>
        <v/>
      </c>
      <c r="X136">
        <f>HYPERLINK("https://klasma.github.io/Logging_1381/tillsyn/A 54338-2024 tillsynsbegäran.docx", "A 54338-2024")</f>
        <v/>
      </c>
      <c r="Y136">
        <f>HYPERLINK("https://klasma.github.io/Logging_1381/tillsynsmail/A 54338-2024 tillsynsbegäran mail.docx", "A 54338-2024")</f>
        <v/>
      </c>
    </row>
    <row r="137" ht="15" customHeight="1">
      <c r="A137" t="inlineStr">
        <is>
          <t>A 56034-2024</t>
        </is>
      </c>
      <c r="B137" s="1" t="n">
        <v>45624</v>
      </c>
      <c r="C137" s="1" t="n">
        <v>45832</v>
      </c>
      <c r="D137" t="inlineStr">
        <is>
          <t>HALLANDS LÄN</t>
        </is>
      </c>
      <c r="E137" t="inlineStr">
        <is>
          <t>FALKENBERG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HYPERLINK("https://klasma.github.io/Logging_1382/artfynd/A 56034-2024 artfynd.xlsx", "A 56034-2024")</f>
        <v/>
      </c>
      <c r="T137">
        <f>HYPERLINK("https://klasma.github.io/Logging_1382/kartor/A 56034-2024 karta.png", "A 56034-2024")</f>
        <v/>
      </c>
      <c r="V137">
        <f>HYPERLINK("https://klasma.github.io/Logging_1382/klagomål/A 56034-2024 FSC-klagomål.docx", "A 56034-2024")</f>
        <v/>
      </c>
      <c r="W137">
        <f>HYPERLINK("https://klasma.github.io/Logging_1382/klagomålsmail/A 56034-2024 FSC-klagomål mail.docx", "A 56034-2024")</f>
        <v/>
      </c>
      <c r="X137">
        <f>HYPERLINK("https://klasma.github.io/Logging_1382/tillsyn/A 56034-2024 tillsynsbegäran.docx", "A 56034-2024")</f>
        <v/>
      </c>
      <c r="Y137">
        <f>HYPERLINK("https://klasma.github.io/Logging_1382/tillsynsmail/A 56034-2024 tillsynsbegäran mail.docx", "A 56034-2024")</f>
        <v/>
      </c>
    </row>
    <row r="138" ht="15" customHeight="1">
      <c r="A138" t="inlineStr">
        <is>
          <t>A 56929-2024</t>
        </is>
      </c>
      <c r="B138" s="1" t="n">
        <v>45628</v>
      </c>
      <c r="C138" s="1" t="n">
        <v>45832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56929-2024 artfynd.xlsx", "A 56929-2024")</f>
        <v/>
      </c>
      <c r="T138">
        <f>HYPERLINK("https://klasma.github.io/Logging_1382/kartor/A 56929-2024 karta.png", "A 56929-2024")</f>
        <v/>
      </c>
      <c r="V138">
        <f>HYPERLINK("https://klasma.github.io/Logging_1382/klagomål/A 56929-2024 FSC-klagomål.docx", "A 56929-2024")</f>
        <v/>
      </c>
      <c r="W138">
        <f>HYPERLINK("https://klasma.github.io/Logging_1382/klagomålsmail/A 56929-2024 FSC-klagomål mail.docx", "A 56929-2024")</f>
        <v/>
      </c>
      <c r="X138">
        <f>HYPERLINK("https://klasma.github.io/Logging_1382/tillsyn/A 56929-2024 tillsynsbegäran.docx", "A 56929-2024")</f>
        <v/>
      </c>
      <c r="Y138">
        <f>HYPERLINK("https://klasma.github.io/Logging_1382/tillsynsmail/A 56929-2024 tillsynsbegäran mail.docx", "A 56929-2024")</f>
        <v/>
      </c>
    </row>
    <row r="139" ht="15" customHeight="1">
      <c r="A139" t="inlineStr">
        <is>
          <t>A 609-2025</t>
        </is>
      </c>
      <c r="B139" s="1" t="n">
        <v>45664</v>
      </c>
      <c r="C139" s="1" t="n">
        <v>45832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Sommargylling</t>
        </is>
      </c>
      <c r="S139">
        <f>HYPERLINK("https://klasma.github.io/Logging_1315/artfynd/A 609-2025 artfynd.xlsx", "A 609-2025")</f>
        <v/>
      </c>
      <c r="T139">
        <f>HYPERLINK("https://klasma.github.io/Logging_1315/kartor/A 609-2025 karta.png", "A 609-2025")</f>
        <v/>
      </c>
      <c r="V139">
        <f>HYPERLINK("https://klasma.github.io/Logging_1315/klagomål/A 609-2025 FSC-klagomål.docx", "A 609-2025")</f>
        <v/>
      </c>
      <c r="W139">
        <f>HYPERLINK("https://klasma.github.io/Logging_1315/klagomålsmail/A 609-2025 FSC-klagomål mail.docx", "A 609-2025")</f>
        <v/>
      </c>
      <c r="X139">
        <f>HYPERLINK("https://klasma.github.io/Logging_1315/tillsyn/A 609-2025 tillsynsbegäran.docx", "A 609-2025")</f>
        <v/>
      </c>
      <c r="Y139">
        <f>HYPERLINK("https://klasma.github.io/Logging_1315/tillsynsmail/A 609-2025 tillsynsbegäran mail.docx", "A 609-2025")</f>
        <v/>
      </c>
      <c r="Z139">
        <f>HYPERLINK("https://klasma.github.io/Logging_1315/fåglar/A 609-2025 prioriterade fågelarter.docx", "A 609-2025")</f>
        <v/>
      </c>
    </row>
    <row r="140" ht="15" customHeight="1">
      <c r="A140" t="inlineStr">
        <is>
          <t>A 1274-2025</t>
        </is>
      </c>
      <c r="B140" s="1" t="n">
        <v>45667</v>
      </c>
      <c r="C140" s="1" t="n">
        <v>45832</v>
      </c>
      <c r="D140" t="inlineStr">
        <is>
          <t>HALLANDS LÄN</t>
        </is>
      </c>
      <c r="E140" t="inlineStr">
        <is>
          <t>FALKENBERG</t>
        </is>
      </c>
      <c r="G140" t="n">
        <v>7.7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Kambräken</t>
        </is>
      </c>
      <c r="S140">
        <f>HYPERLINK("https://klasma.github.io/Logging_1382/artfynd/A 1274-2025 artfynd.xlsx", "A 1274-2025")</f>
        <v/>
      </c>
      <c r="T140">
        <f>HYPERLINK("https://klasma.github.io/Logging_1382/kartor/A 1274-2025 karta.png", "A 1274-2025")</f>
        <v/>
      </c>
      <c r="V140">
        <f>HYPERLINK("https://klasma.github.io/Logging_1382/klagomål/A 1274-2025 FSC-klagomål.docx", "A 1274-2025")</f>
        <v/>
      </c>
      <c r="W140">
        <f>HYPERLINK("https://klasma.github.io/Logging_1382/klagomålsmail/A 1274-2025 FSC-klagomål mail.docx", "A 1274-2025")</f>
        <v/>
      </c>
      <c r="X140">
        <f>HYPERLINK("https://klasma.github.io/Logging_1382/tillsyn/A 1274-2025 tillsynsbegäran.docx", "A 1274-2025")</f>
        <v/>
      </c>
      <c r="Y140">
        <f>HYPERLINK("https://klasma.github.io/Logging_1382/tillsynsmail/A 1274-2025 tillsynsbegäran mail.docx", "A 1274-2025")</f>
        <v/>
      </c>
    </row>
    <row r="141" ht="15" customHeight="1">
      <c r="A141" t="inlineStr">
        <is>
          <t>A 3576-2025</t>
        </is>
      </c>
      <c r="B141" s="1" t="n">
        <v>45680</v>
      </c>
      <c r="C141" s="1" t="n">
        <v>45832</v>
      </c>
      <c r="D141" t="inlineStr">
        <is>
          <t>HALLANDS LÄN</t>
        </is>
      </c>
      <c r="E141" t="inlineStr">
        <is>
          <t>LAHOLM</t>
        </is>
      </c>
      <c r="G141" t="n">
        <v>4.4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HYPERLINK("https://klasma.github.io/Logging_1381/artfynd/A 3576-2025 artfynd.xlsx", "A 3576-2025")</f>
        <v/>
      </c>
      <c r="T141">
        <f>HYPERLINK("https://klasma.github.io/Logging_1381/kartor/A 3576-2025 karta.png", "A 3576-2025")</f>
        <v/>
      </c>
      <c r="V141">
        <f>HYPERLINK("https://klasma.github.io/Logging_1381/klagomål/A 3576-2025 FSC-klagomål.docx", "A 3576-2025")</f>
        <v/>
      </c>
      <c r="W141">
        <f>HYPERLINK("https://klasma.github.io/Logging_1381/klagomålsmail/A 3576-2025 FSC-klagomål mail.docx", "A 3576-2025")</f>
        <v/>
      </c>
      <c r="X141">
        <f>HYPERLINK("https://klasma.github.io/Logging_1381/tillsyn/A 3576-2025 tillsynsbegäran.docx", "A 3576-2025")</f>
        <v/>
      </c>
      <c r="Y141">
        <f>HYPERLINK("https://klasma.github.io/Logging_1381/tillsynsmail/A 3576-2025 tillsynsbegäran mail.docx", "A 3576-2025")</f>
        <v/>
      </c>
      <c r="Z141">
        <f>HYPERLINK("https://klasma.github.io/Logging_1381/fåglar/A 3576-2025 prioriterade fågelarter.docx", "A 3576-2025")</f>
        <v/>
      </c>
    </row>
    <row r="142" ht="15" customHeight="1">
      <c r="A142" t="inlineStr">
        <is>
          <t>A 5530-2025</t>
        </is>
      </c>
      <c r="B142" s="1" t="n">
        <v>45692</v>
      </c>
      <c r="C142" s="1" t="n">
        <v>45832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Igelkott</t>
        </is>
      </c>
      <c r="S142">
        <f>HYPERLINK("https://klasma.github.io/Logging_1380/artfynd/A 5530-2025 artfynd.xlsx", "A 5530-2025")</f>
        <v/>
      </c>
      <c r="T142">
        <f>HYPERLINK("https://klasma.github.io/Logging_1380/kartor/A 5530-2025 karta.png", "A 5530-2025")</f>
        <v/>
      </c>
      <c r="V142">
        <f>HYPERLINK("https://klasma.github.io/Logging_1380/klagomål/A 5530-2025 FSC-klagomål.docx", "A 5530-2025")</f>
        <v/>
      </c>
      <c r="W142">
        <f>HYPERLINK("https://klasma.github.io/Logging_1380/klagomålsmail/A 5530-2025 FSC-klagomål mail.docx", "A 5530-2025")</f>
        <v/>
      </c>
      <c r="X142">
        <f>HYPERLINK("https://klasma.github.io/Logging_1380/tillsyn/A 5530-2025 tillsynsbegäran.docx", "A 5530-2025")</f>
        <v/>
      </c>
      <c r="Y142">
        <f>HYPERLINK("https://klasma.github.io/Logging_1380/tillsynsmail/A 5530-2025 tillsynsbegäran mail.docx", "A 5530-2025")</f>
        <v/>
      </c>
    </row>
    <row r="143" ht="15" customHeight="1">
      <c r="A143" t="inlineStr">
        <is>
          <t>A 5240-2025</t>
        </is>
      </c>
      <c r="B143" s="1" t="n">
        <v>45692</v>
      </c>
      <c r="C143" s="1" t="n">
        <v>45832</v>
      </c>
      <c r="D143" t="inlineStr">
        <is>
          <t>HALLANDS LÄN</t>
        </is>
      </c>
      <c r="E143" t="inlineStr">
        <is>
          <t>HALMSTAD</t>
        </is>
      </c>
      <c r="G143" t="n">
        <v>8.300000000000001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Mussellav</t>
        </is>
      </c>
      <c r="S143">
        <f>HYPERLINK("https://klasma.github.io/Logging_1380/artfynd/A 5240-2025 artfynd.xlsx", "A 5240-2025")</f>
        <v/>
      </c>
      <c r="T143">
        <f>HYPERLINK("https://klasma.github.io/Logging_1380/kartor/A 5240-2025 karta.png", "A 5240-2025")</f>
        <v/>
      </c>
      <c r="V143">
        <f>HYPERLINK("https://klasma.github.io/Logging_1380/klagomål/A 5240-2025 FSC-klagomål.docx", "A 5240-2025")</f>
        <v/>
      </c>
      <c r="W143">
        <f>HYPERLINK("https://klasma.github.io/Logging_1380/klagomålsmail/A 5240-2025 FSC-klagomål mail.docx", "A 5240-2025")</f>
        <v/>
      </c>
      <c r="X143">
        <f>HYPERLINK("https://klasma.github.io/Logging_1380/tillsyn/A 5240-2025 tillsynsbegäran.docx", "A 5240-2025")</f>
        <v/>
      </c>
      <c r="Y143">
        <f>HYPERLINK("https://klasma.github.io/Logging_1380/tillsynsmail/A 5240-2025 tillsynsbegäran mail.docx", "A 5240-2025")</f>
        <v/>
      </c>
    </row>
    <row r="144" ht="15" customHeight="1">
      <c r="A144" t="inlineStr">
        <is>
          <t>A 10124-2025</t>
        </is>
      </c>
      <c r="B144" s="1" t="n">
        <v>45719</v>
      </c>
      <c r="C144" s="1" t="n">
        <v>45832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Fiskmås</t>
        </is>
      </c>
      <c r="S144">
        <f>HYPERLINK("https://klasma.github.io/Logging_131384/artfynd/A 10124-2025 artfynd.xlsx", "A 10124-2025")</f>
        <v/>
      </c>
      <c r="T144">
        <f>HYPERLINK("https://klasma.github.io/Logging_131384/kartor/A 10124-2025 karta.png", "A 10124-2025")</f>
        <v/>
      </c>
      <c r="V144">
        <f>HYPERLINK("https://klasma.github.io/Logging_131384/klagomål/A 10124-2025 FSC-klagomål.docx", "A 10124-2025")</f>
        <v/>
      </c>
      <c r="W144">
        <f>HYPERLINK("https://klasma.github.io/Logging_131384/klagomålsmail/A 10124-2025 FSC-klagomål mail.docx", "A 10124-2025")</f>
        <v/>
      </c>
      <c r="X144">
        <f>HYPERLINK("https://klasma.github.io/Logging_131384/tillsyn/A 10124-2025 tillsynsbegäran.docx", "A 10124-2025")</f>
        <v/>
      </c>
      <c r="Y144">
        <f>HYPERLINK("https://klasma.github.io/Logging_131384/tillsynsmail/A 10124-2025 tillsynsbegäran mail.docx", "A 10124-2025")</f>
        <v/>
      </c>
    </row>
    <row r="145" ht="15" customHeight="1">
      <c r="A145" t="inlineStr">
        <is>
          <t>A 10751-2025</t>
        </is>
      </c>
      <c r="B145" s="1" t="n">
        <v>45722</v>
      </c>
      <c r="C145" s="1" t="n">
        <v>45832</v>
      </c>
      <c r="D145" t="inlineStr">
        <is>
          <t>HALLANDS LÄN</t>
        </is>
      </c>
      <c r="E145" t="inlineStr">
        <is>
          <t>VARBERG</t>
        </is>
      </c>
      <c r="G145" t="n">
        <v>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HYPERLINK("https://klasma.github.io/Logging_131383/artfynd/A 10751-2025 artfynd.xlsx", "A 10751-2025")</f>
        <v/>
      </c>
      <c r="T145">
        <f>HYPERLINK("https://klasma.github.io/Logging_131383/kartor/A 10751-2025 karta.png", "A 10751-2025")</f>
        <v/>
      </c>
      <c r="V145">
        <f>HYPERLINK("https://klasma.github.io/Logging_131383/klagomål/A 10751-2025 FSC-klagomål.docx", "A 10751-2025")</f>
        <v/>
      </c>
      <c r="W145">
        <f>HYPERLINK("https://klasma.github.io/Logging_131383/klagomålsmail/A 10751-2025 FSC-klagomål mail.docx", "A 10751-2025")</f>
        <v/>
      </c>
      <c r="X145">
        <f>HYPERLINK("https://klasma.github.io/Logging_131383/tillsyn/A 10751-2025 tillsynsbegäran.docx", "A 10751-2025")</f>
        <v/>
      </c>
      <c r="Y145">
        <f>HYPERLINK("https://klasma.github.io/Logging_131383/tillsynsmail/A 10751-2025 tillsynsbegäran mail.docx", "A 10751-2025")</f>
        <v/>
      </c>
    </row>
    <row r="146" ht="15" customHeight="1">
      <c r="A146" t="inlineStr">
        <is>
          <t>A 11010-2025</t>
        </is>
      </c>
      <c r="B146" s="1" t="n">
        <v>45723</v>
      </c>
      <c r="C146" s="1" t="n">
        <v>45832</v>
      </c>
      <c r="D146" t="inlineStr">
        <is>
          <t>HALLANDS LÄN</t>
        </is>
      </c>
      <c r="E146" t="inlineStr">
        <is>
          <t>KUNGSBACKA</t>
        </is>
      </c>
      <c r="G146" t="n">
        <v>12.4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Kambräken</t>
        </is>
      </c>
      <c r="S146">
        <f>HYPERLINK("https://klasma.github.io/Logging_131384/artfynd/A 11010-2025 artfynd.xlsx", "A 11010-2025")</f>
        <v/>
      </c>
      <c r="T146">
        <f>HYPERLINK("https://klasma.github.io/Logging_131384/kartor/A 11010-2025 karta.png", "A 11010-2025")</f>
        <v/>
      </c>
      <c r="V146">
        <f>HYPERLINK("https://klasma.github.io/Logging_131384/klagomål/A 11010-2025 FSC-klagomål.docx", "A 11010-2025")</f>
        <v/>
      </c>
      <c r="W146">
        <f>HYPERLINK("https://klasma.github.io/Logging_131384/klagomålsmail/A 11010-2025 FSC-klagomål mail.docx", "A 11010-2025")</f>
        <v/>
      </c>
      <c r="X146">
        <f>HYPERLINK("https://klasma.github.io/Logging_131384/tillsyn/A 11010-2025 tillsynsbegäran.docx", "A 11010-2025")</f>
        <v/>
      </c>
      <c r="Y146">
        <f>HYPERLINK("https://klasma.github.io/Logging_131384/tillsynsmail/A 11010-2025 tillsynsbegäran mail.docx", "A 11010-2025")</f>
        <v/>
      </c>
    </row>
    <row r="147" ht="15" customHeight="1">
      <c r="A147" t="inlineStr">
        <is>
          <t>A 13093-2025</t>
        </is>
      </c>
      <c r="B147" s="1" t="n">
        <v>45734</v>
      </c>
      <c r="C147" s="1" t="n">
        <v>45832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Stor revmossa</t>
        </is>
      </c>
      <c r="S147">
        <f>HYPERLINK("https://klasma.github.io/Logging_131383/artfynd/A 13093-2025 artfynd.xlsx", "A 13093-2025")</f>
        <v/>
      </c>
      <c r="T147">
        <f>HYPERLINK("https://klasma.github.io/Logging_131383/kartor/A 13093-2025 karta.png", "A 13093-2025")</f>
        <v/>
      </c>
      <c r="V147">
        <f>HYPERLINK("https://klasma.github.io/Logging_131383/klagomål/A 13093-2025 FSC-klagomål.docx", "A 13093-2025")</f>
        <v/>
      </c>
      <c r="W147">
        <f>HYPERLINK("https://klasma.github.io/Logging_131383/klagomålsmail/A 13093-2025 FSC-klagomål mail.docx", "A 13093-2025")</f>
        <v/>
      </c>
      <c r="X147">
        <f>HYPERLINK("https://klasma.github.io/Logging_131383/tillsyn/A 13093-2025 tillsynsbegäran.docx", "A 13093-2025")</f>
        <v/>
      </c>
      <c r="Y147">
        <f>HYPERLINK("https://klasma.github.io/Logging_131383/tillsynsmail/A 13093-2025 tillsynsbegäran mail.docx", "A 13093-2025")</f>
        <v/>
      </c>
    </row>
    <row r="148" ht="15" customHeight="1">
      <c r="A148" t="inlineStr">
        <is>
          <t>A 13932-2025</t>
        </is>
      </c>
      <c r="B148" s="1" t="n">
        <v>45737</v>
      </c>
      <c r="C148" s="1" t="n">
        <v>45832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HYPERLINK("https://klasma.github.io/Logging_131384/artfynd/A 13932-2025 artfynd.xlsx", "A 13932-2025")</f>
        <v/>
      </c>
      <c r="T148">
        <f>HYPERLINK("https://klasma.github.io/Logging_131384/kartor/A 13932-2025 karta.png", "A 13932-2025")</f>
        <v/>
      </c>
      <c r="V148">
        <f>HYPERLINK("https://klasma.github.io/Logging_131384/klagomål/A 13932-2025 FSC-klagomål.docx", "A 13932-2025")</f>
        <v/>
      </c>
      <c r="W148">
        <f>HYPERLINK("https://klasma.github.io/Logging_131384/klagomålsmail/A 13932-2025 FSC-klagomål mail.docx", "A 13932-2025")</f>
        <v/>
      </c>
      <c r="X148">
        <f>HYPERLINK("https://klasma.github.io/Logging_131384/tillsyn/A 13932-2025 tillsynsbegäran.docx", "A 13932-2025")</f>
        <v/>
      </c>
      <c r="Y148">
        <f>HYPERLINK("https://klasma.github.io/Logging_131384/tillsynsmail/A 13932-2025 tillsynsbegäran mail.docx", "A 13932-2025")</f>
        <v/>
      </c>
    </row>
    <row r="149" ht="15" customHeight="1">
      <c r="A149" t="inlineStr">
        <is>
          <t>A 15103-2025</t>
        </is>
      </c>
      <c r="B149" s="1" t="n">
        <v>45744</v>
      </c>
      <c r="C149" s="1" t="n">
        <v>45832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HYPERLINK("https://klasma.github.io/Logging_131383/artfynd/A 15103-2025 artfynd.xlsx", "A 15103-2025")</f>
        <v/>
      </c>
      <c r="T149">
        <f>HYPERLINK("https://klasma.github.io/Logging_131383/kartor/A 15103-2025 karta.png", "A 15103-2025")</f>
        <v/>
      </c>
      <c r="V149">
        <f>HYPERLINK("https://klasma.github.io/Logging_131383/klagomål/A 15103-2025 FSC-klagomål.docx", "A 15103-2025")</f>
        <v/>
      </c>
      <c r="W149">
        <f>HYPERLINK("https://klasma.github.io/Logging_131383/klagomålsmail/A 15103-2025 FSC-klagomål mail.docx", "A 15103-2025")</f>
        <v/>
      </c>
      <c r="X149">
        <f>HYPERLINK("https://klasma.github.io/Logging_131383/tillsyn/A 15103-2025 tillsynsbegäran.docx", "A 15103-2025")</f>
        <v/>
      </c>
      <c r="Y149">
        <f>HYPERLINK("https://klasma.github.io/Logging_131383/tillsynsmail/A 15103-2025 tillsynsbegäran mail.docx", "A 15103-2025")</f>
        <v/>
      </c>
    </row>
    <row r="150" ht="15" customHeight="1">
      <c r="A150" t="inlineStr">
        <is>
          <t>A 22744-2025</t>
        </is>
      </c>
      <c r="B150" s="1" t="n">
        <v>45789</v>
      </c>
      <c r="C150" s="1" t="n">
        <v>45832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Björksplintborre</t>
        </is>
      </c>
      <c r="S150">
        <f>HYPERLINK("https://klasma.github.io/Logging_131382/artfynd/A 22744-2025 artfynd.xlsx", "A 22744-2025")</f>
        <v/>
      </c>
      <c r="T150">
        <f>HYPERLINK("https://klasma.github.io/Logging_131382/kartor/A 22744-2025 karta.png", "A 22744-2025")</f>
        <v/>
      </c>
      <c r="V150">
        <f>HYPERLINK("https://klasma.github.io/Logging_131382/klagomål/A 22744-2025 FSC-klagomål.docx", "A 22744-2025")</f>
        <v/>
      </c>
      <c r="W150">
        <f>HYPERLINK("https://klasma.github.io/Logging_131382/klagomålsmail/A 22744-2025 FSC-klagomål mail.docx", "A 22744-2025")</f>
        <v/>
      </c>
      <c r="X150">
        <f>HYPERLINK("https://klasma.github.io/Logging_131382/tillsyn/A 22744-2025 tillsynsbegäran.docx", "A 22744-2025")</f>
        <v/>
      </c>
      <c r="Y150">
        <f>HYPERLINK("https://klasma.github.io/Logging_131382/tillsynsmail/A 22744-2025 tillsynsbegäran mail.docx", "A 22744-2025")</f>
        <v/>
      </c>
    </row>
    <row r="151" ht="15" customHeight="1">
      <c r="A151" t="inlineStr">
        <is>
          <t>A 17740-2019</t>
        </is>
      </c>
      <c r="B151" s="1" t="n">
        <v>43556</v>
      </c>
      <c r="C151" s="1" t="n">
        <v>45832</v>
      </c>
      <c r="D151" t="inlineStr">
        <is>
          <t>HALLANDS LÄN</t>
        </is>
      </c>
      <c r="E151" t="inlineStr">
        <is>
          <t>HALMSTAD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17783-2019</t>
        </is>
      </c>
      <c r="B152" s="1" t="n">
        <v>43556</v>
      </c>
      <c r="C152" s="1" t="n">
        <v>45832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17776-2019</t>
        </is>
      </c>
      <c r="B153" s="1" t="n">
        <v>43556</v>
      </c>
      <c r="C153" s="1" t="n">
        <v>45832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18252-2019</t>
        </is>
      </c>
      <c r="B154" s="1" t="n">
        <v>43557</v>
      </c>
      <c r="C154" s="1" t="n">
        <v>45832</v>
      </c>
      <c r="D154" t="inlineStr">
        <is>
          <t>HALLANDS LÄN</t>
        </is>
      </c>
      <c r="E154" t="inlineStr">
        <is>
          <t>HYLTE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17886-2019</t>
        </is>
      </c>
      <c r="B155" s="1" t="n">
        <v>43557</v>
      </c>
      <c r="C155" s="1" t="n">
        <v>45832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18231-2019</t>
        </is>
      </c>
      <c r="B156" s="1" t="n">
        <v>43558</v>
      </c>
      <c r="C156" s="1" t="n">
        <v>45832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18248-2019</t>
        </is>
      </c>
      <c r="B157" s="1" t="n">
        <v>43558</v>
      </c>
      <c r="C157" s="1" t="n">
        <v>45832</v>
      </c>
      <c r="D157" t="inlineStr">
        <is>
          <t>HALLANDS LÄN</t>
        </is>
      </c>
      <c r="E157" t="inlineStr">
        <is>
          <t>FALKENBERG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18298-2019</t>
        </is>
      </c>
      <c r="B158" s="1" t="n">
        <v>43558</v>
      </c>
      <c r="C158" s="1" t="n">
        <v>45832</v>
      </c>
      <c r="D158" t="inlineStr">
        <is>
          <t>HALLANDS LÄN</t>
        </is>
      </c>
      <c r="E158" t="inlineStr">
        <is>
          <t>VARBERG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18297-2019</t>
        </is>
      </c>
      <c r="B159" s="1" t="n">
        <v>43558</v>
      </c>
      <c r="C159" s="1" t="n">
        <v>45832</v>
      </c>
      <c r="D159" t="inlineStr">
        <is>
          <t>HALLANDS LÄN</t>
        </is>
      </c>
      <c r="E159" t="inlineStr">
        <is>
          <t>VARBERG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18226-2019</t>
        </is>
      </c>
      <c r="B160" s="1" t="n">
        <v>43558</v>
      </c>
      <c r="C160" s="1" t="n">
        <v>45832</v>
      </c>
      <c r="D160" t="inlineStr">
        <is>
          <t>HALLANDS LÄN</t>
        </is>
      </c>
      <c r="E160" t="inlineStr">
        <is>
          <t>HYLTE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18296-2019</t>
        </is>
      </c>
      <c r="B161" s="1" t="n">
        <v>43558</v>
      </c>
      <c r="C161" s="1" t="n">
        <v>45832</v>
      </c>
      <c r="D161" t="inlineStr">
        <is>
          <t>HALLANDS LÄN</t>
        </is>
      </c>
      <c r="E161" t="inlineStr">
        <is>
          <t>VARBERG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18541-2019</t>
        </is>
      </c>
      <c r="B162" s="1" t="n">
        <v>43558</v>
      </c>
      <c r="C162" s="1" t="n">
        <v>45832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18306-2019</t>
        </is>
      </c>
      <c r="B163" s="1" t="n">
        <v>43558</v>
      </c>
      <c r="C163" s="1" t="n">
        <v>45832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18628-2019</t>
        </is>
      </c>
      <c r="B164" s="1" t="n">
        <v>43559</v>
      </c>
      <c r="C164" s="1" t="n">
        <v>45832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18661-2019</t>
        </is>
      </c>
      <c r="B165" s="1" t="n">
        <v>43560</v>
      </c>
      <c r="C165" s="1" t="n">
        <v>45832</v>
      </c>
      <c r="D165" t="inlineStr">
        <is>
          <t>HALLANDS LÄN</t>
        </is>
      </c>
      <c r="E165" t="inlineStr">
        <is>
          <t>HALMSTAD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18851-2019</t>
        </is>
      </c>
      <c r="B166" s="1" t="n">
        <v>43563</v>
      </c>
      <c r="C166" s="1" t="n">
        <v>45832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19013-2019</t>
        </is>
      </c>
      <c r="B167" s="1" t="n">
        <v>43563</v>
      </c>
      <c r="C167" s="1" t="n">
        <v>45832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18990-2019</t>
        </is>
      </c>
      <c r="B168" s="1" t="n">
        <v>43563</v>
      </c>
      <c r="C168" s="1" t="n">
        <v>45832</v>
      </c>
      <c r="D168" t="inlineStr">
        <is>
          <t>HALLANDS LÄN</t>
        </is>
      </c>
      <c r="E168" t="inlineStr">
        <is>
          <t>HYLTE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19188-2019</t>
        </is>
      </c>
      <c r="B169" s="1" t="n">
        <v>43564</v>
      </c>
      <c r="C169" s="1" t="n">
        <v>45832</v>
      </c>
      <c r="D169" t="inlineStr">
        <is>
          <t>HALLANDS LÄN</t>
        </is>
      </c>
      <c r="E169" t="inlineStr">
        <is>
          <t>HYLTE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19203-2019</t>
        </is>
      </c>
      <c r="B170" s="1" t="n">
        <v>43564</v>
      </c>
      <c r="C170" s="1" t="n">
        <v>45832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19223-2019</t>
        </is>
      </c>
      <c r="B171" s="1" t="n">
        <v>43564</v>
      </c>
      <c r="C171" s="1" t="n">
        <v>45832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19535-2019</t>
        </is>
      </c>
      <c r="B172" s="1" t="n">
        <v>43565</v>
      </c>
      <c r="C172" s="1" t="n">
        <v>45832</v>
      </c>
      <c r="D172" t="inlineStr">
        <is>
          <t>HALLANDS LÄN</t>
        </is>
      </c>
      <c r="E172" t="inlineStr">
        <is>
          <t>LAHOLM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19331-2019</t>
        </is>
      </c>
      <c r="B173" s="1" t="n">
        <v>43565</v>
      </c>
      <c r="C173" s="1" t="n">
        <v>45832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19284-2019</t>
        </is>
      </c>
      <c r="B174" s="1" t="n">
        <v>43565</v>
      </c>
      <c r="C174" s="1" t="n">
        <v>45832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19994-2019</t>
        </is>
      </c>
      <c r="B175" s="1" t="n">
        <v>43566</v>
      </c>
      <c r="C175" s="1" t="n">
        <v>45832</v>
      </c>
      <c r="D175" t="inlineStr">
        <is>
          <t>HALLANDS LÄN</t>
        </is>
      </c>
      <c r="E175" t="inlineStr">
        <is>
          <t>HYLTE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20022-2019</t>
        </is>
      </c>
      <c r="B176" s="1" t="n">
        <v>43570</v>
      </c>
      <c r="C176" s="1" t="n">
        <v>45832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20124-2019</t>
        </is>
      </c>
      <c r="B177" s="1" t="n">
        <v>43570</v>
      </c>
      <c r="C177" s="1" t="n">
        <v>45832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20122-2019</t>
        </is>
      </c>
      <c r="B178" s="1" t="n">
        <v>43570</v>
      </c>
      <c r="C178" s="1" t="n">
        <v>45832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20146-2019</t>
        </is>
      </c>
      <c r="B179" s="1" t="n">
        <v>43570</v>
      </c>
      <c r="C179" s="1" t="n">
        <v>45832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20327-2019</t>
        </is>
      </c>
      <c r="B180" s="1" t="n">
        <v>43571</v>
      </c>
      <c r="C180" s="1" t="n">
        <v>45832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20554-2019</t>
        </is>
      </c>
      <c r="B181" s="1" t="n">
        <v>43572</v>
      </c>
      <c r="C181" s="1" t="n">
        <v>45832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20735-2019</t>
        </is>
      </c>
      <c r="B182" s="1" t="n">
        <v>43573</v>
      </c>
      <c r="C182" s="1" t="n">
        <v>45832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20882-2019</t>
        </is>
      </c>
      <c r="B183" s="1" t="n">
        <v>43578</v>
      </c>
      <c r="C183" s="1" t="n">
        <v>45832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21022-2019</t>
        </is>
      </c>
      <c r="B184" s="1" t="n">
        <v>43578</v>
      </c>
      <c r="C184" s="1" t="n">
        <v>45832</v>
      </c>
      <c r="D184" t="inlineStr">
        <is>
          <t>HALLANDS LÄN</t>
        </is>
      </c>
      <c r="E184" t="inlineStr">
        <is>
          <t>LAHOLM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21151-2019</t>
        </is>
      </c>
      <c r="B185" s="1" t="n">
        <v>43578</v>
      </c>
      <c r="C185" s="1" t="n">
        <v>45832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21163-2019</t>
        </is>
      </c>
      <c r="B186" s="1" t="n">
        <v>43578</v>
      </c>
      <c r="C186" s="1" t="n">
        <v>45832</v>
      </c>
      <c r="D186" t="inlineStr">
        <is>
          <t>HALLANDS LÄN</t>
        </is>
      </c>
      <c r="E186" t="inlineStr">
        <is>
          <t>HALMSTAD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20878-2019</t>
        </is>
      </c>
      <c r="B187" s="1" t="n">
        <v>43578</v>
      </c>
      <c r="C187" s="1" t="n">
        <v>45832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21024-2019</t>
        </is>
      </c>
      <c r="B188" s="1" t="n">
        <v>43578</v>
      </c>
      <c r="C188" s="1" t="n">
        <v>45832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21159-2019</t>
        </is>
      </c>
      <c r="B189" s="1" t="n">
        <v>43578</v>
      </c>
      <c r="C189" s="1" t="n">
        <v>45832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21135-2019</t>
        </is>
      </c>
      <c r="B190" s="1" t="n">
        <v>43579</v>
      </c>
      <c r="C190" s="1" t="n">
        <v>45832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21448-2019</t>
        </is>
      </c>
      <c r="B191" s="1" t="n">
        <v>43580</v>
      </c>
      <c r="C191" s="1" t="n">
        <v>45832</v>
      </c>
      <c r="D191" t="inlineStr">
        <is>
          <t>HALLANDS LÄN</t>
        </is>
      </c>
      <c r="E191" t="inlineStr">
        <is>
          <t>LAHOLM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21505-2019</t>
        </is>
      </c>
      <c r="B192" s="1" t="n">
        <v>43580</v>
      </c>
      <c r="C192" s="1" t="n">
        <v>45832</v>
      </c>
      <c r="D192" t="inlineStr">
        <is>
          <t>HALLANDS LÄN</t>
        </is>
      </c>
      <c r="E192" t="inlineStr">
        <is>
          <t>KUNGSBACKA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21536-2019</t>
        </is>
      </c>
      <c r="B193" s="1" t="n">
        <v>43580</v>
      </c>
      <c r="C193" s="1" t="n">
        <v>45832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21713-2019</t>
        </is>
      </c>
      <c r="B194" s="1" t="n">
        <v>43581</v>
      </c>
      <c r="C194" s="1" t="n">
        <v>45832</v>
      </c>
      <c r="D194" t="inlineStr">
        <is>
          <t>HALLANDS LÄN</t>
        </is>
      </c>
      <c r="E194" t="inlineStr">
        <is>
          <t>HALMSTAD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21664-2019</t>
        </is>
      </c>
      <c r="B195" s="1" t="n">
        <v>43581</v>
      </c>
      <c r="C195" s="1" t="n">
        <v>45832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21649-2019</t>
        </is>
      </c>
      <c r="B196" s="1" t="n">
        <v>43581</v>
      </c>
      <c r="C196" s="1" t="n">
        <v>45832</v>
      </c>
      <c r="D196" t="inlineStr">
        <is>
          <t>HALLANDS LÄN</t>
        </is>
      </c>
      <c r="E196" t="inlineStr">
        <is>
          <t>HYLTE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21824-2019</t>
        </is>
      </c>
      <c r="B197" s="1" t="n">
        <v>43583</v>
      </c>
      <c r="C197" s="1" t="n">
        <v>45832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21944-2019</t>
        </is>
      </c>
      <c r="B198" s="1" t="n">
        <v>43584</v>
      </c>
      <c r="C198" s="1" t="n">
        <v>45832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21996-2019</t>
        </is>
      </c>
      <c r="B199" s="1" t="n">
        <v>43584</v>
      </c>
      <c r="C199" s="1" t="n">
        <v>45832</v>
      </c>
      <c r="D199" t="inlineStr">
        <is>
          <t>HALLANDS LÄN</t>
        </is>
      </c>
      <c r="E199" t="inlineStr">
        <is>
          <t>KUNGSBACKA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21988-2019</t>
        </is>
      </c>
      <c r="B200" s="1" t="n">
        <v>43584</v>
      </c>
      <c r="C200" s="1" t="n">
        <v>45832</v>
      </c>
      <c r="D200" t="inlineStr">
        <is>
          <t>HALLANDS LÄN</t>
        </is>
      </c>
      <c r="E200" t="inlineStr">
        <is>
          <t>HYLTE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22474-2019</t>
        </is>
      </c>
      <c r="B201" s="1" t="n">
        <v>43587</v>
      </c>
      <c r="C201" s="1" t="n">
        <v>45832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22488-2019</t>
        </is>
      </c>
      <c r="B202" s="1" t="n">
        <v>43587</v>
      </c>
      <c r="C202" s="1" t="n">
        <v>45832</v>
      </c>
      <c r="D202" t="inlineStr">
        <is>
          <t>HALLANDS LÄN</t>
        </is>
      </c>
      <c r="E202" t="inlineStr">
        <is>
          <t>LAHOLM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22407-2019</t>
        </is>
      </c>
      <c r="B203" s="1" t="n">
        <v>43587</v>
      </c>
      <c r="C203" s="1" t="n">
        <v>45832</v>
      </c>
      <c r="D203" t="inlineStr">
        <is>
          <t>HALLANDS LÄN</t>
        </is>
      </c>
      <c r="E203" t="inlineStr">
        <is>
          <t>HYLTE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22652-2019</t>
        </is>
      </c>
      <c r="B204" s="1" t="n">
        <v>43588</v>
      </c>
      <c r="C204" s="1" t="n">
        <v>45832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22651-2019</t>
        </is>
      </c>
      <c r="B205" s="1" t="n">
        <v>43588</v>
      </c>
      <c r="C205" s="1" t="n">
        <v>45832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22855-2019</t>
        </is>
      </c>
      <c r="B206" s="1" t="n">
        <v>43591</v>
      </c>
      <c r="C206" s="1" t="n">
        <v>45832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22856-2019</t>
        </is>
      </c>
      <c r="B207" s="1" t="n">
        <v>43591</v>
      </c>
      <c r="C207" s="1" t="n">
        <v>45832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23113-2019</t>
        </is>
      </c>
      <c r="B208" s="1" t="n">
        <v>43592</v>
      </c>
      <c r="C208" s="1" t="n">
        <v>45832</v>
      </c>
      <c r="D208" t="inlineStr">
        <is>
          <t>HALLANDS LÄN</t>
        </is>
      </c>
      <c r="E208" t="inlineStr">
        <is>
          <t>LAHOLM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23219-2019</t>
        </is>
      </c>
      <c r="B209" s="1" t="n">
        <v>43592</v>
      </c>
      <c r="C209" s="1" t="n">
        <v>45832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23552-2019</t>
        </is>
      </c>
      <c r="B210" s="1" t="n">
        <v>43593</v>
      </c>
      <c r="C210" s="1" t="n">
        <v>45832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23522-2019</t>
        </is>
      </c>
      <c r="B211" s="1" t="n">
        <v>43593</v>
      </c>
      <c r="C211" s="1" t="n">
        <v>45832</v>
      </c>
      <c r="D211" t="inlineStr">
        <is>
          <t>HALLANDS LÄN</t>
        </is>
      </c>
      <c r="E211" t="inlineStr">
        <is>
          <t>HALMSTAD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23924-2019</t>
        </is>
      </c>
      <c r="B212" s="1" t="n">
        <v>43595</v>
      </c>
      <c r="C212" s="1" t="n">
        <v>45832</v>
      </c>
      <c r="D212" t="inlineStr">
        <is>
          <t>HALLANDS LÄN</t>
        </is>
      </c>
      <c r="E212" t="inlineStr">
        <is>
          <t>FALKENBERG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23857-2019</t>
        </is>
      </c>
      <c r="B213" s="1" t="n">
        <v>43595</v>
      </c>
      <c r="C213" s="1" t="n">
        <v>45832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24057-2019</t>
        </is>
      </c>
      <c r="B214" s="1" t="n">
        <v>43598</v>
      </c>
      <c r="C214" s="1" t="n">
        <v>45832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24047-2019</t>
        </is>
      </c>
      <c r="B215" s="1" t="n">
        <v>43598</v>
      </c>
      <c r="C215" s="1" t="n">
        <v>45832</v>
      </c>
      <c r="D215" t="inlineStr">
        <is>
          <t>HALLANDS LÄN</t>
        </is>
      </c>
      <c r="E215" t="inlineStr">
        <is>
          <t>LAHOLM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24232-2019</t>
        </is>
      </c>
      <c r="B216" s="1" t="n">
        <v>43599</v>
      </c>
      <c r="C216" s="1" t="n">
        <v>45832</v>
      </c>
      <c r="D216" t="inlineStr">
        <is>
          <t>HALLANDS LÄN</t>
        </is>
      </c>
      <c r="E216" t="inlineStr">
        <is>
          <t>VARBERG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24264-2019</t>
        </is>
      </c>
      <c r="B217" s="1" t="n">
        <v>43599</v>
      </c>
      <c r="C217" s="1" t="n">
        <v>45832</v>
      </c>
      <c r="D217" t="inlineStr">
        <is>
          <t>HALLANDS LÄN</t>
        </is>
      </c>
      <c r="E217" t="inlineStr">
        <is>
          <t>VARBERG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24269-2019</t>
        </is>
      </c>
      <c r="B218" s="1" t="n">
        <v>43599</v>
      </c>
      <c r="C218" s="1" t="n">
        <v>45832</v>
      </c>
      <c r="D218" t="inlineStr">
        <is>
          <t>HALLANDS LÄN</t>
        </is>
      </c>
      <c r="E218" t="inlineStr">
        <is>
          <t>VARBERG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24480-2019</t>
        </is>
      </c>
      <c r="B219" s="1" t="n">
        <v>43600</v>
      </c>
      <c r="C219" s="1" t="n">
        <v>45832</v>
      </c>
      <c r="D219" t="inlineStr">
        <is>
          <t>HALLANDS LÄN</t>
        </is>
      </c>
      <c r="E219" t="inlineStr">
        <is>
          <t>HALMSTAD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24588-2019</t>
        </is>
      </c>
      <c r="B220" s="1" t="n">
        <v>43601</v>
      </c>
      <c r="C220" s="1" t="n">
        <v>45832</v>
      </c>
      <c r="D220" t="inlineStr">
        <is>
          <t>HALLANDS LÄN</t>
        </is>
      </c>
      <c r="E220" t="inlineStr">
        <is>
          <t>VARBERG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24587-2019</t>
        </is>
      </c>
      <c r="B221" s="1" t="n">
        <v>43601</v>
      </c>
      <c r="C221" s="1" t="n">
        <v>45832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25198-2019</t>
        </is>
      </c>
      <c r="B222" s="1" t="n">
        <v>43605</v>
      </c>
      <c r="C222" s="1" t="n">
        <v>45832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25222-2019</t>
        </is>
      </c>
      <c r="B223" s="1" t="n">
        <v>43605</v>
      </c>
      <c r="C223" s="1" t="n">
        <v>45832</v>
      </c>
      <c r="D223" t="inlineStr">
        <is>
          <t>HALLANDS LÄN</t>
        </is>
      </c>
      <c r="E223" t="inlineStr">
        <is>
          <t>HALMSTAD</t>
        </is>
      </c>
      <c r="F223" t="inlineStr">
        <is>
          <t>Övriga statliga verk och myndigheter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26295-2019</t>
        </is>
      </c>
      <c r="B224" s="1" t="n">
        <v>43606</v>
      </c>
      <c r="C224" s="1" t="n">
        <v>45832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26354-2019</t>
        </is>
      </c>
      <c r="B225" s="1" t="n">
        <v>43606</v>
      </c>
      <c r="C225" s="1" t="n">
        <v>45832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25536-2019</t>
        </is>
      </c>
      <c r="B226" s="1" t="n">
        <v>43606</v>
      </c>
      <c r="C226" s="1" t="n">
        <v>45832</v>
      </c>
      <c r="D226" t="inlineStr">
        <is>
          <t>HALLANDS LÄN</t>
        </is>
      </c>
      <c r="E226" t="inlineStr">
        <is>
          <t>KUNGSBACKA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25571-2019</t>
        </is>
      </c>
      <c r="B227" s="1" t="n">
        <v>43607</v>
      </c>
      <c r="C227" s="1" t="n">
        <v>45832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25913-2019</t>
        </is>
      </c>
      <c r="B228" s="1" t="n">
        <v>43608</v>
      </c>
      <c r="C228" s="1" t="n">
        <v>45832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26135-2019</t>
        </is>
      </c>
      <c r="B229" s="1" t="n">
        <v>43609</v>
      </c>
      <c r="C229" s="1" t="n">
        <v>45832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26454-2019</t>
        </is>
      </c>
      <c r="B230" s="1" t="n">
        <v>43612</v>
      </c>
      <c r="C230" s="1" t="n">
        <v>45832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26392-2019</t>
        </is>
      </c>
      <c r="B231" s="1" t="n">
        <v>43612</v>
      </c>
      <c r="C231" s="1" t="n">
        <v>45832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26463-2019</t>
        </is>
      </c>
      <c r="B232" s="1" t="n">
        <v>43612</v>
      </c>
      <c r="C232" s="1" t="n">
        <v>45832</v>
      </c>
      <c r="D232" t="inlineStr">
        <is>
          <t>HALLANDS LÄN</t>
        </is>
      </c>
      <c r="E232" t="inlineStr">
        <is>
          <t>HYLTE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26455-2019</t>
        </is>
      </c>
      <c r="B233" s="1" t="n">
        <v>43612</v>
      </c>
      <c r="C233" s="1" t="n">
        <v>45832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26930-2019</t>
        </is>
      </c>
      <c r="B234" s="1" t="n">
        <v>43613</v>
      </c>
      <c r="C234" s="1" t="n">
        <v>45832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26744-2019</t>
        </is>
      </c>
      <c r="B235" s="1" t="n">
        <v>43613</v>
      </c>
      <c r="C235" s="1" t="n">
        <v>45832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28901-2019</t>
        </is>
      </c>
      <c r="B236" s="1" t="n">
        <v>43616</v>
      </c>
      <c r="C236" s="1" t="n">
        <v>45832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27664-2019</t>
        </is>
      </c>
      <c r="B237" s="1" t="n">
        <v>43619</v>
      </c>
      <c r="C237" s="1" t="n">
        <v>45832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27675-2019</t>
        </is>
      </c>
      <c r="B238" s="1" t="n">
        <v>43619</v>
      </c>
      <c r="C238" s="1" t="n">
        <v>45832</v>
      </c>
      <c r="D238" t="inlineStr">
        <is>
          <t>HALLANDS LÄN</t>
        </is>
      </c>
      <c r="E238" t="inlineStr">
        <is>
          <t>FALKENBERG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27633-2019</t>
        </is>
      </c>
      <c r="B239" s="1" t="n">
        <v>43619</v>
      </c>
      <c r="C239" s="1" t="n">
        <v>45832</v>
      </c>
      <c r="D239" t="inlineStr">
        <is>
          <t>HALLANDS LÄN</t>
        </is>
      </c>
      <c r="E239" t="inlineStr">
        <is>
          <t>FALKENBERG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27555-2019</t>
        </is>
      </c>
      <c r="B240" s="1" t="n">
        <v>43619</v>
      </c>
      <c r="C240" s="1" t="n">
        <v>45832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27638-2019</t>
        </is>
      </c>
      <c r="B241" s="1" t="n">
        <v>43619</v>
      </c>
      <c r="C241" s="1" t="n">
        <v>45832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28926-2019</t>
        </is>
      </c>
      <c r="B242" s="1" t="n">
        <v>43619</v>
      </c>
      <c r="C242" s="1" t="n">
        <v>45832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27467-2019</t>
        </is>
      </c>
      <c r="B243" s="1" t="n">
        <v>43619</v>
      </c>
      <c r="C243" s="1" t="n">
        <v>45832</v>
      </c>
      <c r="D243" t="inlineStr">
        <is>
          <t>HALLANDS LÄN</t>
        </is>
      </c>
      <c r="E243" t="inlineStr">
        <is>
          <t>KUNGSBACKA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27666-2019</t>
        </is>
      </c>
      <c r="B244" s="1" t="n">
        <v>43619</v>
      </c>
      <c r="C244" s="1" t="n">
        <v>45832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27848-2019</t>
        </is>
      </c>
      <c r="B245" s="1" t="n">
        <v>43620</v>
      </c>
      <c r="C245" s="1" t="n">
        <v>45832</v>
      </c>
      <c r="D245" t="inlineStr">
        <is>
          <t>HALLANDS LÄN</t>
        </is>
      </c>
      <c r="E245" t="inlineStr">
        <is>
          <t>HYLTE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27854-2019</t>
        </is>
      </c>
      <c r="B246" s="1" t="n">
        <v>43620</v>
      </c>
      <c r="C246" s="1" t="n">
        <v>45832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27956-2019</t>
        </is>
      </c>
      <c r="B247" s="1" t="n">
        <v>43620</v>
      </c>
      <c r="C247" s="1" t="n">
        <v>45832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27796-2019</t>
        </is>
      </c>
      <c r="B248" s="1" t="n">
        <v>43620</v>
      </c>
      <c r="C248" s="1" t="n">
        <v>45832</v>
      </c>
      <c r="D248" t="inlineStr">
        <is>
          <t>HALLANDS LÄN</t>
        </is>
      </c>
      <c r="E248" t="inlineStr">
        <is>
          <t>HALMSTAD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27853-2019</t>
        </is>
      </c>
      <c r="B249" s="1" t="n">
        <v>43620</v>
      </c>
      <c r="C249" s="1" t="n">
        <v>45832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28032-2019</t>
        </is>
      </c>
      <c r="B250" s="1" t="n">
        <v>43621</v>
      </c>
      <c r="C250" s="1" t="n">
        <v>45832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28305-2019</t>
        </is>
      </c>
      <c r="B251" s="1" t="n">
        <v>43623</v>
      </c>
      <c r="C251" s="1" t="n">
        <v>45832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28459-2019</t>
        </is>
      </c>
      <c r="B252" s="1" t="n">
        <v>43626</v>
      </c>
      <c r="C252" s="1" t="n">
        <v>45832</v>
      </c>
      <c r="D252" t="inlineStr">
        <is>
          <t>HALLANDS LÄN</t>
        </is>
      </c>
      <c r="E252" t="inlineStr">
        <is>
          <t>KUNGSBACKA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28753-2019</t>
        </is>
      </c>
      <c r="B253" s="1" t="n">
        <v>43627</v>
      </c>
      <c r="C253" s="1" t="n">
        <v>45832</v>
      </c>
      <c r="D253" t="inlineStr">
        <is>
          <t>HALLANDS LÄN</t>
        </is>
      </c>
      <c r="E253" t="inlineStr">
        <is>
          <t>LAHOLM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28658-2019</t>
        </is>
      </c>
      <c r="B254" s="1" t="n">
        <v>43627</v>
      </c>
      <c r="C254" s="1" t="n">
        <v>45832</v>
      </c>
      <c r="D254" t="inlineStr">
        <is>
          <t>HALLANDS LÄN</t>
        </is>
      </c>
      <c r="E254" t="inlineStr">
        <is>
          <t>FALKENBERG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29059-2019</t>
        </is>
      </c>
      <c r="B255" s="1" t="n">
        <v>43628</v>
      </c>
      <c r="C255" s="1" t="n">
        <v>45832</v>
      </c>
      <c r="D255" t="inlineStr">
        <is>
          <t>HALLANDS LÄN</t>
        </is>
      </c>
      <c r="E255" t="inlineStr">
        <is>
          <t>VARBERG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28910-2019</t>
        </is>
      </c>
      <c r="B256" s="1" t="n">
        <v>43628</v>
      </c>
      <c r="C256" s="1" t="n">
        <v>45832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29819-2019</t>
        </is>
      </c>
      <c r="B257" s="1" t="n">
        <v>43633</v>
      </c>
      <c r="C257" s="1" t="n">
        <v>45832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29870-2019</t>
        </is>
      </c>
      <c r="B258" s="1" t="n">
        <v>43633</v>
      </c>
      <c r="C258" s="1" t="n">
        <v>45832</v>
      </c>
      <c r="D258" t="inlineStr">
        <is>
          <t>HALLANDS LÄN</t>
        </is>
      </c>
      <c r="E258" t="inlineStr">
        <is>
          <t>HALMSTAD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30422-2019</t>
        </is>
      </c>
      <c r="B259" s="1" t="n">
        <v>43633</v>
      </c>
      <c r="C259" s="1" t="n">
        <v>45832</v>
      </c>
      <c r="D259" t="inlineStr">
        <is>
          <t>HALLANDS LÄN</t>
        </is>
      </c>
      <c r="E259" t="inlineStr">
        <is>
          <t>HALMSTAD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30222-2019</t>
        </is>
      </c>
      <c r="B260" s="1" t="n">
        <v>43634</v>
      </c>
      <c r="C260" s="1" t="n">
        <v>45832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30224-2019</t>
        </is>
      </c>
      <c r="B261" s="1" t="n">
        <v>43634</v>
      </c>
      <c r="C261" s="1" t="n">
        <v>45832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30555-2019</t>
        </is>
      </c>
      <c r="B262" s="1" t="n">
        <v>43635</v>
      </c>
      <c r="C262" s="1" t="n">
        <v>45832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30560-2019</t>
        </is>
      </c>
      <c r="B263" s="1" t="n">
        <v>43635</v>
      </c>
      <c r="C263" s="1" t="n">
        <v>45832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30557-2019</t>
        </is>
      </c>
      <c r="B264" s="1" t="n">
        <v>43635</v>
      </c>
      <c r="C264" s="1" t="n">
        <v>45832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30490-2019</t>
        </is>
      </c>
      <c r="B265" s="1" t="n">
        <v>43635</v>
      </c>
      <c r="C265" s="1" t="n">
        <v>45832</v>
      </c>
      <c r="D265" t="inlineStr">
        <is>
          <t>HALLANDS LÄN</t>
        </is>
      </c>
      <c r="E265" t="inlineStr">
        <is>
          <t>HALMSTAD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30846-2019</t>
        </is>
      </c>
      <c r="B266" s="1" t="n">
        <v>43636</v>
      </c>
      <c r="C266" s="1" t="n">
        <v>45832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31498-2019</t>
        </is>
      </c>
      <c r="B267" s="1" t="n">
        <v>43641</v>
      </c>
      <c r="C267" s="1" t="n">
        <v>45832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31527-2019</t>
        </is>
      </c>
      <c r="B268" s="1" t="n">
        <v>43641</v>
      </c>
      <c r="C268" s="1" t="n">
        <v>45832</v>
      </c>
      <c r="D268" t="inlineStr">
        <is>
          <t>HALLANDS LÄN</t>
        </is>
      </c>
      <c r="E268" t="inlineStr">
        <is>
          <t>HALMSTAD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31367-2019</t>
        </is>
      </c>
      <c r="B269" s="1" t="n">
        <v>43641</v>
      </c>
      <c r="C269" s="1" t="n">
        <v>45832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31800-2019</t>
        </is>
      </c>
      <c r="B270" s="1" t="n">
        <v>43642</v>
      </c>
      <c r="C270" s="1" t="n">
        <v>45832</v>
      </c>
      <c r="D270" t="inlineStr">
        <is>
          <t>HALLANDS LÄN</t>
        </is>
      </c>
      <c r="E270" t="inlineStr">
        <is>
          <t>VARBERG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32059-2019</t>
        </is>
      </c>
      <c r="B271" s="1" t="n">
        <v>43643</v>
      </c>
      <c r="C271" s="1" t="n">
        <v>45832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32437-2019</t>
        </is>
      </c>
      <c r="B272" s="1" t="n">
        <v>43644</v>
      </c>
      <c r="C272" s="1" t="n">
        <v>45832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32265-2019</t>
        </is>
      </c>
      <c r="B273" s="1" t="n">
        <v>43644</v>
      </c>
      <c r="C273" s="1" t="n">
        <v>45832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32713-2019</t>
        </is>
      </c>
      <c r="B274" s="1" t="n">
        <v>43647</v>
      </c>
      <c r="C274" s="1" t="n">
        <v>45832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32803-2019</t>
        </is>
      </c>
      <c r="B275" s="1" t="n">
        <v>43648</v>
      </c>
      <c r="C275" s="1" t="n">
        <v>45832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32755-2019</t>
        </is>
      </c>
      <c r="B276" s="1" t="n">
        <v>43648</v>
      </c>
      <c r="C276" s="1" t="n">
        <v>45832</v>
      </c>
      <c r="D276" t="inlineStr">
        <is>
          <t>HALLANDS LÄN</t>
        </is>
      </c>
      <c r="E276" t="inlineStr">
        <is>
          <t>HALMSTAD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32802-2019</t>
        </is>
      </c>
      <c r="B277" s="1" t="n">
        <v>43648</v>
      </c>
      <c r="C277" s="1" t="n">
        <v>45832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33205-2019</t>
        </is>
      </c>
      <c r="B278" s="1" t="n">
        <v>43649</v>
      </c>
      <c r="C278" s="1" t="n">
        <v>45832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33945-2019</t>
        </is>
      </c>
      <c r="B279" s="1" t="n">
        <v>43654</v>
      </c>
      <c r="C279" s="1" t="n">
        <v>45832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34029-2019</t>
        </is>
      </c>
      <c r="B280" s="1" t="n">
        <v>43654</v>
      </c>
      <c r="C280" s="1" t="n">
        <v>45832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34403-2019</t>
        </is>
      </c>
      <c r="B281" s="1" t="n">
        <v>43656</v>
      </c>
      <c r="C281" s="1" t="n">
        <v>45832</v>
      </c>
      <c r="D281" t="inlineStr">
        <is>
          <t>HALLANDS LÄN</t>
        </is>
      </c>
      <c r="E281" t="inlineStr">
        <is>
          <t>FALKENBERG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34479-2019</t>
        </is>
      </c>
      <c r="B282" s="1" t="n">
        <v>43656</v>
      </c>
      <c r="C282" s="1" t="n">
        <v>45832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34407-2019</t>
        </is>
      </c>
      <c r="B283" s="1" t="n">
        <v>43656</v>
      </c>
      <c r="C283" s="1" t="n">
        <v>45832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34730-2019</t>
        </is>
      </c>
      <c r="B284" s="1" t="n">
        <v>43657</v>
      </c>
      <c r="C284" s="1" t="n">
        <v>45832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34825-2019</t>
        </is>
      </c>
      <c r="B285" s="1" t="n">
        <v>43658</v>
      </c>
      <c r="C285" s="1" t="n">
        <v>45832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34835-2019</t>
        </is>
      </c>
      <c r="B286" s="1" t="n">
        <v>43658</v>
      </c>
      <c r="C286" s="1" t="n">
        <v>45832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34826-2019</t>
        </is>
      </c>
      <c r="B287" s="1" t="n">
        <v>43658</v>
      </c>
      <c r="C287" s="1" t="n">
        <v>45832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34849-2019</t>
        </is>
      </c>
      <c r="B288" s="1" t="n">
        <v>43658</v>
      </c>
      <c r="C288" s="1" t="n">
        <v>45832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34850-2019</t>
        </is>
      </c>
      <c r="B289" s="1" t="n">
        <v>43658</v>
      </c>
      <c r="C289" s="1" t="n">
        <v>45832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35077-2019</t>
        </is>
      </c>
      <c r="B290" s="1" t="n">
        <v>43661</v>
      </c>
      <c r="C290" s="1" t="n">
        <v>45832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35274-2019</t>
        </is>
      </c>
      <c r="B291" s="1" t="n">
        <v>43662</v>
      </c>
      <c r="C291" s="1" t="n">
        <v>45832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35263-2019</t>
        </is>
      </c>
      <c r="B292" s="1" t="n">
        <v>43662</v>
      </c>
      <c r="C292" s="1" t="n">
        <v>45832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35265-2019</t>
        </is>
      </c>
      <c r="B293" s="1" t="n">
        <v>43662</v>
      </c>
      <c r="C293" s="1" t="n">
        <v>45832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35446-2019</t>
        </is>
      </c>
      <c r="B294" s="1" t="n">
        <v>43663</v>
      </c>
      <c r="C294" s="1" t="n">
        <v>45832</v>
      </c>
      <c r="D294" t="inlineStr">
        <is>
          <t>HALLANDS LÄN</t>
        </is>
      </c>
      <c r="E294" t="inlineStr">
        <is>
          <t>KUNGSBACKA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35435-2019</t>
        </is>
      </c>
      <c r="B295" s="1" t="n">
        <v>43663</v>
      </c>
      <c r="C295" s="1" t="n">
        <v>45832</v>
      </c>
      <c r="D295" t="inlineStr">
        <is>
          <t>HALLANDS LÄN</t>
        </is>
      </c>
      <c r="E295" t="inlineStr">
        <is>
          <t>HYLTE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35652-2019</t>
        </is>
      </c>
      <c r="B296" s="1" t="n">
        <v>43664</v>
      </c>
      <c r="C296" s="1" t="n">
        <v>45832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35774-2019</t>
        </is>
      </c>
      <c r="B297" s="1" t="n">
        <v>43665</v>
      </c>
      <c r="C297" s="1" t="n">
        <v>45832</v>
      </c>
      <c r="D297" t="inlineStr">
        <is>
          <t>HALLANDS LÄN</t>
        </is>
      </c>
      <c r="E297" t="inlineStr">
        <is>
          <t>HYLTE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35892-2019</t>
        </is>
      </c>
      <c r="B298" s="1" t="n">
        <v>43665</v>
      </c>
      <c r="C298" s="1" t="n">
        <v>45832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35881-2019</t>
        </is>
      </c>
      <c r="B299" s="1" t="n">
        <v>43665</v>
      </c>
      <c r="C299" s="1" t="n">
        <v>45832</v>
      </c>
      <c r="D299" t="inlineStr">
        <is>
          <t>HALLANDS LÄN</t>
        </is>
      </c>
      <c r="E299" t="inlineStr">
        <is>
          <t>FALKENBERG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35874-2019</t>
        </is>
      </c>
      <c r="B300" s="1" t="n">
        <v>43665</v>
      </c>
      <c r="C300" s="1" t="n">
        <v>45832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35889-2019</t>
        </is>
      </c>
      <c r="B301" s="1" t="n">
        <v>43665</v>
      </c>
      <c r="C301" s="1" t="n">
        <v>45832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35866-2019</t>
        </is>
      </c>
      <c r="B302" s="1" t="n">
        <v>43665</v>
      </c>
      <c r="C302" s="1" t="n">
        <v>45832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36035-2019</t>
        </is>
      </c>
      <c r="B303" s="1" t="n">
        <v>43668</v>
      </c>
      <c r="C303" s="1" t="n">
        <v>45832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36033-2019</t>
        </is>
      </c>
      <c r="B304" s="1" t="n">
        <v>43668</v>
      </c>
      <c r="C304" s="1" t="n">
        <v>45832</v>
      </c>
      <c r="D304" t="inlineStr">
        <is>
          <t>HALLANDS LÄN</t>
        </is>
      </c>
      <c r="E304" t="inlineStr">
        <is>
          <t>HYLTE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36173-2019</t>
        </is>
      </c>
      <c r="B305" s="1" t="n">
        <v>43668</v>
      </c>
      <c r="C305" s="1" t="n">
        <v>45832</v>
      </c>
      <c r="D305" t="inlineStr">
        <is>
          <t>HALLANDS LÄN</t>
        </is>
      </c>
      <c r="E305" t="inlineStr">
        <is>
          <t>FALKENBERG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36036-2019</t>
        </is>
      </c>
      <c r="B306" s="1" t="n">
        <v>43668</v>
      </c>
      <c r="C306" s="1" t="n">
        <v>45832</v>
      </c>
      <c r="D306" t="inlineStr">
        <is>
          <t>HALLANDS LÄN</t>
        </is>
      </c>
      <c r="E306" t="inlineStr">
        <is>
          <t>HYLTE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36030-2019</t>
        </is>
      </c>
      <c r="B307" s="1" t="n">
        <v>43668</v>
      </c>
      <c r="C307" s="1" t="n">
        <v>45832</v>
      </c>
      <c r="D307" t="inlineStr">
        <is>
          <t>HALLANDS LÄN</t>
        </is>
      </c>
      <c r="E307" t="inlineStr">
        <is>
          <t>HYLTE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36172-2019</t>
        </is>
      </c>
      <c r="B308" s="1" t="n">
        <v>43668</v>
      </c>
      <c r="C308" s="1" t="n">
        <v>45832</v>
      </c>
      <c r="D308" t="inlineStr">
        <is>
          <t>HALLANDS LÄN</t>
        </is>
      </c>
      <c r="E308" t="inlineStr">
        <is>
          <t>FALKENBERG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36216-2019</t>
        </is>
      </c>
      <c r="B309" s="1" t="n">
        <v>43669</v>
      </c>
      <c r="C309" s="1" t="n">
        <v>45832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36757-2019</t>
        </is>
      </c>
      <c r="B310" s="1" t="n">
        <v>43672</v>
      </c>
      <c r="C310" s="1" t="n">
        <v>45832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37692-2019</t>
        </is>
      </c>
      <c r="B311" s="1" t="n">
        <v>43682</v>
      </c>
      <c r="C311" s="1" t="n">
        <v>45832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37739-2019</t>
        </is>
      </c>
      <c r="B312" s="1" t="n">
        <v>43682</v>
      </c>
      <c r="C312" s="1" t="n">
        <v>45832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37686-2019</t>
        </is>
      </c>
      <c r="B313" s="1" t="n">
        <v>43682</v>
      </c>
      <c r="C313" s="1" t="n">
        <v>45832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37672-2019</t>
        </is>
      </c>
      <c r="B314" s="1" t="n">
        <v>43682</v>
      </c>
      <c r="C314" s="1" t="n">
        <v>45832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37690-2019</t>
        </is>
      </c>
      <c r="B315" s="1" t="n">
        <v>43682</v>
      </c>
      <c r="C315" s="1" t="n">
        <v>45832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37682-2019</t>
        </is>
      </c>
      <c r="B316" s="1" t="n">
        <v>43682</v>
      </c>
      <c r="C316" s="1" t="n">
        <v>45832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38397-2019</t>
        </is>
      </c>
      <c r="B317" s="1" t="n">
        <v>43685</v>
      </c>
      <c r="C317" s="1" t="n">
        <v>45832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38402-2019</t>
        </is>
      </c>
      <c r="B318" s="1" t="n">
        <v>43685</v>
      </c>
      <c r="C318" s="1" t="n">
        <v>45832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38958-2019</t>
        </is>
      </c>
      <c r="B319" s="1" t="n">
        <v>43685</v>
      </c>
      <c r="C319" s="1" t="n">
        <v>45832</v>
      </c>
      <c r="D319" t="inlineStr">
        <is>
          <t>HALLANDS LÄN</t>
        </is>
      </c>
      <c r="E319" t="inlineStr">
        <is>
          <t>HALMSTAD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38962-2019</t>
        </is>
      </c>
      <c r="B320" s="1" t="n">
        <v>43685</v>
      </c>
      <c r="C320" s="1" t="n">
        <v>45832</v>
      </c>
      <c r="D320" t="inlineStr">
        <is>
          <t>HALLANDS LÄN</t>
        </is>
      </c>
      <c r="E320" t="inlineStr">
        <is>
          <t>HALMSTAD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38933-2019</t>
        </is>
      </c>
      <c r="B321" s="1" t="n">
        <v>43689</v>
      </c>
      <c r="C321" s="1" t="n">
        <v>45832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38968-2019</t>
        </is>
      </c>
      <c r="B322" s="1" t="n">
        <v>43689</v>
      </c>
      <c r="C322" s="1" t="n">
        <v>45832</v>
      </c>
      <c r="D322" t="inlineStr">
        <is>
          <t>HALLANDS LÄN</t>
        </is>
      </c>
      <c r="E322" t="inlineStr">
        <is>
          <t>FALKENBERG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39657-2019</t>
        </is>
      </c>
      <c r="B323" s="1" t="n">
        <v>43691</v>
      </c>
      <c r="C323" s="1" t="n">
        <v>45832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39792-2019</t>
        </is>
      </c>
      <c r="B324" s="1" t="n">
        <v>43692</v>
      </c>
      <c r="C324" s="1" t="n">
        <v>45832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39820-2019</t>
        </is>
      </c>
      <c r="B325" s="1" t="n">
        <v>43692</v>
      </c>
      <c r="C325" s="1" t="n">
        <v>45832</v>
      </c>
      <c r="D325" t="inlineStr">
        <is>
          <t>HALLANDS LÄN</t>
        </is>
      </c>
      <c r="E325" t="inlineStr">
        <is>
          <t>HALMSTAD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40574-2019</t>
        </is>
      </c>
      <c r="B326" s="1" t="n">
        <v>43696</v>
      </c>
      <c r="C326" s="1" t="n">
        <v>45832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41810-2019</t>
        </is>
      </c>
      <c r="B327" s="1" t="n">
        <v>43697</v>
      </c>
      <c r="C327" s="1" t="n">
        <v>45832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41813-2019</t>
        </is>
      </c>
      <c r="B328" s="1" t="n">
        <v>43697</v>
      </c>
      <c r="C328" s="1" t="n">
        <v>45832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41064-2019</t>
        </is>
      </c>
      <c r="B329" s="1" t="n">
        <v>43698</v>
      </c>
      <c r="C329" s="1" t="n">
        <v>45832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41093-2019</t>
        </is>
      </c>
      <c r="B330" s="1" t="n">
        <v>43698</v>
      </c>
      <c r="C330" s="1" t="n">
        <v>45832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41177-2019</t>
        </is>
      </c>
      <c r="B331" s="1" t="n">
        <v>43698</v>
      </c>
      <c r="C331" s="1" t="n">
        <v>45832</v>
      </c>
      <c r="D331" t="inlineStr">
        <is>
          <t>HALLANDS LÄN</t>
        </is>
      </c>
      <c r="E331" t="inlineStr">
        <is>
          <t>HALMSTAD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41295-2019</t>
        </is>
      </c>
      <c r="B332" s="1" t="n">
        <v>43698</v>
      </c>
      <c r="C332" s="1" t="n">
        <v>45832</v>
      </c>
      <c r="D332" t="inlineStr">
        <is>
          <t>HALLANDS LÄN</t>
        </is>
      </c>
      <c r="E332" t="inlineStr">
        <is>
          <t>HALMSTAD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41302-2019</t>
        </is>
      </c>
      <c r="B333" s="1" t="n">
        <v>43698</v>
      </c>
      <c r="C333" s="1" t="n">
        <v>45832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41301-2019</t>
        </is>
      </c>
      <c r="B334" s="1" t="n">
        <v>43698</v>
      </c>
      <c r="C334" s="1" t="n">
        <v>45832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42194-2019</t>
        </is>
      </c>
      <c r="B335" s="1" t="n">
        <v>43698</v>
      </c>
      <c r="C335" s="1" t="n">
        <v>45832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42233-2019</t>
        </is>
      </c>
      <c r="B336" s="1" t="n">
        <v>43703</v>
      </c>
      <c r="C336" s="1" t="n">
        <v>45832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42189-2019</t>
        </is>
      </c>
      <c r="B337" s="1" t="n">
        <v>43703</v>
      </c>
      <c r="C337" s="1" t="n">
        <v>45832</v>
      </c>
      <c r="D337" t="inlineStr">
        <is>
          <t>HALLANDS LÄN</t>
        </is>
      </c>
      <c r="E337" t="inlineStr">
        <is>
          <t>LAHOLM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42465-2019</t>
        </is>
      </c>
      <c r="B338" s="1" t="n">
        <v>43704</v>
      </c>
      <c r="C338" s="1" t="n">
        <v>45832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43453-2019</t>
        </is>
      </c>
      <c r="B339" s="1" t="n">
        <v>43704</v>
      </c>
      <c r="C339" s="1" t="n">
        <v>45832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42738-2019</t>
        </is>
      </c>
      <c r="B340" s="1" t="n">
        <v>43704</v>
      </c>
      <c r="C340" s="1" t="n">
        <v>45832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42876-2019</t>
        </is>
      </c>
      <c r="B341" s="1" t="n">
        <v>43705</v>
      </c>
      <c r="C341" s="1" t="n">
        <v>45832</v>
      </c>
      <c r="D341" t="inlineStr">
        <is>
          <t>HALLANDS LÄN</t>
        </is>
      </c>
      <c r="E341" t="inlineStr">
        <is>
          <t>LAHOLM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42934-2019</t>
        </is>
      </c>
      <c r="B342" s="1" t="n">
        <v>43705</v>
      </c>
      <c r="C342" s="1" t="n">
        <v>45832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42989-2019</t>
        </is>
      </c>
      <c r="B343" s="1" t="n">
        <v>43705</v>
      </c>
      <c r="C343" s="1" t="n">
        <v>45832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43497-2019</t>
        </is>
      </c>
      <c r="B344" s="1" t="n">
        <v>43706</v>
      </c>
      <c r="C344" s="1" t="n">
        <v>45832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43888-2019</t>
        </is>
      </c>
      <c r="B345" s="1" t="n">
        <v>43707</v>
      </c>
      <c r="C345" s="1" t="n">
        <v>45832</v>
      </c>
      <c r="D345" t="inlineStr">
        <is>
          <t>HALLANDS LÄN</t>
        </is>
      </c>
      <c r="E345" t="inlineStr">
        <is>
          <t>VARBERG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43936-2019</t>
        </is>
      </c>
      <c r="B346" s="1" t="n">
        <v>43707</v>
      </c>
      <c r="C346" s="1" t="n">
        <v>45832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44084-2019</t>
        </is>
      </c>
      <c r="B347" s="1" t="n">
        <v>43710</v>
      </c>
      <c r="C347" s="1" t="n">
        <v>45832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44159-2019</t>
        </is>
      </c>
      <c r="B348" s="1" t="n">
        <v>43710</v>
      </c>
      <c r="C348" s="1" t="n">
        <v>45832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44258-2019</t>
        </is>
      </c>
      <c r="B349" s="1" t="n">
        <v>43710</v>
      </c>
      <c r="C349" s="1" t="n">
        <v>45832</v>
      </c>
      <c r="D349" t="inlineStr">
        <is>
          <t>HALLANDS LÄN</t>
        </is>
      </c>
      <c r="E349" t="inlineStr">
        <is>
          <t>FALKENBERG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44257-2019</t>
        </is>
      </c>
      <c r="B350" s="1" t="n">
        <v>43710</v>
      </c>
      <c r="C350" s="1" t="n">
        <v>45832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44175-2019</t>
        </is>
      </c>
      <c r="B351" s="1" t="n">
        <v>43710</v>
      </c>
      <c r="C351" s="1" t="n">
        <v>45832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44170-2019</t>
        </is>
      </c>
      <c r="B352" s="1" t="n">
        <v>43710</v>
      </c>
      <c r="C352" s="1" t="n">
        <v>45832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45821-2019</t>
        </is>
      </c>
      <c r="B353" s="1" t="n">
        <v>43712</v>
      </c>
      <c r="C353" s="1" t="n">
        <v>45832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46065-2019</t>
        </is>
      </c>
      <c r="B354" s="1" t="n">
        <v>43712</v>
      </c>
      <c r="C354" s="1" t="n">
        <v>45832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46034-2019</t>
        </is>
      </c>
      <c r="B355" s="1" t="n">
        <v>43712</v>
      </c>
      <c r="C355" s="1" t="n">
        <v>45832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44927-2019</t>
        </is>
      </c>
      <c r="B356" s="1" t="n">
        <v>43713</v>
      </c>
      <c r="C356" s="1" t="n">
        <v>45832</v>
      </c>
      <c r="D356" t="inlineStr">
        <is>
          <t>HALLANDS LÄN</t>
        </is>
      </c>
      <c r="E356" t="inlineStr">
        <is>
          <t>VARBERG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46188-2019</t>
        </is>
      </c>
      <c r="B357" s="1" t="n">
        <v>43718</v>
      </c>
      <c r="C357" s="1" t="n">
        <v>45832</v>
      </c>
      <c r="D357" t="inlineStr">
        <is>
          <t>HALLANDS LÄN</t>
        </is>
      </c>
      <c r="E357" t="inlineStr">
        <is>
          <t>VARBERG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46030-2019</t>
        </is>
      </c>
      <c r="B358" s="1" t="n">
        <v>43718</v>
      </c>
      <c r="C358" s="1" t="n">
        <v>45832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46181-2019</t>
        </is>
      </c>
      <c r="B359" s="1" t="n">
        <v>43718</v>
      </c>
      <c r="C359" s="1" t="n">
        <v>45832</v>
      </c>
      <c r="D359" t="inlineStr">
        <is>
          <t>HALLANDS LÄN</t>
        </is>
      </c>
      <c r="E359" t="inlineStr">
        <is>
          <t>VARBERG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46041-2019</t>
        </is>
      </c>
      <c r="B360" s="1" t="n">
        <v>43718</v>
      </c>
      <c r="C360" s="1" t="n">
        <v>45832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46035-2019</t>
        </is>
      </c>
      <c r="B361" s="1" t="n">
        <v>43718</v>
      </c>
      <c r="C361" s="1" t="n">
        <v>45832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46042-2019</t>
        </is>
      </c>
      <c r="B362" s="1" t="n">
        <v>43718</v>
      </c>
      <c r="C362" s="1" t="n">
        <v>45832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46082-2019</t>
        </is>
      </c>
      <c r="B363" s="1" t="n">
        <v>43718</v>
      </c>
      <c r="C363" s="1" t="n">
        <v>45832</v>
      </c>
      <c r="D363" t="inlineStr">
        <is>
          <t>HALLANDS LÄN</t>
        </is>
      </c>
      <c r="E363" t="inlineStr">
        <is>
          <t>LAHOLM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46088-2019</t>
        </is>
      </c>
      <c r="B364" s="1" t="n">
        <v>43718</v>
      </c>
      <c r="C364" s="1" t="n">
        <v>45832</v>
      </c>
      <c r="D364" t="inlineStr">
        <is>
          <t>HALLANDS LÄN</t>
        </is>
      </c>
      <c r="E364" t="inlineStr">
        <is>
          <t>FALKENBERG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46025-2019</t>
        </is>
      </c>
      <c r="B365" s="1" t="n">
        <v>43718</v>
      </c>
      <c r="C365" s="1" t="n">
        <v>45832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46861-2019</t>
        </is>
      </c>
      <c r="B366" s="1" t="n">
        <v>43719</v>
      </c>
      <c r="C366" s="1" t="n">
        <v>45832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46846-2019</t>
        </is>
      </c>
      <c r="B367" s="1" t="n">
        <v>43720</v>
      </c>
      <c r="C367" s="1" t="n">
        <v>45832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47139-2019</t>
        </is>
      </c>
      <c r="B368" s="1" t="n">
        <v>43721</v>
      </c>
      <c r="C368" s="1" t="n">
        <v>45832</v>
      </c>
      <c r="D368" t="inlineStr">
        <is>
          <t>HALLANDS LÄN</t>
        </is>
      </c>
      <c r="E368" t="inlineStr">
        <is>
          <t>HALMSTAD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47480-2019</t>
        </is>
      </c>
      <c r="B369" s="1" t="n">
        <v>43724</v>
      </c>
      <c r="C369" s="1" t="n">
        <v>45832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47597-2019</t>
        </is>
      </c>
      <c r="B370" s="1" t="n">
        <v>43724</v>
      </c>
      <c r="C370" s="1" t="n">
        <v>45832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47711-2019</t>
        </is>
      </c>
      <c r="B371" s="1" t="n">
        <v>43724</v>
      </c>
      <c r="C371" s="1" t="n">
        <v>45832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48619-2019</t>
        </is>
      </c>
      <c r="B372" s="1" t="n">
        <v>43727</v>
      </c>
      <c r="C372" s="1" t="n">
        <v>45832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48694-2019</t>
        </is>
      </c>
      <c r="B373" s="1" t="n">
        <v>43728</v>
      </c>
      <c r="C373" s="1" t="n">
        <v>45832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49072-2019</t>
        </is>
      </c>
      <c r="B374" s="1" t="n">
        <v>43731</v>
      </c>
      <c r="C374" s="1" t="n">
        <v>45832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50041-2019</t>
        </is>
      </c>
      <c r="B375" s="1" t="n">
        <v>43731</v>
      </c>
      <c r="C375" s="1" t="n">
        <v>45832</v>
      </c>
      <c r="D375" t="inlineStr">
        <is>
          <t>HALLANDS LÄN</t>
        </is>
      </c>
      <c r="E375" t="inlineStr">
        <is>
          <t>HYLTE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50043-2019</t>
        </is>
      </c>
      <c r="B376" s="1" t="n">
        <v>43731</v>
      </c>
      <c r="C376" s="1" t="n">
        <v>45832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51527-2019</t>
        </is>
      </c>
      <c r="B377" s="1" t="n">
        <v>43732</v>
      </c>
      <c r="C377" s="1" t="n">
        <v>45832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49394-2019</t>
        </is>
      </c>
      <c r="B378" s="1" t="n">
        <v>43732</v>
      </c>
      <c r="C378" s="1" t="n">
        <v>45832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49479-2019</t>
        </is>
      </c>
      <c r="B379" s="1" t="n">
        <v>43732</v>
      </c>
      <c r="C379" s="1" t="n">
        <v>45832</v>
      </c>
      <c r="D379" t="inlineStr">
        <is>
          <t>HALLANDS LÄN</t>
        </is>
      </c>
      <c r="E379" t="inlineStr">
        <is>
          <t>FALKENBERG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49405-2019</t>
        </is>
      </c>
      <c r="B380" s="1" t="n">
        <v>43732</v>
      </c>
      <c r="C380" s="1" t="n">
        <v>45832</v>
      </c>
      <c r="D380" t="inlineStr">
        <is>
          <t>HALLANDS LÄN</t>
        </is>
      </c>
      <c r="E380" t="inlineStr">
        <is>
          <t>HYLTE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49808-2019</t>
        </is>
      </c>
      <c r="B381" s="1" t="n">
        <v>43733</v>
      </c>
      <c r="C381" s="1" t="n">
        <v>45832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52070-2019</t>
        </is>
      </c>
      <c r="B382" s="1" t="n">
        <v>43734</v>
      </c>
      <c r="C382" s="1" t="n">
        <v>45832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52666-2019</t>
        </is>
      </c>
      <c r="B383" s="1" t="n">
        <v>43738</v>
      </c>
      <c r="C383" s="1" t="n">
        <v>45832</v>
      </c>
      <c r="D383" t="inlineStr">
        <is>
          <t>HALLANDS LÄN</t>
        </is>
      </c>
      <c r="E383" t="inlineStr">
        <is>
          <t>HYLTE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51308-2019</t>
        </is>
      </c>
      <c r="B384" s="1" t="n">
        <v>43739</v>
      </c>
      <c r="C384" s="1" t="n">
        <v>45832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51306-2019</t>
        </is>
      </c>
      <c r="B385" s="1" t="n">
        <v>43739</v>
      </c>
      <c r="C385" s="1" t="n">
        <v>45832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51495-2019</t>
        </is>
      </c>
      <c r="B386" s="1" t="n">
        <v>43740</v>
      </c>
      <c r="C386" s="1" t="n">
        <v>45832</v>
      </c>
      <c r="D386" t="inlineStr">
        <is>
          <t>HALLANDS LÄN</t>
        </is>
      </c>
      <c r="E386" t="inlineStr">
        <is>
          <t>KUNGSBACKA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51792-2019</t>
        </is>
      </c>
      <c r="B387" s="1" t="n">
        <v>43741</v>
      </c>
      <c r="C387" s="1" t="n">
        <v>45832</v>
      </c>
      <c r="D387" t="inlineStr">
        <is>
          <t>HALLANDS LÄN</t>
        </is>
      </c>
      <c r="E387" t="inlineStr">
        <is>
          <t>LAHOLM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51807-2019</t>
        </is>
      </c>
      <c r="B388" s="1" t="n">
        <v>43741</v>
      </c>
      <c r="C388" s="1" t="n">
        <v>45832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51965-2019</t>
        </is>
      </c>
      <c r="B389" s="1" t="n">
        <v>43742</v>
      </c>
      <c r="C389" s="1" t="n">
        <v>45832</v>
      </c>
      <c r="D389" t="inlineStr">
        <is>
          <t>HALLANDS LÄN</t>
        </is>
      </c>
      <c r="E389" t="inlineStr">
        <is>
          <t>VARBERG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52007-2019</t>
        </is>
      </c>
      <c r="B390" s="1" t="n">
        <v>43742</v>
      </c>
      <c r="C390" s="1" t="n">
        <v>45832</v>
      </c>
      <c r="D390" t="inlineStr">
        <is>
          <t>HALLANDS LÄN</t>
        </is>
      </c>
      <c r="E390" t="inlineStr">
        <is>
          <t>KUNGSBACKA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52003-2019</t>
        </is>
      </c>
      <c r="B391" s="1" t="n">
        <v>43742</v>
      </c>
      <c r="C391" s="1" t="n">
        <v>45832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51977-2019</t>
        </is>
      </c>
      <c r="B392" s="1" t="n">
        <v>43742</v>
      </c>
      <c r="C392" s="1" t="n">
        <v>45832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52002-2019</t>
        </is>
      </c>
      <c r="B393" s="1" t="n">
        <v>43742</v>
      </c>
      <c r="C393" s="1" t="n">
        <v>45832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52133-2019</t>
        </is>
      </c>
      <c r="B394" s="1" t="n">
        <v>43742</v>
      </c>
      <c r="C394" s="1" t="n">
        <v>45832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52108-2019</t>
        </is>
      </c>
      <c r="B395" s="1" t="n">
        <v>43742</v>
      </c>
      <c r="C395" s="1" t="n">
        <v>45832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53861-2019</t>
        </is>
      </c>
      <c r="B396" s="1" t="n">
        <v>43742</v>
      </c>
      <c r="C396" s="1" t="n">
        <v>45832</v>
      </c>
      <c r="D396" t="inlineStr">
        <is>
          <t>HALLANDS LÄN</t>
        </is>
      </c>
      <c r="E396" t="inlineStr">
        <is>
          <t>HALMSTAD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52106-2019</t>
        </is>
      </c>
      <c r="B397" s="1" t="n">
        <v>43742</v>
      </c>
      <c r="C397" s="1" t="n">
        <v>45832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52118-2019</t>
        </is>
      </c>
      <c r="B398" s="1" t="n">
        <v>43742</v>
      </c>
      <c r="C398" s="1" t="n">
        <v>45832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51964-2019</t>
        </is>
      </c>
      <c r="B399" s="1" t="n">
        <v>43742</v>
      </c>
      <c r="C399" s="1" t="n">
        <v>45832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52749-2019</t>
        </is>
      </c>
      <c r="B400" s="1" t="n">
        <v>43746</v>
      </c>
      <c r="C400" s="1" t="n">
        <v>45832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53053-2019</t>
        </is>
      </c>
      <c r="B401" s="1" t="n">
        <v>43747</v>
      </c>
      <c r="C401" s="1" t="n">
        <v>45832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54444-2019</t>
        </is>
      </c>
      <c r="B402" s="1" t="n">
        <v>43747</v>
      </c>
      <c r="C402" s="1" t="n">
        <v>45832</v>
      </c>
      <c r="D402" t="inlineStr">
        <is>
          <t>HALLANDS LÄN</t>
        </is>
      </c>
      <c r="E402" t="inlineStr">
        <is>
          <t>VARBERG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54439-2019</t>
        </is>
      </c>
      <c r="B403" s="1" t="n">
        <v>43747</v>
      </c>
      <c r="C403" s="1" t="n">
        <v>45832</v>
      </c>
      <c r="D403" t="inlineStr">
        <is>
          <t>HALLANDS LÄN</t>
        </is>
      </c>
      <c r="E403" t="inlineStr">
        <is>
          <t>VARBERG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53283-2019</t>
        </is>
      </c>
      <c r="B404" s="1" t="n">
        <v>43748</v>
      </c>
      <c r="C404" s="1" t="n">
        <v>45832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54623-2019</t>
        </is>
      </c>
      <c r="B405" s="1" t="n">
        <v>43748</v>
      </c>
      <c r="C405" s="1" t="n">
        <v>45832</v>
      </c>
      <c r="D405" t="inlineStr">
        <is>
          <t>HALLANDS LÄN</t>
        </is>
      </c>
      <c r="E405" t="inlineStr">
        <is>
          <t>FALKENBERG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54646-2019</t>
        </is>
      </c>
      <c r="B406" s="1" t="n">
        <v>43748</v>
      </c>
      <c r="C406" s="1" t="n">
        <v>45832</v>
      </c>
      <c r="D406" t="inlineStr">
        <is>
          <t>HALLANDS LÄN</t>
        </is>
      </c>
      <c r="E406" t="inlineStr">
        <is>
          <t>VARBERG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53288-2019</t>
        </is>
      </c>
      <c r="B407" s="1" t="n">
        <v>43748</v>
      </c>
      <c r="C407" s="1" t="n">
        <v>45832</v>
      </c>
      <c r="D407" t="inlineStr">
        <is>
          <t>HALLANDS LÄN</t>
        </is>
      </c>
      <c r="E407" t="inlineStr">
        <is>
          <t>KUNGSBACKA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53587-2019</t>
        </is>
      </c>
      <c r="B408" s="1" t="n">
        <v>43749</v>
      </c>
      <c r="C408" s="1" t="n">
        <v>45832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53880-2019</t>
        </is>
      </c>
      <c r="B409" s="1" t="n">
        <v>43752</v>
      </c>
      <c r="C409" s="1" t="n">
        <v>45832</v>
      </c>
      <c r="D409" t="inlineStr">
        <is>
          <t>HALLANDS LÄN</t>
        </is>
      </c>
      <c r="E409" t="inlineStr">
        <is>
          <t>FALKENBERG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54016-2019</t>
        </is>
      </c>
      <c r="B410" s="1" t="n">
        <v>43752</v>
      </c>
      <c r="C410" s="1" t="n">
        <v>45832</v>
      </c>
      <c r="D410" t="inlineStr">
        <is>
          <t>HALLANDS LÄN</t>
        </is>
      </c>
      <c r="E410" t="inlineStr">
        <is>
          <t>LAHOLM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53882-2019</t>
        </is>
      </c>
      <c r="B411" s="1" t="n">
        <v>43752</v>
      </c>
      <c r="C411" s="1" t="n">
        <v>45832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53966-2019</t>
        </is>
      </c>
      <c r="B412" s="1" t="n">
        <v>43752</v>
      </c>
      <c r="C412" s="1" t="n">
        <v>45832</v>
      </c>
      <c r="D412" t="inlineStr">
        <is>
          <t>HALLANDS LÄN</t>
        </is>
      </c>
      <c r="E412" t="inlineStr">
        <is>
          <t>VARBERG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54537-2019</t>
        </is>
      </c>
      <c r="B413" s="1" t="n">
        <v>43754</v>
      </c>
      <c r="C413" s="1" t="n">
        <v>45832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54535-2019</t>
        </is>
      </c>
      <c r="B414" s="1" t="n">
        <v>43754</v>
      </c>
      <c r="C414" s="1" t="n">
        <v>45832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54626-2019</t>
        </is>
      </c>
      <c r="B415" s="1" t="n">
        <v>43754</v>
      </c>
      <c r="C415" s="1" t="n">
        <v>45832</v>
      </c>
      <c r="D415" t="inlineStr">
        <is>
          <t>HALLANDS LÄN</t>
        </is>
      </c>
      <c r="E415" t="inlineStr">
        <is>
          <t>FALKENBERG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54461-2019</t>
        </is>
      </c>
      <c r="B416" s="1" t="n">
        <v>43754</v>
      </c>
      <c r="C416" s="1" t="n">
        <v>45832</v>
      </c>
      <c r="D416" t="inlineStr">
        <is>
          <t>HALLANDS LÄN</t>
        </is>
      </c>
      <c r="E416" t="inlineStr">
        <is>
          <t>HALMSTAD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54432-2019</t>
        </is>
      </c>
      <c r="B417" s="1" t="n">
        <v>43754</v>
      </c>
      <c r="C417" s="1" t="n">
        <v>45832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54530-2019</t>
        </is>
      </c>
      <c r="B418" s="1" t="n">
        <v>43754</v>
      </c>
      <c r="C418" s="1" t="n">
        <v>45832</v>
      </c>
      <c r="D418" t="inlineStr">
        <is>
          <t>HALLANDS LÄN</t>
        </is>
      </c>
      <c r="E418" t="inlineStr">
        <is>
          <t>KUNGSBACKA</t>
        </is>
      </c>
      <c r="F418" t="inlineStr">
        <is>
          <t>Sveaskog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54543-2019</t>
        </is>
      </c>
      <c r="B419" s="1" t="n">
        <v>43754</v>
      </c>
      <c r="C419" s="1" t="n">
        <v>45832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54533-2019</t>
        </is>
      </c>
      <c r="B420" s="1" t="n">
        <v>43754</v>
      </c>
      <c r="C420" s="1" t="n">
        <v>45832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55036-2019</t>
        </is>
      </c>
      <c r="B421" s="1" t="n">
        <v>43755</v>
      </c>
      <c r="C421" s="1" t="n">
        <v>45832</v>
      </c>
      <c r="D421" t="inlineStr">
        <is>
          <t>HALLANDS LÄN</t>
        </is>
      </c>
      <c r="E421" t="inlineStr">
        <is>
          <t>FALKENBERG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55035-2019</t>
        </is>
      </c>
      <c r="B422" s="1" t="n">
        <v>43755</v>
      </c>
      <c r="C422" s="1" t="n">
        <v>45832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55037-2019</t>
        </is>
      </c>
      <c r="B423" s="1" t="n">
        <v>43755</v>
      </c>
      <c r="C423" s="1" t="n">
        <v>45832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55584-2019</t>
        </is>
      </c>
      <c r="B424" s="1" t="n">
        <v>43760</v>
      </c>
      <c r="C424" s="1" t="n">
        <v>45832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56020-2019</t>
        </is>
      </c>
      <c r="B425" s="1" t="n">
        <v>43761</v>
      </c>
      <c r="C425" s="1" t="n">
        <v>45832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56226-2019</t>
        </is>
      </c>
      <c r="B426" s="1" t="n">
        <v>43762</v>
      </c>
      <c r="C426" s="1" t="n">
        <v>45832</v>
      </c>
      <c r="D426" t="inlineStr">
        <is>
          <t>HALLANDS LÄN</t>
        </is>
      </c>
      <c r="E426" t="inlineStr">
        <is>
          <t>FALKENBERG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56247-2019</t>
        </is>
      </c>
      <c r="B427" s="1" t="n">
        <v>43762</v>
      </c>
      <c r="C427" s="1" t="n">
        <v>45832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56390-2019</t>
        </is>
      </c>
      <c r="B428" s="1" t="n">
        <v>43762</v>
      </c>
      <c r="C428" s="1" t="n">
        <v>45832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57817-2019</t>
        </is>
      </c>
      <c r="B429" s="1" t="n">
        <v>43762</v>
      </c>
      <c r="C429" s="1" t="n">
        <v>45832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56782-2019</t>
        </is>
      </c>
      <c r="B430" s="1" t="n">
        <v>43763</v>
      </c>
      <c r="C430" s="1" t="n">
        <v>45832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57076-2019</t>
        </is>
      </c>
      <c r="B431" s="1" t="n">
        <v>43766</v>
      </c>
      <c r="C431" s="1" t="n">
        <v>45832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57709-2019</t>
        </is>
      </c>
      <c r="B432" s="1" t="n">
        <v>43768</v>
      </c>
      <c r="C432" s="1" t="n">
        <v>45832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57707-2019</t>
        </is>
      </c>
      <c r="B433" s="1" t="n">
        <v>43768</v>
      </c>
      <c r="C433" s="1" t="n">
        <v>45832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57699-2019</t>
        </is>
      </c>
      <c r="B434" s="1" t="n">
        <v>43768</v>
      </c>
      <c r="C434" s="1" t="n">
        <v>45832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58297-2019</t>
        </is>
      </c>
      <c r="B435" s="1" t="n">
        <v>43770</v>
      </c>
      <c r="C435" s="1" t="n">
        <v>45832</v>
      </c>
      <c r="D435" t="inlineStr">
        <is>
          <t>HALLANDS LÄN</t>
        </is>
      </c>
      <c r="E435" t="inlineStr">
        <is>
          <t>HYLTE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58277-2019</t>
        </is>
      </c>
      <c r="B436" s="1" t="n">
        <v>43770</v>
      </c>
      <c r="C436" s="1" t="n">
        <v>45832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58578-2019</t>
        </is>
      </c>
      <c r="B437" s="1" t="n">
        <v>43773</v>
      </c>
      <c r="C437" s="1" t="n">
        <v>45832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58728-2019</t>
        </is>
      </c>
      <c r="B438" s="1" t="n">
        <v>43773</v>
      </c>
      <c r="C438" s="1" t="n">
        <v>45832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58690-2019</t>
        </is>
      </c>
      <c r="B439" s="1" t="n">
        <v>43773</v>
      </c>
      <c r="C439" s="1" t="n">
        <v>45832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58782-2019</t>
        </is>
      </c>
      <c r="B440" s="1" t="n">
        <v>43773</v>
      </c>
      <c r="C440" s="1" t="n">
        <v>45832</v>
      </c>
      <c r="D440" t="inlineStr">
        <is>
          <t>HALLANDS LÄN</t>
        </is>
      </c>
      <c r="E440" t="inlineStr">
        <is>
          <t>LAHOLM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58737-2019</t>
        </is>
      </c>
      <c r="B441" s="1" t="n">
        <v>43773</v>
      </c>
      <c r="C441" s="1" t="n">
        <v>45832</v>
      </c>
      <c r="D441" t="inlineStr">
        <is>
          <t>HALLANDS LÄN</t>
        </is>
      </c>
      <c r="E441" t="inlineStr">
        <is>
          <t>FALKENBERG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58884-2019</t>
        </is>
      </c>
      <c r="B442" s="1" t="n">
        <v>43774</v>
      </c>
      <c r="C442" s="1" t="n">
        <v>45832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59161-2019</t>
        </is>
      </c>
      <c r="B443" s="1" t="n">
        <v>43775</v>
      </c>
      <c r="C443" s="1" t="n">
        <v>45832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59162-2019</t>
        </is>
      </c>
      <c r="B444" s="1" t="n">
        <v>43775</v>
      </c>
      <c r="C444" s="1" t="n">
        <v>45832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59403-2019</t>
        </is>
      </c>
      <c r="B445" s="1" t="n">
        <v>43775</v>
      </c>
      <c r="C445" s="1" t="n">
        <v>45832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59406-2019</t>
        </is>
      </c>
      <c r="B446" s="1" t="n">
        <v>43775</v>
      </c>
      <c r="C446" s="1" t="n">
        <v>45832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59398-2019</t>
        </is>
      </c>
      <c r="B447" s="1" t="n">
        <v>43775</v>
      </c>
      <c r="C447" s="1" t="n">
        <v>45832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59410-2019</t>
        </is>
      </c>
      <c r="B448" s="1" t="n">
        <v>43775</v>
      </c>
      <c r="C448" s="1" t="n">
        <v>45832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59205-2019</t>
        </is>
      </c>
      <c r="B449" s="1" t="n">
        <v>43775</v>
      </c>
      <c r="C449" s="1" t="n">
        <v>45832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59407-2019</t>
        </is>
      </c>
      <c r="B450" s="1" t="n">
        <v>43775</v>
      </c>
      <c r="C450" s="1" t="n">
        <v>45832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59348-2019</t>
        </is>
      </c>
      <c r="B451" s="1" t="n">
        <v>43775</v>
      </c>
      <c r="C451" s="1" t="n">
        <v>45832</v>
      </c>
      <c r="D451" t="inlineStr">
        <is>
          <t>HALLANDS LÄN</t>
        </is>
      </c>
      <c r="E451" t="inlineStr">
        <is>
          <t>HALMSTAD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59798-2019</t>
        </is>
      </c>
      <c r="B452" s="1" t="n">
        <v>43777</v>
      </c>
      <c r="C452" s="1" t="n">
        <v>45832</v>
      </c>
      <c r="D452" t="inlineStr">
        <is>
          <t>HALLANDS LÄN</t>
        </is>
      </c>
      <c r="E452" t="inlineStr">
        <is>
          <t>FALKENBERG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60076-2019</t>
        </is>
      </c>
      <c r="B453" s="1" t="n">
        <v>43777</v>
      </c>
      <c r="C453" s="1" t="n">
        <v>45832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60712-2019</t>
        </is>
      </c>
      <c r="B454" s="1" t="n">
        <v>43781</v>
      </c>
      <c r="C454" s="1" t="n">
        <v>45832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60734-2019</t>
        </is>
      </c>
      <c r="B455" s="1" t="n">
        <v>43781</v>
      </c>
      <c r="C455" s="1" t="n">
        <v>45832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60823-2019</t>
        </is>
      </c>
      <c r="B456" s="1" t="n">
        <v>43781</v>
      </c>
      <c r="C456" s="1" t="n">
        <v>45832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61426-2019</t>
        </is>
      </c>
      <c r="B457" s="1" t="n">
        <v>43783</v>
      </c>
      <c r="C457" s="1" t="n">
        <v>45832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61434-2019</t>
        </is>
      </c>
      <c r="B458" s="1" t="n">
        <v>43783</v>
      </c>
      <c r="C458" s="1" t="n">
        <v>45832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61225-2019</t>
        </is>
      </c>
      <c r="B459" s="1" t="n">
        <v>43783</v>
      </c>
      <c r="C459" s="1" t="n">
        <v>45832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61429-2019</t>
        </is>
      </c>
      <c r="B460" s="1" t="n">
        <v>43783</v>
      </c>
      <c r="C460" s="1" t="n">
        <v>45832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61590-2019</t>
        </is>
      </c>
      <c r="B461" s="1" t="n">
        <v>43784</v>
      </c>
      <c r="C461" s="1" t="n">
        <v>45832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62365-2019</t>
        </is>
      </c>
      <c r="B462" s="1" t="n">
        <v>43788</v>
      </c>
      <c r="C462" s="1" t="n">
        <v>45832</v>
      </c>
      <c r="D462" t="inlineStr">
        <is>
          <t>HALLANDS LÄN</t>
        </is>
      </c>
      <c r="E462" t="inlineStr">
        <is>
          <t>HALMSTAD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45832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45832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45832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45832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45832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45832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45832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45832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45832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45832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45832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45832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45832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45832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45832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45832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45832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45832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45832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45832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45832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45832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45832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45832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45832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45832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45832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45832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45832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45832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45832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45832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45832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45832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45832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45832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45832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45832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45832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45832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45832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45832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45832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45832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45832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45832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45832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45832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45832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45832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45832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45832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45832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45832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45832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45832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45832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45832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45832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45832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45832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45832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45832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45832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45832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45832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45832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45832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45832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45832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45832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45832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45832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45832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45832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45832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45832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45832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45832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45832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45832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45832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45832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45832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45832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45832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45832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45832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45832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45832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45832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45832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45832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45832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45832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45832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45832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45832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45832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45832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45832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45832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45832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45832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45832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45832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45832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45832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45832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45832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45832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45832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45832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45832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45832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45832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45832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45832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45832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45832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45832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45832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45832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45832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45832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45832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45832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45832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45832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45832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45832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45832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45832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45832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45832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45832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45832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45832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45832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45832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45832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45832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45832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45832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45832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45832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45832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45832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45832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45832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45832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45832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45832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45832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45832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45832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45832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45832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45832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45832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45832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45832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45832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45832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45832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45832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45832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45832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45832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45832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45832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45832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45832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45832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45832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45832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45832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45832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45832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45832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45832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45832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45832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45832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45832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45832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45832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45832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45832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45832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45832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45832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45832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45832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45832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45832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45832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45832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45832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45832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45832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45832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45832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45832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45832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45832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45832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45832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45832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45832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45832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45832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45832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45832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45832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45832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45832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45832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45832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45832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45832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45832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45832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45832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45832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45832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45832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45832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45832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45832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45832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45832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45832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45832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45832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45832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45832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45832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45832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45832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45832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45832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45832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45832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45832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45832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45832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45832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45832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45832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45832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45832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45832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45832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45832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45832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45832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45832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45832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45832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45832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45832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45832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45832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45832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45832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45832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45832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45832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45832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45832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45832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45832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45832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45832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45832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45832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45832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45832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45832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45832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45832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45832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45832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45832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45832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45832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45832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45832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45832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45832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45832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45832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45832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45832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45832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45832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45832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45832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45832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45832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45832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45832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45832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45832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45832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45832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45832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45832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45832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45832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45832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45832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45832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45832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45832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45832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45832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45832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45832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45832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45832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45832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45832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45832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45832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45832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45832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45832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45832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45832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45832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45832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45832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45832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45832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45832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45832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45832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45832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45832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45832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45832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45832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45832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45832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45832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45832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45832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45832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45832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45832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45832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45832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45832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45832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45832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45832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45832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45832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45832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45832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45832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45832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45832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45832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45832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45832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45832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45832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45832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45832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45832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45832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45832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45832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45832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45832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45832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45832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45832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45832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45832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45832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45832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45832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45832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45832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45832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45832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45832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45832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45832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45832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45832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45832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45832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45832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45832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45832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45832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45832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45832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45832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45832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45832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45832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45832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45832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45832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45832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45832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45832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45832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45832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45832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45832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45832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45832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45832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45832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45832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45832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45832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45832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45832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45832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45832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45832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45832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45832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45832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45832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45832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45832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45832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45832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45832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45832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45832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45832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45832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45832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45832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45832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45832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45832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45832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45832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45832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45832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45832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45832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45832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45832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45832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45832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45832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45832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45832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45832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45832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45832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45832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45832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45832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45832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45832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45832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45832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45832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45832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45832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45832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45832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45832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45832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45832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45832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45832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45832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45832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45832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45832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45832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45832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45832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45832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45832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45832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45832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45832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45832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45832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45832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45832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45832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45832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45832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45832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45832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45832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45832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45832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45832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45832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45832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45832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45832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45832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45832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45832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45832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45832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45832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45832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45832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45832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45832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45832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45832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45832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45832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45832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45832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45832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45832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45832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45832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45832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45832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45832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45832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45832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45832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45832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45832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45832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45832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45832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45832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45832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45832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45832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45832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45832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45832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45832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45832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45832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45832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45832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45832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45832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45832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45832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45832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45832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45832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45832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45832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45832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45832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45832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45832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45832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45832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45832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45832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45832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45832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45832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45832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45832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45832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45832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45832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45832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45832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45832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45832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45832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45832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45832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45832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45832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45832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45832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45832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45832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45832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45832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45832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45832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45832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45832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45832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45832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45832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45832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45832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45832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45832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45832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45832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45832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45832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45832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45832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45832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45832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45832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45832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45832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45832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45832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45832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45832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45832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45832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45832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45832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45832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45832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45832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45832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45832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45832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45832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45832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45832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45832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45832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45832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45832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45832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45832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45832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45832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45832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45832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45832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45832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45832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45832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45832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45832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45832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45832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45832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45832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45832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45832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45832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45832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45832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45832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45832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45832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45832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45832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45832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45832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45832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45832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45832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45832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45832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45832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45832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45832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45832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45832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45832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45832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45832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45832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45832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45832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45832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45832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45832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45832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45832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45832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45832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45832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45832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45832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45832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45832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45832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45832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45832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45832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45832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45832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45832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45832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45832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45832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45832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45832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45832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45832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45832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45832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45832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45832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45832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45832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45832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45832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45832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45832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45832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45832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45832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45832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45832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45832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45832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45832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45832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45832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45832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45832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45832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45832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45832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45832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45832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45832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45832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45832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45832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45832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45832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45832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45832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45832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45832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45832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45832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45832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45832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45832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45832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45832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45832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45832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45832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45832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45832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45832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45832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45832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45832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45832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45832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45832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45832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45832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45832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45832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45832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45832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45832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45832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45832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45832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45832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45832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45832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45832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45832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45832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45832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45832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45832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45832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45832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45832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45832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45832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45832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45832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45832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45832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45832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45832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45832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45832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45832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45832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45832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45832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45832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45832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45832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45832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45832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45832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45832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45832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45832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45832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45832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45832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45832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45832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45832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45832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45832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45832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45832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45832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45832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45832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45832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45832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45832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45832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45832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45832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45832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45832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45832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45832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45832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45832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45832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45832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45832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45832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45832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45832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45832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45832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45832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45832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45832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45832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45832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45832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45832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45832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45832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45832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45832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45832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45832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45832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45832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45832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45832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45832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45832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45832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45832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45832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45832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45832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45832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45832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45832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45832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45832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45832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45832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45832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45832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45832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45832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45832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45832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45832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45832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45832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45832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45832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45832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45832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45832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45832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45832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45832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45832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45832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45832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45832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45832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45832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45832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45832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45832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45832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45832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45832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45832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45832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45832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45832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45832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45832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45832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45832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45832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45832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45832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45832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45832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45832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45832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45832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45832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45832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45832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45832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45832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45832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45832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45832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45832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45832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45832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45832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45832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45832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45832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45832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45832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45832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45832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45832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45832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45832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45832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45832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45832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45832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45832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45832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45832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45832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45832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45832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45832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45832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45832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45832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45832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45832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45832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45832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45832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45832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45832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45832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45832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45832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45832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45832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45832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45832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45832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45832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45832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45832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45832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45832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45832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45832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45832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45832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45832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45832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45832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45832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45832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45832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45832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45832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45832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45832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45832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45832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45832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45832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45832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45832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45832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45832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45832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45832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45832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45832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45832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45832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45832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45832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45832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45832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45832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45832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45832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45832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45832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45832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45832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45832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45832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45832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45832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45832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45832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45832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45832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45832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45832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45832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45832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45832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45832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45832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45832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45832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45832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45832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45832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45832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45832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45832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45832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45832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45832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45832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45832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45832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45832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45832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45832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45832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45832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45832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45832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45832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45832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45832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45832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45832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45832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45832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45832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45832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45832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45832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45832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45832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45832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45832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45832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45832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45832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45832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45832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45832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45832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45832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45832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45832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45832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45832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45832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45832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45832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45832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45832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45832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45832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45832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45832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45832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45832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45832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45832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45832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45832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45832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45832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45832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45832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45832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45832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45832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45832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45832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45832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45832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45832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45832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45832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45832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45832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45832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45832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45832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45832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45832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45832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45832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45832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45832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45832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45832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45832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45832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45832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45832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45832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45832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45832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45832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45832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45832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45832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45832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45832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45832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45832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45832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45832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45832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45832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45832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45832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45832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45832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45832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45832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45832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45832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45832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45832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45832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45832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45832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45832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45832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45832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45832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45832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45832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45832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45832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45832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45832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45832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45832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45832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45832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45832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45832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45832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45832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45832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45832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45832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45832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45832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45832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45832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45832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45832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45832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45832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45832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45832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45832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45832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45832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45832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45832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45832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45832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45832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45832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45832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45832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45832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45832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45832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45832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45832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45832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45832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45832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45832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45832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45832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45832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45832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45832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45832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45832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45832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45832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45832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45832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45832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45832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45832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45832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45832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45832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45832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45832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45832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45832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45832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45832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45832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45832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45832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45832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45832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45832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45832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45832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45832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45832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45832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45832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45832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45832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45832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45832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45832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45832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45832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45832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45832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45832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45832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45832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45832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45832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45832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45832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45832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45832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45832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45832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45832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45832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45832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45832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45832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45832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45832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45832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45832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45832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45832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45832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45832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45832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45832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45832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45832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45832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45832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45832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45832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45832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45832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45832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45832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45832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45832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45832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45832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45832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45832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45832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45832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45832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45832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45832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45832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45832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45832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45832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45832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45832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45832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45832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45832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45832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45832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45832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45832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45832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45832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45832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45832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45832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45832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45832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45832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45832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45832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45832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45832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45832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45832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45832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45832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45832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45832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45832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45832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45832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45832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45832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45832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45832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45832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45832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45832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45832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45832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45832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45832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45832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45832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45832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45832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45832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45832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45832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45832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45832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45832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45832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45832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45832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45832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45832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45832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45832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45832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45832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45832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45832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45832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45832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45832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45832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45832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45832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45832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45832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45832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45832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45832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45832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45832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45832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45832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45832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45832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45832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45832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45832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45832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45832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45832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45832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45832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45832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45832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45832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45832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45832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45832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45832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45832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45832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45832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45832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45832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45832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45832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45832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45832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45832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45832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45832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45832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45832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45832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45832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45832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45832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45832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45832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45832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45832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45832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45832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45832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45832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45832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45832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45832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45832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45832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45832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45832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45832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45832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45832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45832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45832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45832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45832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45832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45832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45832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45832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45832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45832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45832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45832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45832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45832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45832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45832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45832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45832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45832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45832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45832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45832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45832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45832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45832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45832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45832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45832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45832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45832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45832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45832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45832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45832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45832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45832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45832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45832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45832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45832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45832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45832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45832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45832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45832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45832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45832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45832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45832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45832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45832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45832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45832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45832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45832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45832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45832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45832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45832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45832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45832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45832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45832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45832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45832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45832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45832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45832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45832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45832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45832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45832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45832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45832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45832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45832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45832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45832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45832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45832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45832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45832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45832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45832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45832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45832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45832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45832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45832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45832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45832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45832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45832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45832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45832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45832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45832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45832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45832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45832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45832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45832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45832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45832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45832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45832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45832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45832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45832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45832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45832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45832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45832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45832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45832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45832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45832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45832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45832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45832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45832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45832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45832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45832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45832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45832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45832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45832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45832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45832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45832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45832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45832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45832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45832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45832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45832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45832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45832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45832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45832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45832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45832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45832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45832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45832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45832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45832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45832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45832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45832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45832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45832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45832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45832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45832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45832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45832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45832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45832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45832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45832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45832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45832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45832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45832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45832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45832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45832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45832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45832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45832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45832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45832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45832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45832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45832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45832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45832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45832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45832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45832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45832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45832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45832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45832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45832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45832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45832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45832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45832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45832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45832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45832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45832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45832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45832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45832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45832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45832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45832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45832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45832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45832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45832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45832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45832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45832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45832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45832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45832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45832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45832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45832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45832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45832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45832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45832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45832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45832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45832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45832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45832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45832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45832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45832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45832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45832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45832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45832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45832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45832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45832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45832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45832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45832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45832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45832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45832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45832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45832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45832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45832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45832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45832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45832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45832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45832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45832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45832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45832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45832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45832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45832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45832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45832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45832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45832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45832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45832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45832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45832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45832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45832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45832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45832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45832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45832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45832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45832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45832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45832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45832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45832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45832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45832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45832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45832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45832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45832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45832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45832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45832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45832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45832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45832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45832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45832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45832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45832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45832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45832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45832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45832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45832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45832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45832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45832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45832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45832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45832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45832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45832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45832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45832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45832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45832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45832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45832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45832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45832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45832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45832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45832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45832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45832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45832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45832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45832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45832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45832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45832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45832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45832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45832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45832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45832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45832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45832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45832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45832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45832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45832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45832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45832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45832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45832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45832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45832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45832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45832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45832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45832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45832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45832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45832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45832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45832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45832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45832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45832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45832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45832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45832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45832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45832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45832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45832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45832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45832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45832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45832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45832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45832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45832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45832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45832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45832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45832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45832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45832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45832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45832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45832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45832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45832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45832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45832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45832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45832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45832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45832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45832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45832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45832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45832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45832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45832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45832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45832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45832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45832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45832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45832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45832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45832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45832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45832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45832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45832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45832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45832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45832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45832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45832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45832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45832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45832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45832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45832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45832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45832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45832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45832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45832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45832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45832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45832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45832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45832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45832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45832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45832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45832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45832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45832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45832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45832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45832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45832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45832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45832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45832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45832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45832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45832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45832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45832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45832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45832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45832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45832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45832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45832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45832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45832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45832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45832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45832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45832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45832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45832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45832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45832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45832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45832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45832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45832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45832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45832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45832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45832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45832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45832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45832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45832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45832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45832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45832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45832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45832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45832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45832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45832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45832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45832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45832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45832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45832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45832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45832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45832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45832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45832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45832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45832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45832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45832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45832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45832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45832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45832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45832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45832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45832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45832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45832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45832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45832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45832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45832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45832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45832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45832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45832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45832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45832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45832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45832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45832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45832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45832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45832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45832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45832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45832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45832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45832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45832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45832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45832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45832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45832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45832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45832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45832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45832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45832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45832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45832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45832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45832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45832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45832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45832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45832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45832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45832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45832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45832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45832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45832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45832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45832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45832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45832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45832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45832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45832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45832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45832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45832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45832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45832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45832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45832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45832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45832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45832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45832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45832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45832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45832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45832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45832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45832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45832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45832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45832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45832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45832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45832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45832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45832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45832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45832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45832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45832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45832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45832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45832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45832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45832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45832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45832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45832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45832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45832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45832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45832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45832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45832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45832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45832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45832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45832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45832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45832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45832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45832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45832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45832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45832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45832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45832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45832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45832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45832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45832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45832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45832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45832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45832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45832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45832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45832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45832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45832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45832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45832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45832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45832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45832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45832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45832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45832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45832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45832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45832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45832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45832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45832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45832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45832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45832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45832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45832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45832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45832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45832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45832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45832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45832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45832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45832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45832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45832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45832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45832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45832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45832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45832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45832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45832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45832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45832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45832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45832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45832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45832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45832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45832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45832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45832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45832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45832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45832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45832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45832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45832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45832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45832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45832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45832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45832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45832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45832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45832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45832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45832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45832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45832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45832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45832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45832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45832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45832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45832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45832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45832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45832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45832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45832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45832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45832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45832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45832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45832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45832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45832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45832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45832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45832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45832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45832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45832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45832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45832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45832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45832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45832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45832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45832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45832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45832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45832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45832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45832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45832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45832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45832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45832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45832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45832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45832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45832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45832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45832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45832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45832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45832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45832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45832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45832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45832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45832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45832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45832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45832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45832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45832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45832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45832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45832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45832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45832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45832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45832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45832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45832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45832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45832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45832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45832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45832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45832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45832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45832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45832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45832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45832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45832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45832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45832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45832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45832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45832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45832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45832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45832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45832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45832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45832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45832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45832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45832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45832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45832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45832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45832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45832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45832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45832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45832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45832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45832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45832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45832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45832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45832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45832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45832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45832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45832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45832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45832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45832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45832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45832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45832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45832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45832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45832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45832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45832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45832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45832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45832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45832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45832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45832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45832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45832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45832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45832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45832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45832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45832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45832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45832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45832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45832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45832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45832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45832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45832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45832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45832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45832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45832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45832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45832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45832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45832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45832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45832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45832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45832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45832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45832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45832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45832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45832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45832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45832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45832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45832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45832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45832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45832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45832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45832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45832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45832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45832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45832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45832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45832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45832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45832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45832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45832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45832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45832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45832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45832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45832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45832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45832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45832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45832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45832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45832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45832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45832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45832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45832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45832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45832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45832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45832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45832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45832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45832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45832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45832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45832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45832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45832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45832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45832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45832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45832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45832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45832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45832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45832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45832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45832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45832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45832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45832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45832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45832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45832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45832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45832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45832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45832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45832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45832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45832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45832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45832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45832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45832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45832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45832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45832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45832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45832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45832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45832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45832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45832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45832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45832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45832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45832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45832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45832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45832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45832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45832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45832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45832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45832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45832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45832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45832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45832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45832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45832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45832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45832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45832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45832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45832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45832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45832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45832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45832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45832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45832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45832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45832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45832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45832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45832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45832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45832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45832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45832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45832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45832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45832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45832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45832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45832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45832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45832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45832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45832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45832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45832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45832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45832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45832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45832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45832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45832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45832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45832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45832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45832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45832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45832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45832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45832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45832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45832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45832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45832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45832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45832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45832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45832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45832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45832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45832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45832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45832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45832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45832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45832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45832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45832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45832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45832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45832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45832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45832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45832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45832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45832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45832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45832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45832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45832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45832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45832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45832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45832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45832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45832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45832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45832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45832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45832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45832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45832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45832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45832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45832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45832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45832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45832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45832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45832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45832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45832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45832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45832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45832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45832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45832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45832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45832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45832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45832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45832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45832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45832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45832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45832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45832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45832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45832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45832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45832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45832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45832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45832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45832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45832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45832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45832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45832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45832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45832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45832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45832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45832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45832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45832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45832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45832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45832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45832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45832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45832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45832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45832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45832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45832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45832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45832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45832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45832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45832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45832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45832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45832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45832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45832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45832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45832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45832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45832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45832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45832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45832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45832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45832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45832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45832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45832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45832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45832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45832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45832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45832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45832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45832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45832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45832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45832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45832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45832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45832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45832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45832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45832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45832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45832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45832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45832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45832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45832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45832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45832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45832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45832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45832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45832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45832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45832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45832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45832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45832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45832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45832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45832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45832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45832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45832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45832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45832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45832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45832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45832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45832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45832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45832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45832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45832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45832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45832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45832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45832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45832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45832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45832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45832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45832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45832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45832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45832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45832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45832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45832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45832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45832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45832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45832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45832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45832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45832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45832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45832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45832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45832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45832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45832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45832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45832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45832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45832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45832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45832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45832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45832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45832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45832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45832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45832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45832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45832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45832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45832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45832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45832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45832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45832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45832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45832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45832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45832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45832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45832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45832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45832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45832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45832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45832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45832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45832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45832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45832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45832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45832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45832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45832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45832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45832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45832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45832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45832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45832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45832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45832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45832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45832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45832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45832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45832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45832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45832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45832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45832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45832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45832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45832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45832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45832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45832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45832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45832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45832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45832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45832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45832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45832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45832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45832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45832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45832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45832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45832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45832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45832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45832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45832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45832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45832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45832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45832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45832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45832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45832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45832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45832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45832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45832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45832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45832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45832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45832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45832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45832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45832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45832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45832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45832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45832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45832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45832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45832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45832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45832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45832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45832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45832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45832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45832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45832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45832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45832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45832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45832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45832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45832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45832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45832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45832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45832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45832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45832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45832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45832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45832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45832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45832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45832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45832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45832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45832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45832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45832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45832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45832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45832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45832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45832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45832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45832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45832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45832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45832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45832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45832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45832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45832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45832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45832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45832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45832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45832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45832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45832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45832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45832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45832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45832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45832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45832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45832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45832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45832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45832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45832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45832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45832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45832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45832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45832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45832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45832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45832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45832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45832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45832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45832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45832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45832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45832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45832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45832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45832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45832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45832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45832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45832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45832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45832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45832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45832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45832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45832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45832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45832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45832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45832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45832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45832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45832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45832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45832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45832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45832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45832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45832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45832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45832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45832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45832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45832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45832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45832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45832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45832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45832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45832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45832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45832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45832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45832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45832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45832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45832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45832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45832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45832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45832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45832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45832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45832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45832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45832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45832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45832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45832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45832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45832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45832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45832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45832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45832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45832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45832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45832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45832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45832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45832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45832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45832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45832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45832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45832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45832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45832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45832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45832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45832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45832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45832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45832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45832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45832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45832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45832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45832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45832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45832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45832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45832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45832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45832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45832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45832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45832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45832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45832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45832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45832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45832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45832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45832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45832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45832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45832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45832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45832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45832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45832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45832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45832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45832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45832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45832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45832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45832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45832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45832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45832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45832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45832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45832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45832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45832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45832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45832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45832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45832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45832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45832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45832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45832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45832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45832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45832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45832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45832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45832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45832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45832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45832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45832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45832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45832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45832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45832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45832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45832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45832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45832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45832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45832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45832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45832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45832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45832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45832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45832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45832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45832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45832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45832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45832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45832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45832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45832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45832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45832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45832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45832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45832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45832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45832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45832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45832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45832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45832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45832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45832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45832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45832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45832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45832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45832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45832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45832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45832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45832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45832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45832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45832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45832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45832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45832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45832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45832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45832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45832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45832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45832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45832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45832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45832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45832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45832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45832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45832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45832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45832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45832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45832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45832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45832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45832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45832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45832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45832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45832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45832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45832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45832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45832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45832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45832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45832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45832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45832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45832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45832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45832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45832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45832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45832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45832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45832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45832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45832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45832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45832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45832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45832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45832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45832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45832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45832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45832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45832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45832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45832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45832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45832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45832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45832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45832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45832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45832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45832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45832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45832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45832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45832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45832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45832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45832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45832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45832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45832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45832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45832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45832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45832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45832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45832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45832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45832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45832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45832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45832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45832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45832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45832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45832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45832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45832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45832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45832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45832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45832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45832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45832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45832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45832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45832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45832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45832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45832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45832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45832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45832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45832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45832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45832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45832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45832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45832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45832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45832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45832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45832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45832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45832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45832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45832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45832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45832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45832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45832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45832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45832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45832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45832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45832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45832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45832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45832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45832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45832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45832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45832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45832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45832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45832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45832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45832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45832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45832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45832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45832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45832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45832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45832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45832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45832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45832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45832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45832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45832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45832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45832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45832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45832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45832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45832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45832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45832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45832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45832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45832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45832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45832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45832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45832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45832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45832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45832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45832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45832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45832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45832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45832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45832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45832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45832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45832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45832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45832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45832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45832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45832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45832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45832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45832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45832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45832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45832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45832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45832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45832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45832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45832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45832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45832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45832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45832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45832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45832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45832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45832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45832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45832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45832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45832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45832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45832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45832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45832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45832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45832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45832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45832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45832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45832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45832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45832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45832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45832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45832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45832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45832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45832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45832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45832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45832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45832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45832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45832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45832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45832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45832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45832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45832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45832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45832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45832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45832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45832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45832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45832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45832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45832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45832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45832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45832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45832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45832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45832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45832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45832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45832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45832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45832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45832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45832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45832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45832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45832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45832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45832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45832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45832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45832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45832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45832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45832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45832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45832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45832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45832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45832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45832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45832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45832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45832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45832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45832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45832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45832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45832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45832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45832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45832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45832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45832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45832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45832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45832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45832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45832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45832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45832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45832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45832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45832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45832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45832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45832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45832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45832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45832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45832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45832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45832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45832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45832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45832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45832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45832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45832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45832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45832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45832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45832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45832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45832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45832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45832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45832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45832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45832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45832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45832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45832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45832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45832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45832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45832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45832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45832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45832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45832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45832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45832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45832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45832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45832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45832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45832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45832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45832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45832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45832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45832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45832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45832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45832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45832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45832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45832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45832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45832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45832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45832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45832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45832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45832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45832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45832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45832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45832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45832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45832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45832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45832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45832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45832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45832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45832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45832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45832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45832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45832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45832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45832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45832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45832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45832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45832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45832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45832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45832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45832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45832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45832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45832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45832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45832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45832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45832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45832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45832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45832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45832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45832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45832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45832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45832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45832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45832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45832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45832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45832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45832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45832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45832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45832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45832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45832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45832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45832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45832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45832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45832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45832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45832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45832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45832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45832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45832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45832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45832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45832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45832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45832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45832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45832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45832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45832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45832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45832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45832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45832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45832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45832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45832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45832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45832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45832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45832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45832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45832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45832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45832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45832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45832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45832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45832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45832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45832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45832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45832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45832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45832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45832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45832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45832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45832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45832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45832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45832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45832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45832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45832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45832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45832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45832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45832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45832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45832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45832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45832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45832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45832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45832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45832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45832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45832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45832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45832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45832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45832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45832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45832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45832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45832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45832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45832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45832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45832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45832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45832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45832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45832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45832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45832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45832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45832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45832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45832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45832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45832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45832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45832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45832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45832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45832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45832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45832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45832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45832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45832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45832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45832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45832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45832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45832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45832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45832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45832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45832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45832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45832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45832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45832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45832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45832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45832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45832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45832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45832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45832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45832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45832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45832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45832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45832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45832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45832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45832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45832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45832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45832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45832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45832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45832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45832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45832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45832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45832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45832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45832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45832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45832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45832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45832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45832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45832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45832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45832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45832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45832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45832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45832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45832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45832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45832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45832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45832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45832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45832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45832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45832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45832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45832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45832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45832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45832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45832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45832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45832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45832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45832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45832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45832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45832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45832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45832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45832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45832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45832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45832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45832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45832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45832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45832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45832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45832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45832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45832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45832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45832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45832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45832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45832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45832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45832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45832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45832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45832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45832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45832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45832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45832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45832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45832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45832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45832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45832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45832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45832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45832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45832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45832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45832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45832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45832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45832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45832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45832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45832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45832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45832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45832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45832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45832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45832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45832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45832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45832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45832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45832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45832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45832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45832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45832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45832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45832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45832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45832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45832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45832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45832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45832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45832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45832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45832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45832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45832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45832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45832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45832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45832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45832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45832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45832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45832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45832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45832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45832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45832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45832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45832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45832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45832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45832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45832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45832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45832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45832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45832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45832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45832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45832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45832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45832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45832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45832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45832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45832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45832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45832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45832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45832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45832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45832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45832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45832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45832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45832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45832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45832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45832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45832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45832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45832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45832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45832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45832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45832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45832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45832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45832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45832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45832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45832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45832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45832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45832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45832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45832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45832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45832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45832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45832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45832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45832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45832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45832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45832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45832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45832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45832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45832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45832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45832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45832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45832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45832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45832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45832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45832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45832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45832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45832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45832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45832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45832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45832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45832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45832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45832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45832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45832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45832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45832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45832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45832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45832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45832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45832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45832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45832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45832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45832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45832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45832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45832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45832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45832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45832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45832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45832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45832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45832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45832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45832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45832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45832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45832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45832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45832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45832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45832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45832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45832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45832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45832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45832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45832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45832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45832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45832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45832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45832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45832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45832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45832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45832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45832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45832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45832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45832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45832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45832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45832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45832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45832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45832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45832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45832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45832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45832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45832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45832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45832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45832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45832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45832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45832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45832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45832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45832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45832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45832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45832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45832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45832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45832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45832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45832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45832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45832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45832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45832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45832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45832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45832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45832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45832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45832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45832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45832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45832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45832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45832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45832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45832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45832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45832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45832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45832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45832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45832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45832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45832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45832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45832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45832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45832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45832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45832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45832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45832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45832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45832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45832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45832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45832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45832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45832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45832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45832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45832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45832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45832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45832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45832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45832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45832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45832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45832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45832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45832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45832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45832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45832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45832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45832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45832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45832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45832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45832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45832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45832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45832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45832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45832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45832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45832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45832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45832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45832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45832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45832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45832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45832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45832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45832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45832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45832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45832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45832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45832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45832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45832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45832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45832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45832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45832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45832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45832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45832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45832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45832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45832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45832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45832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45832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45832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45832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45832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45832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45832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45832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45832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45832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45832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45832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45832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45832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45832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45832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45832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45832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45832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45832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45832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45832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45832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45832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45832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45832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45832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45832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45832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45832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45832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45832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45832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45832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45832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45832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45832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45832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45832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45832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45832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45832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45832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45832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45832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45832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45832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45832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45832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45832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45832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45832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45832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45832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45832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45832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45832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45832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45832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45832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45832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45832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45832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45832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45832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45832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45832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45832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45832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45832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45832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45832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45832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45832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45832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45832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45832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45832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45832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45832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45832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45832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45832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45832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45832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45832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45832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45832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45832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45832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45832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45832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45832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45832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45832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45832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45832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45832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45832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45832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45832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45832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45832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45832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45832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45832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45832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45832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45832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45832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45832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45832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45832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45832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45832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45832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45832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45832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45832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45832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45832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45832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45832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45832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45832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45832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45832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45832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45832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45832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45832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45832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45832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45832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45832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45832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45832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45832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45832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45832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45832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45832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45832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45832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45832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45832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45832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45832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45832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45832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45832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45832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45832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45832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45832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45832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45832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45832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45832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45832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45832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45832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45832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45832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45832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45832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45832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45832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45832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45832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45832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45832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45832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45832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45832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45832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45832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45832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45832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45832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45832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45832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45832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45832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45832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45832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45832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45832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45832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45832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45832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45832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45832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45832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45832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45832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45832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45832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45832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45832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45832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45832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45832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45832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45832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45832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45832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45832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45832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45832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45832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45832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45832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45832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45832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45832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45832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45832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45832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45832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45832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45832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45832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45832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45832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45832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45832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45832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45832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45832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45832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45832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45832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45832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45832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45832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45832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45832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45832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45832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45832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45832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45832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45832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45832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45832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45832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45832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45832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45832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45832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45832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45832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45832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45832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45832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45832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45832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45832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45832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45832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45832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45832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45832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45832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45832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45832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45832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45832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45832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45832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45832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45832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45832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45832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45832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45832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45832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45832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45832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45832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45832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45832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45832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45832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45832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45832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45832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45832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45832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45832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45832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45832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45832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45832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45832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45832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45832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45832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45832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45832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45832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45832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45832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45832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45832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45832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45832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45832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45832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45832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45832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45832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45832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45832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45832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45832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45832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45832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45832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45832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45832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45832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45832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45832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45832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45832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45832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45832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45832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45832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45832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45832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45832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45832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45832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45832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45832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45832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45832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45832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45832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45832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45832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45832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45832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45832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45832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45832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45832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45832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45832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45832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45832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45832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45832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45832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45832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45832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45832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45832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45832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45832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45832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45832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45832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45832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45832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45832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45832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45832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45832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45832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45832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45832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45832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45832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45832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45832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45832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45832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45832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45832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45832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45832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45832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45832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45832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45832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45832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45832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45832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45832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45832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45832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45832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45832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45832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45832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45832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45832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45832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45832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45832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45832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45832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45832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45832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45832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45832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45832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45832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45832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45832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45832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45832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45832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45832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45832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45832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45832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45832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45832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45832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45832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45832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45832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45832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45832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45832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45832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45832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45832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45832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45832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45832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45832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45832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45832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45832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45832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45832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45832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45832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45832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45832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45832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45832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45832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45832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45832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45832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45832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45832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45832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45832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45832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45832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45832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45832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45832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45832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45832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45832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45832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45832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45832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45832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45832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45832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45832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45832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45832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45832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45832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45832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45832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45832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45832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45832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45832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45832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45832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45832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45832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45832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45832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45832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45832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45832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45832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45832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45832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45832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45832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45832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45832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45832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45832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45832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45832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45832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45832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45832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45832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45832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45832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45832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45832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45832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45832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45832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45832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45832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45832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45832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45832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45832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45832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45832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45832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45832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45832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45832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45832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45832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45832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45832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45832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45832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45832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45832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45832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45832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45832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45832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45832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45832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45832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45832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45832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45832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45832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45832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45832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45832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45832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45832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45832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45832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45832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45832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45832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45832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45832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45832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45832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45832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45832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45832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45832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45832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45832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45832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45832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45832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45832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45832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45832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45832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45832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45832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45832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45832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45832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45832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45832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45832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45832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45832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45832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45832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45832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45832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45832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45832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45832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45832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45832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45832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45832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45832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45832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45832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45832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45832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45832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45832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45832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45832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45832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45832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45832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45832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45832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45832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45832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45832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45832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45832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45832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45832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45832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45832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45832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45832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45832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45832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45832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45832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45832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45832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45832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45832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45832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45832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45832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45832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45832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45832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45832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45832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45832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45832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45832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45832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45832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45832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45832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45832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45832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45832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45832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45832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45832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45832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45832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45832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45832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45832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45832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45832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45832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45832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45832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45832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45832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45832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45832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45832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45832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45832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45832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45832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45832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45832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45832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45832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45832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45832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45832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45832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45832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45832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45832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45832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45832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45832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45832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45832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45832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45832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45832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45832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45832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45832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45832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45832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45832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45832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45832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45832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45832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45832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45832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45832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45832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45832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45832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45832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45832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45832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45832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45832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45832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45832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45832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45832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45832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45832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45832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45832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45832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45832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45832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45832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45832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45832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45832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45832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45832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45832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45832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45832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45832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45832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45832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45832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45832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45832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45832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45832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45832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45832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45832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45832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45832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45832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45832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45832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45832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45832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45832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45832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45832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45832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45832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45832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45832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45832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45832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45832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45832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45832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45832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45832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45832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45832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45832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45832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45832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45832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45832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45832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45832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45832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45832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45832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45832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45832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45832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45832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45832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45832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45832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45832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45832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45832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45832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45832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45832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45832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45832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45832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45832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45832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45832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45832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45832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45832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45832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45832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45832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45832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45832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45832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45832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45832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45832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45832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45832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45832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45832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45832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45832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45832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45832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45832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45832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45832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45832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45832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45832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45832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45832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45832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45832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45832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45832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45832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45832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45832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45832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45832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45832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45832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45832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45832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45832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45832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45832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45832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45832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45832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45832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45832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45832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45832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45832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45832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45832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45832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45832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45832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45832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45832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45832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45832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45832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45832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45832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45832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45832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45832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45832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45832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45832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45832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45832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45832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45832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45832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45832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45832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45832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45832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45832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45832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45832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45832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45832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45832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45832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45832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45832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45832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45832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45832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45832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45832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45832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45832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45832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45832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45832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45832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45832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45832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45832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45832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45832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45832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45832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45832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45832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45832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45832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45832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45832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45832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45832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45832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45832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45832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45832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45832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45832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45832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45832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45832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45832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45832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45832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45832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45832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45832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45832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45832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45832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45832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45832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45832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45832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45832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45832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45832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45832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45832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45832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45832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45832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45832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45832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45832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45832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45832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45832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45832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45832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45832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45832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45832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45832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45832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45832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45832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45832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45832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45832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45832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45832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45832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45832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45832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45832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45832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45832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45832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45832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45832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45832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45832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45832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45832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45832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45832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45832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45832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45832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45832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45832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45832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45832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45832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45832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45832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45832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45832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45832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45832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45832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45832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45832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45832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45832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45832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45832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45832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45832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45832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45832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45832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45832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45832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45832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45832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45832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45832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45832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45832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45832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45832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45832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45832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45832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45832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45832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45832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45832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45832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45832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45832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45832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45832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45832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45832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45832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45832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45832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45832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45832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45832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45832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45832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45832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45832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45832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45832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45832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45832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45832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45832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25269-2025</t>
        </is>
      </c>
      <c r="B5409" s="1" t="n">
        <v>45800</v>
      </c>
      <c r="C5409" s="1" t="n">
        <v>45832</v>
      </c>
      <c r="D5409" t="inlineStr">
        <is>
          <t>HALLANDS LÄN</t>
        </is>
      </c>
      <c r="E5409" t="inlineStr">
        <is>
          <t>KUNGSBACKA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45832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25129-2025</t>
        </is>
      </c>
      <c r="B5411" s="1" t="n">
        <v>45800</v>
      </c>
      <c r="C5411" s="1" t="n">
        <v>45832</v>
      </c>
      <c r="D5411" t="inlineStr">
        <is>
          <t>HALLANDS LÄN</t>
        </is>
      </c>
      <c r="E5411" t="inlineStr">
        <is>
          <t>FALKENBERG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45832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25438-2025</t>
        </is>
      </c>
      <c r="B5413" s="1" t="n">
        <v>45801</v>
      </c>
      <c r="C5413" s="1" t="n">
        <v>45832</v>
      </c>
      <c r="D5413" t="inlineStr">
        <is>
          <t>HALLANDS LÄN</t>
        </is>
      </c>
      <c r="E5413" t="inlineStr">
        <is>
          <t>LAHOLM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45832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45832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45832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45832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45832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26117-2025</t>
        </is>
      </c>
      <c r="B5419" s="1" t="n">
        <v>45805</v>
      </c>
      <c r="C5419" s="1" t="n">
        <v>45832</v>
      </c>
      <c r="D5419" t="inlineStr">
        <is>
          <t>HALLANDS LÄN</t>
        </is>
      </c>
      <c r="E5419" t="inlineStr">
        <is>
          <t>VARBERG</t>
        </is>
      </c>
      <c r="F5419" t="inlineStr">
        <is>
          <t>Kommuner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45832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26097-2025</t>
        </is>
      </c>
      <c r="B5421" s="1" t="n">
        <v>45805</v>
      </c>
      <c r="C5421" s="1" t="n">
        <v>45832</v>
      </c>
      <c r="D5421" t="inlineStr">
        <is>
          <t>HALLANDS LÄN</t>
        </is>
      </c>
      <c r="E5421" t="inlineStr">
        <is>
          <t>HALMSTAD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26102-2025</t>
        </is>
      </c>
      <c r="B5422" s="1" t="n">
        <v>45805</v>
      </c>
      <c r="C5422" s="1" t="n">
        <v>45832</v>
      </c>
      <c r="D5422" t="inlineStr">
        <is>
          <t>HALLANDS LÄN</t>
        </is>
      </c>
      <c r="E5422" t="inlineStr">
        <is>
          <t>HALMSTAD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45832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45832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45832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45832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26885-2025</t>
        </is>
      </c>
      <c r="B5427" s="1" t="n">
        <v>45811</v>
      </c>
      <c r="C5427" s="1" t="n">
        <v>45832</v>
      </c>
      <c r="D5427" t="inlineStr">
        <is>
          <t>HALLANDS LÄN</t>
        </is>
      </c>
      <c r="E5427" t="inlineStr">
        <is>
          <t>HYLTE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45832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45832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26866-2025</t>
        </is>
      </c>
      <c r="B5430" s="1" t="n">
        <v>45810</v>
      </c>
      <c r="C5430" s="1" t="n">
        <v>45832</v>
      </c>
      <c r="D5430" t="inlineStr">
        <is>
          <t>HALLANDS LÄN</t>
        </is>
      </c>
      <c r="E5430" t="inlineStr">
        <is>
          <t>KUNGSBACKA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26986-2025</t>
        </is>
      </c>
      <c r="B5431" s="1" t="n">
        <v>45811</v>
      </c>
      <c r="C5431" s="1" t="n">
        <v>45832</v>
      </c>
      <c r="D5431" t="inlineStr">
        <is>
          <t>HALLANDS LÄN</t>
        </is>
      </c>
      <c r="E5431" t="inlineStr">
        <is>
          <t>FALKENBERG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45832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27036-2025</t>
        </is>
      </c>
      <c r="B5433" s="1" t="n">
        <v>45811</v>
      </c>
      <c r="C5433" s="1" t="n">
        <v>45832</v>
      </c>
      <c r="D5433" t="inlineStr">
        <is>
          <t>HALLANDS LÄN</t>
        </is>
      </c>
      <c r="E5433" t="inlineStr">
        <is>
          <t>FALKENBERG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27244-2025</t>
        </is>
      </c>
      <c r="B5434" s="1" t="n">
        <v>45812</v>
      </c>
      <c r="C5434" s="1" t="n">
        <v>45832</v>
      </c>
      <c r="D5434" t="inlineStr">
        <is>
          <t>HALLANDS LÄN</t>
        </is>
      </c>
      <c r="E5434" t="inlineStr">
        <is>
          <t>HYLTE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27276-2025</t>
        </is>
      </c>
      <c r="B5435" s="1" t="n">
        <v>45812</v>
      </c>
      <c r="C5435" s="1" t="n">
        <v>45832</v>
      </c>
      <c r="D5435" t="inlineStr">
        <is>
          <t>HALLANDS LÄN</t>
        </is>
      </c>
      <c r="E5435" t="inlineStr">
        <is>
          <t>HYLTE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27386-2025</t>
        </is>
      </c>
      <c r="B5436" s="1" t="n">
        <v>45812</v>
      </c>
      <c r="C5436" s="1" t="n">
        <v>45832</v>
      </c>
      <c r="D5436" t="inlineStr">
        <is>
          <t>HALLANDS LÄN</t>
        </is>
      </c>
      <c r="E5436" t="inlineStr">
        <is>
          <t>HALMSTAD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45832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45832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27235-2025</t>
        </is>
      </c>
      <c r="B5439" s="1" t="n">
        <v>45812</v>
      </c>
      <c r="C5439" s="1" t="n">
        <v>45832</v>
      </c>
      <c r="D5439" t="inlineStr">
        <is>
          <t>HALLANDS LÄN</t>
        </is>
      </c>
      <c r="E5439" t="inlineStr">
        <is>
          <t>HYLTE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45832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45832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27238-2025</t>
        </is>
      </c>
      <c r="B5442" s="1" t="n">
        <v>45812</v>
      </c>
      <c r="C5442" s="1" t="n">
        <v>45832</v>
      </c>
      <c r="D5442" t="inlineStr">
        <is>
          <t>HALLANDS LÄN</t>
        </is>
      </c>
      <c r="E5442" t="inlineStr">
        <is>
          <t>HYLTE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27303-2025</t>
        </is>
      </c>
      <c r="B5443" s="1" t="n">
        <v>45812</v>
      </c>
      <c r="C5443" s="1" t="n">
        <v>45832</v>
      </c>
      <c r="D5443" t="inlineStr">
        <is>
          <t>HALLANDS LÄN</t>
        </is>
      </c>
      <c r="E5443" t="inlineStr">
        <is>
          <t>LAHOLM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27179-2025</t>
        </is>
      </c>
      <c r="B5444" s="1" t="n">
        <v>45812</v>
      </c>
      <c r="C5444" s="1" t="n">
        <v>45832</v>
      </c>
      <c r="D5444" t="inlineStr">
        <is>
          <t>HALLANDS LÄN</t>
        </is>
      </c>
      <c r="E5444" t="inlineStr">
        <is>
          <t>LAHOLM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27560-2025</t>
        </is>
      </c>
      <c r="B5445" s="1" t="n">
        <v>45813</v>
      </c>
      <c r="C5445" s="1" t="n">
        <v>45832</v>
      </c>
      <c r="D5445" t="inlineStr">
        <is>
          <t>HALLANDS LÄN</t>
        </is>
      </c>
      <c r="E5445" t="inlineStr">
        <is>
          <t>LAHOLM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45832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45832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45832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45832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27891-2025</t>
        </is>
      </c>
      <c r="B5450" s="1" t="n">
        <v>45817</v>
      </c>
      <c r="C5450" s="1" t="n">
        <v>45832</v>
      </c>
      <c r="D5450" t="inlineStr">
        <is>
          <t>HALLANDS LÄN</t>
        </is>
      </c>
      <c r="E5450" t="inlineStr">
        <is>
          <t>HYLTE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45832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45832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27848-2025</t>
        </is>
      </c>
      <c r="B5453" s="1" t="n">
        <v>45817</v>
      </c>
      <c r="C5453" s="1" t="n">
        <v>45832</v>
      </c>
      <c r="D5453" t="inlineStr">
        <is>
          <t>HALLANDS LÄN</t>
        </is>
      </c>
      <c r="E5453" t="inlineStr">
        <is>
          <t>HALMSTAD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45832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28068-2025</t>
        </is>
      </c>
      <c r="B5455" s="1" t="n">
        <v>45817</v>
      </c>
      <c r="C5455" s="1" t="n">
        <v>45832</v>
      </c>
      <c r="D5455" t="inlineStr">
        <is>
          <t>HALLANDS LÄN</t>
        </is>
      </c>
      <c r="E5455" t="inlineStr">
        <is>
          <t>HYLTE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45832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45832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45832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45832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45832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28128-2025</t>
        </is>
      </c>
      <c r="B5461" s="1" t="n">
        <v>45818</v>
      </c>
      <c r="C5461" s="1" t="n">
        <v>45832</v>
      </c>
      <c r="D5461" t="inlineStr">
        <is>
          <t>HALLANDS LÄN</t>
        </is>
      </c>
      <c r="E5461" t="inlineStr">
        <is>
          <t>HALMSTAD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28332-2025</t>
        </is>
      </c>
      <c r="B5462" s="1" t="n">
        <v>45818</v>
      </c>
      <c r="C5462" s="1" t="n">
        <v>45832</v>
      </c>
      <c r="D5462" t="inlineStr">
        <is>
          <t>HALLANDS LÄN</t>
        </is>
      </c>
      <c r="E5462" t="inlineStr">
        <is>
          <t>KUNGSBACKA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45832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45832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28383-2025</t>
        </is>
      </c>
      <c r="B5465" s="1" t="n">
        <v>45819</v>
      </c>
      <c r="C5465" s="1" t="n">
        <v>45832</v>
      </c>
      <c r="D5465" t="inlineStr">
        <is>
          <t>HALLANDS LÄN</t>
        </is>
      </c>
      <c r="E5465" t="inlineStr">
        <is>
          <t>KUNGSBACKA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45832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45832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45832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45832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45832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45832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45832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45832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29297-2025</t>
        </is>
      </c>
      <c r="B5474" s="1" t="n">
        <v>45824</v>
      </c>
      <c r="C5474" s="1" t="n">
        <v>45832</v>
      </c>
      <c r="D5474" t="inlineStr">
        <is>
          <t>HALLANDS LÄN</t>
        </is>
      </c>
      <c r="E5474" t="inlineStr">
        <is>
          <t>VARBERG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29349-2025</t>
        </is>
      </c>
      <c r="B5475" s="1" t="n">
        <v>45824</v>
      </c>
      <c r="C5475" s="1" t="n">
        <v>45832</v>
      </c>
      <c r="D5475" t="inlineStr">
        <is>
          <t>HALLANDS LÄN</t>
        </is>
      </c>
      <c r="E5475" t="inlineStr">
        <is>
          <t>LAHOLM</t>
        </is>
      </c>
      <c r="G5475" t="n">
        <v>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29237-2025</t>
        </is>
      </c>
      <c r="B5476" s="1" t="n">
        <v>45824</v>
      </c>
      <c r="C5476" s="1" t="n">
        <v>45832</v>
      </c>
      <c r="D5476" t="inlineStr">
        <is>
          <t>HALLANDS LÄN</t>
        </is>
      </c>
      <c r="E5476" t="inlineStr">
        <is>
          <t>HYLTE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29364-2025</t>
        </is>
      </c>
      <c r="B5477" s="1" t="n">
        <v>45824</v>
      </c>
      <c r="C5477" s="1" t="n">
        <v>45832</v>
      </c>
      <c r="D5477" t="inlineStr">
        <is>
          <t>HALLANDS LÄN</t>
        </is>
      </c>
      <c r="E5477" t="inlineStr">
        <is>
          <t>VARBERG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29302-2025</t>
        </is>
      </c>
      <c r="B5478" s="1" t="n">
        <v>45824</v>
      </c>
      <c r="C5478" s="1" t="n">
        <v>45832</v>
      </c>
      <c r="D5478" t="inlineStr">
        <is>
          <t>HALLANDS LÄN</t>
        </is>
      </c>
      <c r="E5478" t="inlineStr">
        <is>
          <t>HALMSTAD</t>
        </is>
      </c>
      <c r="G5478" t="n">
        <v>5.5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45832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45832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29634-2025</t>
        </is>
      </c>
      <c r="B5481" s="1" t="n">
        <v>45825</v>
      </c>
      <c r="C5481" s="1" t="n">
        <v>45832</v>
      </c>
      <c r="D5481" t="inlineStr">
        <is>
          <t>HALLANDS LÄN</t>
        </is>
      </c>
      <c r="E5481" t="inlineStr">
        <is>
          <t>VARBERG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29708-2025</t>
        </is>
      </c>
      <c r="B5482" s="1" t="n">
        <v>45825</v>
      </c>
      <c r="C5482" s="1" t="n">
        <v>45832</v>
      </c>
      <c r="D5482" t="inlineStr">
        <is>
          <t>HALLANDS LÄN</t>
        </is>
      </c>
      <c r="E5482" t="inlineStr">
        <is>
          <t>HYLTE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45832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29713-2025</t>
        </is>
      </c>
      <c r="B5484" s="1" t="n">
        <v>45825</v>
      </c>
      <c r="C5484" s="1" t="n">
        <v>45832</v>
      </c>
      <c r="D5484" t="inlineStr">
        <is>
          <t>HALLANDS LÄN</t>
        </is>
      </c>
      <c r="E5484" t="inlineStr">
        <is>
          <t>HYLTE</t>
        </is>
      </c>
      <c r="G5484" t="n">
        <v>0.3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29621-2025</t>
        </is>
      </c>
      <c r="B5485" s="1" t="n">
        <v>45825</v>
      </c>
      <c r="C5485" s="1" t="n">
        <v>45832</v>
      </c>
      <c r="D5485" t="inlineStr">
        <is>
          <t>HALLANDS LÄN</t>
        </is>
      </c>
      <c r="E5485" t="inlineStr">
        <is>
          <t>LAHOLM</t>
        </is>
      </c>
      <c r="G5485" t="n">
        <v>20.1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29630-2025</t>
        </is>
      </c>
      <c r="B5486" s="1" t="n">
        <v>45825</v>
      </c>
      <c r="C5486" s="1" t="n">
        <v>45832</v>
      </c>
      <c r="D5486" t="inlineStr">
        <is>
          <t>HALLANDS LÄN</t>
        </is>
      </c>
      <c r="E5486" t="inlineStr">
        <is>
          <t>VARBERG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29705-2025</t>
        </is>
      </c>
      <c r="B5487" s="1" t="n">
        <v>45825</v>
      </c>
      <c r="C5487" s="1" t="n">
        <v>45832</v>
      </c>
      <c r="D5487" t="inlineStr">
        <is>
          <t>HALLANDS LÄN</t>
        </is>
      </c>
      <c r="E5487" t="inlineStr">
        <is>
          <t>HYLTE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29710-2025</t>
        </is>
      </c>
      <c r="B5488" s="1" t="n">
        <v>45825</v>
      </c>
      <c r="C5488" s="1" t="n">
        <v>45832</v>
      </c>
      <c r="D5488" t="inlineStr">
        <is>
          <t>HALLANDS LÄN</t>
        </is>
      </c>
      <c r="E5488" t="inlineStr">
        <is>
          <t>HYLTE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29863-2025</t>
        </is>
      </c>
      <c r="B5489" s="1" t="n">
        <v>45826</v>
      </c>
      <c r="C5489" s="1" t="n">
        <v>45832</v>
      </c>
      <c r="D5489" t="inlineStr">
        <is>
          <t>HALLANDS LÄN</t>
        </is>
      </c>
      <c r="E5489" t="inlineStr">
        <is>
          <t>FALKENBERG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29868-2025</t>
        </is>
      </c>
      <c r="B5490" s="1" t="n">
        <v>45826</v>
      </c>
      <c r="C5490" s="1" t="n">
        <v>45832</v>
      </c>
      <c r="D5490" t="inlineStr">
        <is>
          <t>HALLANDS LÄN</t>
        </is>
      </c>
      <c r="E5490" t="inlineStr">
        <is>
          <t>LAHOLM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29865-2025</t>
        </is>
      </c>
      <c r="B5491" s="1" t="n">
        <v>45826</v>
      </c>
      <c r="C5491" s="1" t="n">
        <v>45832</v>
      </c>
      <c r="D5491" t="inlineStr">
        <is>
          <t>HALLANDS LÄN</t>
        </is>
      </c>
      <c r="E5491" t="inlineStr">
        <is>
          <t>HALMSTAD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29926-2025</t>
        </is>
      </c>
      <c r="B5492" s="1" t="n">
        <v>45826</v>
      </c>
      <c r="C5492" s="1" t="n">
        <v>45832</v>
      </c>
      <c r="D5492" t="inlineStr">
        <is>
          <t>HALLANDS LÄN</t>
        </is>
      </c>
      <c r="E5492" t="inlineStr">
        <is>
          <t>LAHOLM</t>
        </is>
      </c>
      <c r="G5492" t="n">
        <v>11.6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29936-2025</t>
        </is>
      </c>
      <c r="B5493" s="1" t="n">
        <v>45826</v>
      </c>
      <c r="C5493" s="1" t="n">
        <v>45832</v>
      </c>
      <c r="D5493" t="inlineStr">
        <is>
          <t>HALLANDS LÄN</t>
        </is>
      </c>
      <c r="E5493" t="inlineStr">
        <is>
          <t>HYLTE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30107-2025</t>
        </is>
      </c>
      <c r="B5494" s="1" t="n">
        <v>45826</v>
      </c>
      <c r="C5494" s="1" t="n">
        <v>45832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30694-2025</t>
        </is>
      </c>
      <c r="B5495" s="1" t="n">
        <v>45831</v>
      </c>
      <c r="C5495" s="1" t="n">
        <v>45832</v>
      </c>
      <c r="D5495" t="inlineStr">
        <is>
          <t>HALLANDS LÄN</t>
        </is>
      </c>
      <c r="E5495" t="inlineStr">
        <is>
          <t>HALMSTAD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30740-2025</t>
        </is>
      </c>
      <c r="B5496" s="1" t="n">
        <v>45831</v>
      </c>
      <c r="C5496" s="1" t="n">
        <v>45832</v>
      </c>
      <c r="D5496" t="inlineStr">
        <is>
          <t>HALLANDS LÄN</t>
        </is>
      </c>
      <c r="E5496" t="inlineStr">
        <is>
          <t>HALMSTAD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30641-2025</t>
        </is>
      </c>
      <c r="B5497" s="1" t="n">
        <v>45831</v>
      </c>
      <c r="C5497" s="1" t="n">
        <v>45832</v>
      </c>
      <c r="D5497" t="inlineStr">
        <is>
          <t>HALLANDS LÄN</t>
        </is>
      </c>
      <c r="E5497" t="inlineStr">
        <is>
          <t>HALMSTAD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30597-2025</t>
        </is>
      </c>
      <c r="B5498" s="1" t="n">
        <v>45831</v>
      </c>
      <c r="C5498" s="1" t="n">
        <v>45832</v>
      </c>
      <c r="D5498" t="inlineStr">
        <is>
          <t>HALLANDS LÄN</t>
        </is>
      </c>
      <c r="E5498" t="inlineStr">
        <is>
          <t>KUNGSBACKA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30822-2025</t>
        </is>
      </c>
      <c r="B5499" s="1" t="n">
        <v>45831</v>
      </c>
      <c r="C5499" s="1" t="n">
        <v>45832</v>
      </c>
      <c r="D5499" t="inlineStr">
        <is>
          <t>HALLANDS LÄN</t>
        </is>
      </c>
      <c r="E5499" t="inlineStr">
        <is>
          <t>FALKENBERG</t>
        </is>
      </c>
      <c r="G5499" t="n">
        <v>5.2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30692-2025</t>
        </is>
      </c>
      <c r="B5500" s="1" t="n">
        <v>45831</v>
      </c>
      <c r="C5500" s="1" t="n">
        <v>45832</v>
      </c>
      <c r="D5500" t="inlineStr">
        <is>
          <t>HALLANDS LÄN</t>
        </is>
      </c>
      <c r="E5500" t="inlineStr">
        <is>
          <t>HALMSTAD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30698-2025</t>
        </is>
      </c>
      <c r="B5501" s="1" t="n">
        <v>45831</v>
      </c>
      <c r="C5501" s="1" t="n">
        <v>45832</v>
      </c>
      <c r="D5501" t="inlineStr">
        <is>
          <t>HALLANDS LÄN</t>
        </is>
      </c>
      <c r="E5501" t="inlineStr">
        <is>
          <t>HALMSTAD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30603-2025</t>
        </is>
      </c>
      <c r="B5502" s="1" t="n">
        <v>45831</v>
      </c>
      <c r="C5502" s="1" t="n">
        <v>45832</v>
      </c>
      <c r="D5502" t="inlineStr">
        <is>
          <t>HALLANDS LÄN</t>
        </is>
      </c>
      <c r="E5502" t="inlineStr">
        <is>
          <t>FALKENBERG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>
      <c r="A5503" t="inlineStr">
        <is>
          <t>A 30572-2025</t>
        </is>
      </c>
      <c r="B5503" s="1" t="n">
        <v>45831</v>
      </c>
      <c r="C5503" s="1" t="n">
        <v>45832</v>
      </c>
      <c r="D5503" t="inlineStr">
        <is>
          <t>HALLANDS LÄN</t>
        </is>
      </c>
      <c r="E5503" t="inlineStr">
        <is>
          <t>HYLTE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2025-06-24T19:50:15Z</dcterms:created>
  <dcterms:modified xmlns:dcterms="http://purl.org/dc/terms/" xmlns:xsi="http://www.w3.org/2001/XMLSchema-instance" xsi:type="dcterms:W3CDTF">2025-06-24T19:50:20Z</dcterms:modified>
</cp:coreProperties>
</file>